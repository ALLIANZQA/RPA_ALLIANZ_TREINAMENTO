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lianzms-my.sharepoint.com/personal/isabela_fornazario_allianz_com_br/Documents/"/>
    </mc:Choice>
  </mc:AlternateContent>
  <xr:revisionPtr revIDLastSave="0" documentId="8_{7182E716-469D-411F-972B-A88E05377911}" xr6:coauthVersionLast="47" xr6:coauthVersionMax="47" xr10:uidLastSave="{00000000-0000-0000-0000-000000000000}"/>
  <bookViews>
    <workbookView xWindow="-108" yWindow="-108" windowWidth="23256" windowHeight="12576" xr2:uid="{377D76DF-16C3-4364-85D1-9B14AF9E684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C99DAB45-52B3-49D1-8103-0566F866410A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<sst xmlns="http://schemas.openxmlformats.org/spreadsheetml/2006/main" count="628" uniqueCount="404">
  <si>
    <t>SUSEP</t>
  </si>
  <si>
    <t>CNPJ / CPF</t>
  </si>
  <si>
    <t>NOME CORRETORA</t>
  </si>
  <si>
    <t>E-mail corretor + account</t>
  </si>
  <si>
    <t>DDD (celular)</t>
  </si>
  <si>
    <t>Celular</t>
  </si>
  <si>
    <t>Data da solicitação</t>
  </si>
  <si>
    <t>RESPONSÁVEL</t>
  </si>
  <si>
    <t>TIPO</t>
  </si>
  <si>
    <t>AGENTE / MEDIADOR</t>
  </si>
  <si>
    <t>Filial + UC</t>
  </si>
  <si>
    <t>BA</t>
  </si>
  <si>
    <t>ba</t>
  </si>
  <si>
    <t>Nome account</t>
  </si>
  <si>
    <t>E-mail account</t>
  </si>
  <si>
    <t>DDD (telefone account)</t>
  </si>
  <si>
    <t>Telefone account</t>
  </si>
  <si>
    <t>242157054</t>
  </si>
  <si>
    <t>50472744000187</t>
  </si>
  <si>
    <t>FIDUCIA INTERMEDIAÇÃO DE NEGÓCIOS LTDA</t>
  </si>
  <si>
    <t>CADASTRO@LIBEROSEGUROS.COM.BR,daiane.soares@allianz.com.br</t>
  </si>
  <si>
    <t>34</t>
  </si>
  <si>
    <t>991077653</t>
  </si>
  <si>
    <t>22/12/2024</t>
  </si>
  <si>
    <t>GESTÃO COMERCIAL</t>
  </si>
  <si>
    <t>FISICA</t>
  </si>
  <si>
    <t>172-H</t>
  </si>
  <si>
    <t>BA273195</t>
  </si>
  <si>
    <t>DAIANE ROLIM SOARES</t>
  </si>
  <si>
    <t>daiane.soares@allianz.com.br</t>
  </si>
  <si>
    <t>51</t>
  </si>
  <si>
    <t xml:space="preserve"> 99561-2451</t>
  </si>
  <si>
    <t>242164659</t>
  </si>
  <si>
    <t>58515509000157</t>
  </si>
  <si>
    <t>RR QUEIROZ SEGUROS E RECURSOS HUMANOS LTDA</t>
  </si>
  <si>
    <t>RODRIGO@QUEIROZSEGUROS.COM,shirley.klein@allianz.com.br</t>
  </si>
  <si>
    <t>21</t>
  </si>
  <si>
    <t>988541324</t>
  </si>
  <si>
    <t>22/01/2025</t>
  </si>
  <si>
    <t>182-E</t>
  </si>
  <si>
    <t>BA273196</t>
  </si>
  <si>
    <t>SHIRLEY KLEIN DE ALMEIDA</t>
  </si>
  <si>
    <t>shirley.klein@allianz.com.br</t>
  </si>
  <si>
    <t>27</t>
  </si>
  <si>
    <t>98807-1873</t>
  </si>
  <si>
    <t>252166098</t>
  </si>
  <si>
    <t>59175990000141</t>
  </si>
  <si>
    <t>MJ CORRETORA DE SEGUROS LTDA</t>
  </si>
  <si>
    <t>MAYCONJUNIOSEGUROS@GMAIL.COM,angela.carmo@allianz.com.br</t>
  </si>
  <si>
    <t>37</t>
  </si>
  <si>
    <t>999498796</t>
  </si>
  <si>
    <t>09/03/2025</t>
  </si>
  <si>
    <t>81-A</t>
  </si>
  <si>
    <t>BA273197</t>
  </si>
  <si>
    <t>ANGELA MARIA DO CARMO</t>
  </si>
  <si>
    <t>angela.carmo@allianz.com.br</t>
  </si>
  <si>
    <t>31</t>
  </si>
  <si>
    <t xml:space="preserve"> 99644-6917</t>
  </si>
  <si>
    <t>202097799</t>
  </si>
  <si>
    <t>18735979000101</t>
  </si>
  <si>
    <t>IFB SERVICOS ESPECIALIZADOS LTDA</t>
  </si>
  <si>
    <t>ADM.DRUCKERSEGUROS@GMAIL.COM,daniela.gui@allianz.com.br</t>
  </si>
  <si>
    <t>19</t>
  </si>
  <si>
    <t>981455355</t>
  </si>
  <si>
    <t>14/03/2025</t>
  </si>
  <si>
    <t>70-K</t>
  </si>
  <si>
    <t>BA273198</t>
  </si>
  <si>
    <t>DANIELA CRISTINA PAULOSSO GUI</t>
  </si>
  <si>
    <t>daniela.gui@allianz.com.br</t>
  </si>
  <si>
    <t>16</t>
  </si>
  <si>
    <t xml:space="preserve"> 99636-8203</t>
  </si>
  <si>
    <t>252167302</t>
  </si>
  <si>
    <t>59895775000115</t>
  </si>
  <si>
    <t>NEW FLY INSURANCE ADMINISTRADORA E CORRETORA DE SEGUROS E PLANOS DE SAUDE LTDA</t>
  </si>
  <si>
    <t>PAULO@FLYSEGUROS.COM.BR,adonias.brito@allianz.com.br</t>
  </si>
  <si>
    <t>11</t>
  </si>
  <si>
    <t>947300994</t>
  </si>
  <si>
    <t>28/03/2025</t>
  </si>
  <si>
    <t>203-C</t>
  </si>
  <si>
    <t>BA273199</t>
  </si>
  <si>
    <t>ADONIAS BATISTA DE BRITO</t>
  </si>
  <si>
    <t>adonias.brito@allianz.com.br</t>
  </si>
  <si>
    <t xml:space="preserve"> 97530-2614</t>
  </si>
  <si>
    <t>251166125</t>
  </si>
  <si>
    <t>11001604857</t>
  </si>
  <si>
    <t>EVANDRO CESAR DAPÓLITO</t>
  </si>
  <si>
    <t>EVANDRO.DAPOLITO@GMAIL.COM,adonias.brito@allianz.com.br</t>
  </si>
  <si>
    <t>984446575</t>
  </si>
  <si>
    <t>27/03/2025</t>
  </si>
  <si>
    <t>BA273200</t>
  </si>
  <si>
    <t>252166740</t>
  </si>
  <si>
    <t>58923554000140</t>
  </si>
  <si>
    <t>CONECTA SOLUÇÕES E SERVIÇOS COMERCIAIS LTDA</t>
  </si>
  <si>
    <t>BEMCORCORRETORADESEGUROS@OUTLOOK.COM,vitor.mattos@allianz.com.br</t>
  </si>
  <si>
    <t>999953469</t>
  </si>
  <si>
    <t>148-C</t>
  </si>
  <si>
    <t>BA273201</t>
  </si>
  <si>
    <t>VITOR HUGO MENDONCA DE MATTOS</t>
  </si>
  <si>
    <t>vitor.mattos@allianz.com.br</t>
  </si>
  <si>
    <t>99790-4935</t>
  </si>
  <si>
    <t>252167471</t>
  </si>
  <si>
    <t>59938693000100</t>
  </si>
  <si>
    <t>MARQUEZINI CORRETORA DE SEGUROS LTDA</t>
  </si>
  <si>
    <t>MARQUEZINI.SEGUROS@GMAIL.COM,luciana.mayer@allianz.com.br</t>
  </si>
  <si>
    <t>954255162</t>
  </si>
  <si>
    <t>21/03/2025</t>
  </si>
  <si>
    <t>102-F</t>
  </si>
  <si>
    <t>BA273202</t>
  </si>
  <si>
    <t>LUCIANA REGINA SLUPKO MAYER</t>
  </si>
  <si>
    <t>luciana.mayer@allianz.com.br</t>
  </si>
  <si>
    <t xml:space="preserve"> 99620-9712</t>
  </si>
  <si>
    <t>252167154</t>
  </si>
  <si>
    <t>59779700000179</t>
  </si>
  <si>
    <t>MB ASSESSORIA E CORRETORA DE SEGUROS LTDA</t>
  </si>
  <si>
    <t>TUTUSCORRETORADESEGUROS@OUTLOOK.COM,elisangela.oliveira@allianz.com.br</t>
  </si>
  <si>
    <t>35</t>
  </si>
  <si>
    <t>991427412</t>
  </si>
  <si>
    <t>07/04/2025</t>
  </si>
  <si>
    <t>70-E</t>
  </si>
  <si>
    <t>BA273203</t>
  </si>
  <si>
    <t>ELISANGELA BORSONELO DE OLIVEIRA</t>
  </si>
  <si>
    <t>elisangela.oliveira@allianz.com.br</t>
  </si>
  <si>
    <t xml:space="preserve"> 99932-5375</t>
  </si>
  <si>
    <t>252166819</t>
  </si>
  <si>
    <t>45634970000187</t>
  </si>
  <si>
    <t>PROSPERA CORRETORA ASSESSORIA E ADMINISTRAÇÃO DE SEGUROS LTA</t>
  </si>
  <si>
    <t>EDISONSEGURO@YAHOO.COM.BR,gessica.silva@allianz.com.br </t>
  </si>
  <si>
    <t>41</t>
  </si>
  <si>
    <t>99813 8852</t>
  </si>
  <si>
    <t>42-F</t>
  </si>
  <si>
    <t>BA273204</t>
  </si>
  <si>
    <t>GESSICA OLIVEIRA SILVA</t>
  </si>
  <si>
    <t>gessica.silva@allianz.com.br </t>
  </si>
  <si>
    <t>99216-9821</t>
  </si>
  <si>
    <t>252165289</t>
  </si>
  <si>
    <t>58936191000188</t>
  </si>
  <si>
    <t>MACEDO &amp; RODRIGUES CORRETORA DE SEGUROS LTDA</t>
  </si>
  <si>
    <t>MRCORRETORADESEGUROS16@GMAIL.COM,adonias.brito@allianz.com.br</t>
  </si>
  <si>
    <t>943144075</t>
  </si>
  <si>
    <t>06/02/2025</t>
  </si>
  <si>
    <t>BA273205</t>
  </si>
  <si>
    <t>242164311</t>
  </si>
  <si>
    <t>58101631000187</t>
  </si>
  <si>
    <t>MOURA MERLIM CORRETORA DE SEGUROS LTDA</t>
  </si>
  <si>
    <t>MOURAALINY853@GMAIL.COM,shirley.klein@allianz.com.br</t>
  </si>
  <si>
    <t>981643116</t>
  </si>
  <si>
    <t>09/04/2025</t>
  </si>
  <si>
    <t>BA273206</t>
  </si>
  <si>
    <t>252167054</t>
  </si>
  <si>
    <t>59626676000138</t>
  </si>
  <si>
    <t xml:space="preserve">BAETA PIEDADE CORRETAGEM DE SEGUROS LTDA	</t>
  </si>
  <si>
    <t>BAETACORRETORAPIEDADE@GMAIL.COM,priscila.santana@allianz.com.br</t>
  </si>
  <si>
    <t>15</t>
  </si>
  <si>
    <t>998545454</t>
  </si>
  <si>
    <t>10/04/2025</t>
  </si>
  <si>
    <t>68-I</t>
  </si>
  <si>
    <t>BA273207</t>
  </si>
  <si>
    <t>PRISCILA RODRIGUES CUNICO SANT ANA</t>
  </si>
  <si>
    <t>priscila.santana@allianz.com.br</t>
  </si>
  <si>
    <t xml:space="preserve"> 99845-1339</t>
  </si>
  <si>
    <t>252167565</t>
  </si>
  <si>
    <t>59817457000136</t>
  </si>
  <si>
    <t>AD FONSECA  CORRETORA DE SEGURPS LTDA</t>
  </si>
  <si>
    <t>ADJANE@ADFONSECACORRETORA.COM.BR,rosana.teixeira@allianz.com.br </t>
  </si>
  <si>
    <t>983222035</t>
  </si>
  <si>
    <t>26/03/2025</t>
  </si>
  <si>
    <t>203-B</t>
  </si>
  <si>
    <t>BA273208</t>
  </si>
  <si>
    <t>ROSANA CRISTINA TEIXEIRA</t>
  </si>
  <si>
    <t>rosana.teixeira@allianz.com.br </t>
  </si>
  <si>
    <t>99972-5563</t>
  </si>
  <si>
    <t>252168132</t>
  </si>
  <si>
    <t>57735040000107</t>
  </si>
  <si>
    <t>NOVOSINOS CORRETORA DE SEGUROS LTDA</t>
  </si>
  <si>
    <t>NOVOSINOS@TERRA.COM.BR,fausto.reis@allianz.com.br</t>
  </si>
  <si>
    <t>99987-9064</t>
  </si>
  <si>
    <t>15/04/2025</t>
  </si>
  <si>
    <t>45-C</t>
  </si>
  <si>
    <t>BA273209</t>
  </si>
  <si>
    <t>FAUSTO DOS REIS</t>
  </si>
  <si>
    <t>fausto.reis@allianz.com.br</t>
  </si>
  <si>
    <t xml:space="preserve"> 99548-5195</t>
  </si>
  <si>
    <t>232147280</t>
  </si>
  <si>
    <t>51008302000147</t>
  </si>
  <si>
    <t>LURASEG CORRETORA DE SEGUROS LTDA</t>
  </si>
  <si>
    <t>LURASEGUROS@GMAIL.COM,adonias.brito@allianz.com.br</t>
  </si>
  <si>
    <t>942172122</t>
  </si>
  <si>
    <t>BA273210</t>
  </si>
  <si>
    <t>201017459</t>
  </si>
  <si>
    <t>82091587753</t>
  </si>
  <si>
    <t>MARCELO FERRER PALERMO</t>
  </si>
  <si>
    <t>MFPALERMO2009@GMAIL.COM,vitor.mattos@allianz.com.br</t>
  </si>
  <si>
    <t>983797819</t>
  </si>
  <si>
    <t>16/05/2023</t>
  </si>
  <si>
    <t>BA273211</t>
  </si>
  <si>
    <t>252167531</t>
  </si>
  <si>
    <t>59969111000153</t>
  </si>
  <si>
    <t>CORRETORA DE SEGUROS HEROIS DA ESTRADA LTDA</t>
  </si>
  <si>
    <t>RODINEI.AMARAL@ASTRANSC.COM.BR,aline.carpes@allianz.com.br</t>
  </si>
  <si>
    <t>47</t>
  </si>
  <si>
    <t>99602-0219</t>
  </si>
  <si>
    <t>17/04/2025</t>
  </si>
  <si>
    <t>172-D</t>
  </si>
  <si>
    <t>BA273212</t>
  </si>
  <si>
    <t>ALINE MILENA CARPES</t>
  </si>
  <si>
    <t>aline.carpes@allianz.com.br</t>
  </si>
  <si>
    <t xml:space="preserve"> 99857-0602</t>
  </si>
  <si>
    <t>252167525</t>
  </si>
  <si>
    <t>59870958000186</t>
  </si>
  <si>
    <t>CRR SEGUROS E SAUDE LTDA</t>
  </si>
  <si>
    <t>DIRETORIA@CRRSAUDE.COM.BR,franciele.silva@allianz.com.br</t>
  </si>
  <si>
    <t>997888308</t>
  </si>
  <si>
    <t>22-B</t>
  </si>
  <si>
    <t>BA273213</t>
  </si>
  <si>
    <t>FRANCIELE PUPIM DA SILVA</t>
  </si>
  <si>
    <t>franciele.silva@allianz.com.br</t>
  </si>
  <si>
    <t xml:space="preserve"> 99975-7632</t>
  </si>
  <si>
    <t>252168396</t>
  </si>
  <si>
    <t>60239294000130</t>
  </si>
  <si>
    <t>K&amp;G ADMINISTRADORA E CORRETORA DE SEGUROS LTDA</t>
  </si>
  <si>
    <t>GUOLLO@ENGEPLUS.COM.BR,karen.oliveira@allianz.com.br</t>
  </si>
  <si>
    <t>48</t>
  </si>
  <si>
    <t>999740878</t>
  </si>
  <si>
    <t>16/04/2025</t>
  </si>
  <si>
    <t>172-I</t>
  </si>
  <si>
    <t>BA273214</t>
  </si>
  <si>
    <t>KAREN VIVIANE BRITO DE OLIVEIRA</t>
  </si>
  <si>
    <t>karen.oliveira@allianz.com.br</t>
  </si>
  <si>
    <t xml:space="preserve"> 99377-4197</t>
  </si>
  <si>
    <t>252167988</t>
  </si>
  <si>
    <t>59699400000180</t>
  </si>
  <si>
    <t>PONTELLO ADMINISTRADORA E CORRETORA DE SEGUROS LTDA</t>
  </si>
  <si>
    <t>CONTATO@PONTELLOSEGUROS.COM,joao.tripodi@allianz.com.br</t>
  </si>
  <si>
    <t>997404864</t>
  </si>
  <si>
    <t>168-D</t>
  </si>
  <si>
    <t>BA273215</t>
  </si>
  <si>
    <t>JOAO VITOR AFFONSO TRIPODI</t>
  </si>
  <si>
    <t>joao.tripodi@allianz.com.br</t>
  </si>
  <si>
    <t>11111-1111</t>
  </si>
  <si>
    <t>252166625</t>
  </si>
  <si>
    <t>59501877000109</t>
  </si>
  <si>
    <t>ML CORRETORA DE SEGUROS LTDA</t>
  </si>
  <si>
    <t>MLSEGUROS80@HOTMAIL.COM,elisangela.oliveira@allianz.com.br</t>
  </si>
  <si>
    <t>17</t>
  </si>
  <si>
    <t>991330256</t>
  </si>
  <si>
    <t>BA273216</t>
  </si>
  <si>
    <t>252167698</t>
  </si>
  <si>
    <t>60071506000113</t>
  </si>
  <si>
    <t>RISECOR CORRETORA DE SEGUROS LTDA</t>
  </si>
  <si>
    <t>COMERCIAL1.RISECOR@GMAIL.COM,luciana.mayer@allianz.com.br</t>
  </si>
  <si>
    <t>983601644</t>
  </si>
  <si>
    <t>BA273217</t>
  </si>
  <si>
    <t>252168441</t>
  </si>
  <si>
    <t>60437546000136</t>
  </si>
  <si>
    <t xml:space="preserve">INSURANCE GLOBAL CORRETORA DE SEGUROS LTDA </t>
  </si>
  <si>
    <t>INSURANCEGLOBALCORRETORADESEG@GMAIL.COM,leonardo.castro@allianz.com.br</t>
  </si>
  <si>
    <t>61</t>
  </si>
  <si>
    <t>996163011</t>
  </si>
  <si>
    <t>20/04/2025</t>
  </si>
  <si>
    <t>177-J</t>
  </si>
  <si>
    <t>BA273218</t>
  </si>
  <si>
    <t>LEONARDO SILVA CASTRO</t>
  </si>
  <si>
    <t>leonardo.castro@allianz.com.br</t>
  </si>
  <si>
    <t>32</t>
  </si>
  <si>
    <t xml:space="preserve"> 98814-3749</t>
  </si>
  <si>
    <t>252166226</t>
  </si>
  <si>
    <t>57356624000163</t>
  </si>
  <si>
    <t>ALESSA CORRETORA DE SEGUROS LTDA</t>
  </si>
  <si>
    <t>STEFANIE.ALTIMARE@ALESSASEGUROS.COM,eliane.fernandes@allianz.com.br</t>
  </si>
  <si>
    <t>997354645</t>
  </si>
  <si>
    <t>22/04/2025</t>
  </si>
  <si>
    <t>102-D</t>
  </si>
  <si>
    <t>BA273219</t>
  </si>
  <si>
    <t>ELIANE PEREIRA FERNANDES</t>
  </si>
  <si>
    <t>eliane.fernandes@allianz.com.br</t>
  </si>
  <si>
    <t xml:space="preserve"> 99527-0436</t>
  </si>
  <si>
    <t>242162583</t>
  </si>
  <si>
    <t>57519759000100</t>
  </si>
  <si>
    <t xml:space="preserve">MBM CORRETORA DE SEGUROS LTDA </t>
  </si>
  <si>
    <t>SEGUROS@PRAGNO.COM.BR,fernanda.carneiro@allianz.com.br</t>
  </si>
  <si>
    <t>997013249</t>
  </si>
  <si>
    <t>172-K</t>
  </si>
  <si>
    <t>BA273220</t>
  </si>
  <si>
    <t>FERNANDA DA COSTA CARNEIRO</t>
  </si>
  <si>
    <t>fernanda.carneiro@allianz.com.br</t>
  </si>
  <si>
    <t xml:space="preserve"> 99581-7848</t>
  </si>
  <si>
    <t>252166814</t>
  </si>
  <si>
    <t>59608161000105</t>
  </si>
  <si>
    <t>VITA &amp; BENE CORRETORA DE SEGUROS LTDA</t>
  </si>
  <si>
    <t>VITABENESEGUROS@GMAIL.COM,adonias.brito@allianz.com.br</t>
  </si>
  <si>
    <t>958905902</t>
  </si>
  <si>
    <t>23/04/2025</t>
  </si>
  <si>
    <t>BA273221</t>
  </si>
  <si>
    <t>252167624</t>
  </si>
  <si>
    <t>59823094000141</t>
  </si>
  <si>
    <t>FIGARIN CORRETORA DE SEGUROS LTDA</t>
  </si>
  <si>
    <t>LUCAS.RINALDIN@FIGARINSEGUROS.COM.BR      ,adonias.brito@allianz.com.br</t>
  </si>
  <si>
    <t>997656361</t>
  </si>
  <si>
    <t>BA273222</t>
  </si>
  <si>
    <t>252168098</t>
  </si>
  <si>
    <t>60192415000136</t>
  </si>
  <si>
    <t>VITA SERVICOS DE CORRETORA DE SEGUROS LTDA</t>
  </si>
  <si>
    <t>VITASEGUROS.CORRETORA@GMAIL.COM,itamar.junior@allianz.com.br</t>
  </si>
  <si>
    <t>38</t>
  </si>
  <si>
    <t>984220806</t>
  </si>
  <si>
    <t>21/04/2025</t>
  </si>
  <si>
    <t>177-I</t>
  </si>
  <si>
    <t>BA273223</t>
  </si>
  <si>
    <t>ITAMAR MIRANDA SANTOS JUNIOR</t>
  </si>
  <si>
    <t>itamar.junior@allianz.com.br</t>
  </si>
  <si>
    <t xml:space="preserve"> 99789-8473</t>
  </si>
  <si>
    <t>232146007</t>
  </si>
  <si>
    <t>50165636000161</t>
  </si>
  <si>
    <t>LIVA CORRETORA DE SEGUROS LTDA</t>
  </si>
  <si>
    <t>COMERCIAL@LIVACORRETORA.COM.BR,luciana.mayer@allianz.com.br</t>
  </si>
  <si>
    <t>989451777</t>
  </si>
  <si>
    <t>BA273224</t>
  </si>
  <si>
    <t>252167603</t>
  </si>
  <si>
    <t>59547691000190</t>
  </si>
  <si>
    <t xml:space="preserve">C9 CORRETORA DE SEGUROS LTDA	</t>
  </si>
  <si>
    <t>CRISLEAL007@HOTMAIL.COM,adonias.brito@allianz.com.br</t>
  </si>
  <si>
    <t>957585808</t>
  </si>
  <si>
    <t>BA273225</t>
  </si>
  <si>
    <t>242164118</t>
  </si>
  <si>
    <t>56033024000100</t>
  </si>
  <si>
    <t>B &amp; B CORRETORA DE SEGUROS LTDA</t>
  </si>
  <si>
    <t>EDGARD@BEBSAUDE.COM.BR,olga.terceiro@allianz.com.br</t>
  </si>
  <si>
    <t>9 9253-0300</t>
  </si>
  <si>
    <t>174-L</t>
  </si>
  <si>
    <t>BA273226</t>
  </si>
  <si>
    <t>OLGA ELIANISE LESSA TERCEIRO</t>
  </si>
  <si>
    <t>olga.terceiro@allianz.com.br</t>
  </si>
  <si>
    <t>81</t>
  </si>
  <si>
    <t xml:space="preserve"> 98241-4553</t>
  </si>
  <si>
    <t>252167858</t>
  </si>
  <si>
    <t>60095543000161</t>
  </si>
  <si>
    <t>NOVA FS CORRETORA DE SEGUROS LTDA</t>
  </si>
  <si>
    <t>MARIANA.GAMBOA@FSSEGUROS.COM,claudia.malaggi@allianz.com.br</t>
  </si>
  <si>
    <t>941114977</t>
  </si>
  <si>
    <t>102-N</t>
  </si>
  <si>
    <t>BA273227</t>
  </si>
  <si>
    <t>CLAUDIA MARILEIA MALAGGI</t>
  </si>
  <si>
    <t>claudia.malaggi@allianz.com.br</t>
  </si>
  <si>
    <t xml:space="preserve"> 91050-7965</t>
  </si>
  <si>
    <t>252167813</t>
  </si>
  <si>
    <t>60029611000194</t>
  </si>
  <si>
    <t>CAPOSSI &amp; CAMARGO CORRETORA DE SEGUROS LTDA</t>
  </si>
  <si>
    <t>CAPOSSICAMARGOSEGUROS@GMAIL.COM ,rosana.teixeira@allianz.com.br </t>
  </si>
  <si>
    <t>94053-8736</t>
  </si>
  <si>
    <t>BA273228</t>
  </si>
  <si>
    <t>252168212</t>
  </si>
  <si>
    <t>60141985000105</t>
  </si>
  <si>
    <t>MARCELO DE PAULA MOTA LTDA</t>
  </si>
  <si>
    <t>CADASTRO@LIBEROSEGUROS.COM.BR,elisangela.oliveira@allianz.com.br</t>
  </si>
  <si>
    <t>BA273229</t>
  </si>
  <si>
    <t>252168179</t>
  </si>
  <si>
    <t>57803029000129</t>
  </si>
  <si>
    <t>FACILITABENS ADMINISTRADORA E CORRETORA DE SEGUROS LTDA</t>
  </si>
  <si>
    <t>ICARO.SILVA@FACILITABENS.COM.BR,luciana.mayer@allianz.com.br</t>
  </si>
  <si>
    <t>986116037</t>
  </si>
  <si>
    <t>24/04/2025</t>
  </si>
  <si>
    <t>BA273230</t>
  </si>
  <si>
    <t>252168093</t>
  </si>
  <si>
    <t>59678812000133</t>
  </si>
  <si>
    <t>T A DE LIMA  LTDA</t>
  </si>
  <si>
    <t xml:space="preserve">	AURICCHIOCORRETORADESEGUROS@GMAIL.COM,andreia.cardias@allianz.com.br</t>
  </si>
  <si>
    <t>992650684</t>
  </si>
  <si>
    <t>24/05/2025</t>
  </si>
  <si>
    <t>172-J</t>
  </si>
  <si>
    <t>BA273231</t>
  </si>
  <si>
    <t>ANDREIA AVANCINI CARDIAS</t>
  </si>
  <si>
    <t>andreia.cardias@allianz.com.br</t>
  </si>
  <si>
    <t xml:space="preserve"> 98036-4469</t>
  </si>
  <si>
    <t>201009270</t>
  </si>
  <si>
    <t>01597754854</t>
  </si>
  <si>
    <t>APARECIDA PIVA</t>
  </si>
  <si>
    <t>DODA.PIVASEGUROS@GMAIL.COM,juliana.assis@allianz.com.br</t>
  </si>
  <si>
    <t>957760777</t>
  </si>
  <si>
    <t>70-O</t>
  </si>
  <si>
    <t>BA273232</t>
  </si>
  <si>
    <t>JULIANA BERTOLANI DUARTE ASSIS</t>
  </si>
  <si>
    <t>juliana.assis@allianz.com.br</t>
  </si>
  <si>
    <t>12</t>
  </si>
  <si>
    <t xml:space="preserve"> 98877-3282</t>
  </si>
  <si>
    <t>242158956</t>
  </si>
  <si>
    <t>55463170000102</t>
  </si>
  <si>
    <t>J A OLIVEIRA CORRETORA DE SEGUROS E BENEFICIOS</t>
  </si>
  <si>
    <t>JESSYCA_IST@HOTMAIL.COM,adonias.brito@allianz.com.br</t>
  </si>
  <si>
    <t>960373192</t>
  </si>
  <si>
    <t>14/04/2025</t>
  </si>
  <si>
    <t>BA273233</t>
  </si>
  <si>
    <t>252168242</t>
  </si>
  <si>
    <t>60177738000150</t>
  </si>
  <si>
    <t>KEVEN DA S HEREDIAS COR SEGUROS</t>
  </si>
  <si>
    <t>HEREDIASCORSEGUROS@GMAIL.COM,shirley.klein@allianz.com.br</t>
  </si>
  <si>
    <t>41402300</t>
  </si>
  <si>
    <t>BA273234</t>
  </si>
  <si>
    <t>252166799</t>
  </si>
  <si>
    <t>06916939000187</t>
  </si>
  <si>
    <t>CELESTE SERVIÇOS IMOBILIÁRIOS E CORRETORA DE SEGUROS LTDA</t>
  </si>
  <si>
    <t>CELESTE@CELESTEIMOVEIS.COM,adonias.brito@allianz.com.br</t>
  </si>
  <si>
    <t>992055555</t>
  </si>
  <si>
    <t>05/05/2025</t>
  </si>
  <si>
    <t>BA273235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</si>
</sst>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9"/>
      <color indexed="8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49" fontId="2" fillId="2" borderId="1" xfId="0" applyNumberFormat="1" applyFont="1" applyFill="1" applyBorder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0" xfId="0" applyFont="1" applyFill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2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CFBB-55F9-4607-B9B5-C4964BAA79AF}">
  <dimension ref="A1:Q42"/>
  <sheetViews>
    <sheetView tabSelected="1" zoomScale="90" zoomScaleNormal="90" workbookViewId="0">
      <selection activeCell="P22" sqref="P22"/>
    </sheetView>
  </sheetViews>
  <sheetFormatPr defaultRowHeight="13.2" x14ac:dyDescent="0.25"/>
  <cols>
    <col min="1" max="1" width="10" bestFit="1" customWidth="1"/>
    <col min="2" max="2" width="15.109375" bestFit="1" customWidth="1"/>
    <col min="3" max="3" width="79.5546875" bestFit="1" customWidth="1"/>
    <col min="4" max="4" width="72.77734375" bestFit="1" customWidth="1"/>
    <col min="5" max="5" width="3.5546875" customWidth="1"/>
    <col min="6" max="6" width="11" bestFit="1" customWidth="1"/>
    <col min="7" max="7" width="10.5546875" customWidth="1"/>
    <col min="8" max="8" width="18" bestFit="1" customWidth="1"/>
    <col min="9" max="9" width="6.21875" bestFit="1" customWidth="1"/>
    <col min="10" max="10" width="9.77734375" customWidth="1"/>
    <col min="11" max="11" width="6.109375" customWidth="1"/>
    <col min="12" max="12" width="9.6640625" customWidth="1"/>
    <col min="13" max="13" width="9.88671875" bestFit="1" customWidth="1"/>
    <col min="14" max="14" width="36.77734375" bestFit="1" customWidth="1"/>
    <col min="15" max="15" width="29.109375" bestFit="1" customWidth="1"/>
    <col min="16" max="16" width="4.109375" customWidth="1"/>
    <col min="17" max="17" width="11.88671875" customWidth="1"/>
    <col min="19" max="19" width="13.109375" customWidth="1"/>
  </cols>
  <sheetData>
    <row r="1" spans="1:17" ht="14.4" x14ac:dyDescent="0.3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1" t="s">
        <v>10</v>
      </c>
      <c r="L1" s="1" t="s">
        <v>11</v>
      </c>
      <c r="M1" s="1" t="s">
        <v>12</v>
      </c>
      <c r="N1" s="6" t="s">
        <v>13</v>
      </c>
      <c r="O1" s="6" t="s">
        <v>14</v>
      </c>
      <c r="P1" s="7" t="s">
        <v>15</v>
      </c>
      <c r="Q1" s="8" t="s">
        <v>16</v>
      </c>
    </row>
    <row r="2" spans="1:17" ht="14.4" x14ac:dyDescent="0.3">
      <c r="A2" s="9" t="s">
        <v>17</v>
      </c>
      <c r="B2" s="10" t="s">
        <v>18</v>
      </c>
      <c r="C2" s="9" t="s">
        <v>19</v>
      </c>
      <c r="D2" s="9" t="s">
        <v>20</v>
      </c>
      <c r="E2" s="11" t="s">
        <v>21</v>
      </c>
      <c r="F2" s="11" t="s">
        <v>22</v>
      </c>
      <c r="G2" s="9" t="s">
        <v>23</v>
      </c>
      <c r="H2" s="9" t="s">
        <v>24</v>
      </c>
      <c r="I2" s="9" t="s">
        <v>25</v>
      </c>
      <c r="J2" s="9">
        <v>4035720</v>
      </c>
      <c r="K2" s="9" t="s">
        <v>26</v>
      </c>
      <c r="L2" s="9" t="s">
        <v>27</v>
      </c>
      <c r="M2" s="9" t="str">
        <f>SUBSTITUTE(L2,"BA","ba",1)</f>
        <v>ba273195</v>
      </c>
      <c r="N2" s="9" t="s">
        <v>28</v>
      </c>
      <c r="O2" s="9" t="s">
        <v>29</v>
      </c>
      <c r="P2" s="12" t="s">
        <v>30</v>
      </c>
      <c r="Q2" s="12" t="s">
        <v>31</v>
      </c>
    </row>
    <row r="3" spans="1:17" ht="14.4" x14ac:dyDescent="0.3">
      <c r="A3" s="9" t="s">
        <v>32</v>
      </c>
      <c r="B3" s="10" t="s">
        <v>33</v>
      </c>
      <c r="C3" s="9" t="s">
        <v>34</v>
      </c>
      <c r="D3" s="9" t="s">
        <v>35</v>
      </c>
      <c r="E3" s="11" t="s">
        <v>36</v>
      </c>
      <c r="F3" s="11" t="s">
        <v>37</v>
      </c>
      <c r="G3" s="9" t="s">
        <v>38</v>
      </c>
      <c r="H3" s="9" t="s">
        <v>24</v>
      </c>
      <c r="I3" s="9" t="s">
        <v>25</v>
      </c>
      <c r="J3" s="9">
        <v>4035741</v>
      </c>
      <c r="K3" s="9" t="s">
        <v>39</v>
      </c>
      <c r="L3" s="9" t="s">
        <v>40</v>
      </c>
      <c r="M3" s="9" t="str">
        <f>SUBSTITUTE(L3,"BA","ba",1)</f>
        <v>ba273196</v>
      </c>
      <c r="N3" s="9" t="s">
        <v>41</v>
      </c>
      <c r="O3" s="9" t="s">
        <v>42</v>
      </c>
      <c r="P3" s="12" t="s">
        <v>43</v>
      </c>
      <c r="Q3" s="12" t="s">
        <v>44</v>
      </c>
    </row>
    <row r="4" spans="1:17" ht="14.4" x14ac:dyDescent="0.3">
      <c r="A4" s="9" t="s">
        <v>45</v>
      </c>
      <c r="B4" s="10" t="s">
        <v>46</v>
      </c>
      <c r="C4" s="9" t="s">
        <v>47</v>
      </c>
      <c r="D4" s="9" t="s">
        <v>48</v>
      </c>
      <c r="E4" s="11" t="s">
        <v>49</v>
      </c>
      <c r="F4" s="11" t="s">
        <v>50</v>
      </c>
      <c r="G4" s="9" t="s">
        <v>51</v>
      </c>
      <c r="H4" s="9" t="s">
        <v>24</v>
      </c>
      <c r="I4" s="9" t="s">
        <v>25</v>
      </c>
      <c r="J4" s="9">
        <v>4035732</v>
      </c>
      <c r="K4" s="9" t="s">
        <v>52</v>
      </c>
      <c r="L4" s="9" t="s">
        <v>53</v>
      </c>
      <c r="M4" s="9" t="str">
        <f>SUBSTITUTE(L4,"BA","ba",1)</f>
        <v>ba273197</v>
      </c>
      <c r="N4" s="9" t="s">
        <v>54</v>
      </c>
      <c r="O4" s="9" t="s">
        <v>55</v>
      </c>
      <c r="P4" s="12" t="s">
        <v>56</v>
      </c>
      <c r="Q4" s="12" t="s">
        <v>57</v>
      </c>
    </row>
    <row r="5" spans="1:17" ht="14.4" x14ac:dyDescent="0.3">
      <c r="A5" s="9" t="s">
        <v>58</v>
      </c>
      <c r="B5" s="10" t="s">
        <v>59</v>
      </c>
      <c r="C5" s="9" t="s">
        <v>60</v>
      </c>
      <c r="D5" s="9" t="s">
        <v>61</v>
      </c>
      <c r="E5" s="11" t="s">
        <v>62</v>
      </c>
      <c r="F5" s="11" t="s">
        <v>63</v>
      </c>
      <c r="G5" s="9" t="s">
        <v>64</v>
      </c>
      <c r="H5" s="9" t="s">
        <v>24</v>
      </c>
      <c r="I5" s="9" t="s">
        <v>25</v>
      </c>
      <c r="J5" s="9">
        <v>4035751</v>
      </c>
      <c r="K5" s="9" t="s">
        <v>65</v>
      </c>
      <c r="L5" s="9" t="s">
        <v>66</v>
      </c>
      <c r="M5" s="9" t="str">
        <f>SUBSTITUTE(L5,"BA","ba",1)</f>
        <v>ba273198</v>
      </c>
      <c r="N5" s="9" t="s">
        <v>67</v>
      </c>
      <c r="O5" s="9" t="s">
        <v>68</v>
      </c>
      <c r="P5" s="12" t="s">
        <v>69</v>
      </c>
      <c r="Q5" s="12" t="s">
        <v>70</v>
      </c>
    </row>
    <row r="6" spans="1:17" ht="14.4" x14ac:dyDescent="0.3">
      <c r="A6" s="9" t="s">
        <v>71</v>
      </c>
      <c r="B6" s="10" t="s">
        <v>72</v>
      </c>
      <c r="C6" s="9" t="s">
        <v>73</v>
      </c>
      <c r="D6" s="9" t="s">
        <v>74</v>
      </c>
      <c r="E6" s="11" t="s">
        <v>75</v>
      </c>
      <c r="F6" s="11" t="s">
        <v>76</v>
      </c>
      <c r="G6" s="9" t="s">
        <v>77</v>
      </c>
      <c r="H6" s="9" t="s">
        <v>24</v>
      </c>
      <c r="I6" s="9" t="s">
        <v>25</v>
      </c>
      <c r="J6" s="9">
        <v>4035738</v>
      </c>
      <c r="K6" s="9" t="s">
        <v>78</v>
      </c>
      <c r="L6" s="9" t="s">
        <v>79</v>
      </c>
      <c r="M6" s="9" t="str">
        <f>SUBSTITUTE(L6,"BA","ba",1)</f>
        <v>ba273199</v>
      </c>
      <c r="N6" s="9" t="s">
        <v>80</v>
      </c>
      <c r="O6" s="9" t="s">
        <v>81</v>
      </c>
      <c r="P6" s="12" t="s">
        <v>75</v>
      </c>
      <c r="Q6" s="12" t="s">
        <v>82</v>
      </c>
    </row>
    <row r="7" spans="1:17" ht="14.4" x14ac:dyDescent="0.3">
      <c r="A7" s="9" t="s">
        <v>83</v>
      </c>
      <c r="B7" s="10" t="s">
        <v>84</v>
      </c>
      <c r="C7" s="9" t="s">
        <v>85</v>
      </c>
      <c r="D7" s="9" t="s">
        <v>86</v>
      </c>
      <c r="E7" s="11" t="s">
        <v>62</v>
      </c>
      <c r="F7" s="11" t="s">
        <v>87</v>
      </c>
      <c r="G7" s="9" t="s">
        <v>88</v>
      </c>
      <c r="H7" s="9" t="s">
        <v>24</v>
      </c>
      <c r="I7" s="9" t="s">
        <v>25</v>
      </c>
      <c r="J7" s="9">
        <v>4035721</v>
      </c>
      <c r="K7" s="9" t="s">
        <v>78</v>
      </c>
      <c r="L7" s="9" t="s">
        <v>89</v>
      </c>
      <c r="M7" s="9" t="str">
        <f>SUBSTITUTE(L7,"BA","ba",1)</f>
        <v>ba273200</v>
      </c>
      <c r="N7" s="9" t="s">
        <v>80</v>
      </c>
      <c r="O7" s="9" t="s">
        <v>81</v>
      </c>
      <c r="P7" s="12" t="s">
        <v>75</v>
      </c>
      <c r="Q7" s="12" t="s">
        <v>82</v>
      </c>
    </row>
    <row r="8" spans="1:17" ht="14.4" x14ac:dyDescent="0.3">
      <c r="A8" s="9" t="s">
        <v>90</v>
      </c>
      <c r="B8" s="10" t="s">
        <v>91</v>
      </c>
      <c r="C8" s="9" t="s">
        <v>92</v>
      </c>
      <c r="D8" s="9" t="s">
        <v>93</v>
      </c>
      <c r="E8" s="11" t="s">
        <v>36</v>
      </c>
      <c r="F8" s="11" t="s">
        <v>94</v>
      </c>
      <c r="G8" s="9" t="s">
        <v>77</v>
      </c>
      <c r="H8" s="9" t="s">
        <v>24</v>
      </c>
      <c r="I8" s="9" t="s">
        <v>25</v>
      </c>
      <c r="J8" s="9">
        <v>4035718</v>
      </c>
      <c r="K8" s="9" t="s">
        <v>95</v>
      </c>
      <c r="L8" s="9" t="s">
        <v>96</v>
      </c>
      <c r="M8" s="9" t="str">
        <f>SUBSTITUTE(L8,"BA","ba",1)</f>
        <v>ba273201</v>
      </c>
      <c r="N8" s="9" t="s">
        <v>97</v>
      </c>
      <c r="O8" s="9" t="s">
        <v>98</v>
      </c>
      <c r="P8" s="12" t="s">
        <v>36</v>
      </c>
      <c r="Q8" s="12" t="s">
        <v>99</v>
      </c>
    </row>
    <row r="9" spans="1:17" ht="14.4" x14ac:dyDescent="0.3">
      <c r="A9" s="9" t="s">
        <v>100</v>
      </c>
      <c r="B9" s="10" t="s">
        <v>101</v>
      </c>
      <c r="C9" s="9" t="s">
        <v>102</v>
      </c>
      <c r="D9" s="9" t="s">
        <v>103</v>
      </c>
      <c r="E9" s="11" t="s">
        <v>75</v>
      </c>
      <c r="F9" s="11" t="s">
        <v>104</v>
      </c>
      <c r="G9" s="9" t="s">
        <v>105</v>
      </c>
      <c r="H9" s="9" t="s">
        <v>24</v>
      </c>
      <c r="I9" s="9" t="s">
        <v>25</v>
      </c>
      <c r="J9" s="9">
        <v>4035737</v>
      </c>
      <c r="K9" s="9" t="s">
        <v>106</v>
      </c>
      <c r="L9" s="9" t="s">
        <v>107</v>
      </c>
      <c r="M9" s="9" t="str">
        <f>SUBSTITUTE(L9,"BA","ba",1)</f>
        <v>ba273202</v>
      </c>
      <c r="N9" s="9" t="s">
        <v>108</v>
      </c>
      <c r="O9" s="9" t="s">
        <v>109</v>
      </c>
      <c r="P9" s="12" t="s">
        <v>75</v>
      </c>
      <c r="Q9" s="12" t="s">
        <v>110</v>
      </c>
    </row>
    <row r="10" spans="1:17" ht="14.4" x14ac:dyDescent="0.3">
      <c r="A10" s="9" t="s">
        <v>111</v>
      </c>
      <c r="B10" s="10" t="s">
        <v>112</v>
      </c>
      <c r="C10" s="9" t="s">
        <v>113</v>
      </c>
      <c r="D10" s="9" t="s">
        <v>114</v>
      </c>
      <c r="E10" s="11" t="s">
        <v>115</v>
      </c>
      <c r="F10" s="11" t="s">
        <v>116</v>
      </c>
      <c r="G10" s="9" t="s">
        <v>117</v>
      </c>
      <c r="H10" s="9" t="s">
        <v>24</v>
      </c>
      <c r="I10" s="9" t="s">
        <v>25</v>
      </c>
      <c r="J10" s="9">
        <v>4035753</v>
      </c>
      <c r="K10" s="9" t="s">
        <v>118</v>
      </c>
      <c r="L10" s="9" t="s">
        <v>119</v>
      </c>
      <c r="M10" s="9" t="str">
        <f>SUBSTITUTE(L10,"BA","ba",1)</f>
        <v>ba273203</v>
      </c>
      <c r="N10" s="9" t="s">
        <v>120</v>
      </c>
      <c r="O10" s="9" t="s">
        <v>121</v>
      </c>
      <c r="P10" s="12" t="s">
        <v>62</v>
      </c>
      <c r="Q10" s="12" t="s">
        <v>122</v>
      </c>
    </row>
    <row r="11" spans="1:17" ht="14.4" x14ac:dyDescent="0.3">
      <c r="A11" s="9" t="s">
        <v>123</v>
      </c>
      <c r="B11" s="10" t="s">
        <v>124</v>
      </c>
      <c r="C11" s="9" t="s">
        <v>125</v>
      </c>
      <c r="D11" s="9" t="s">
        <v>126</v>
      </c>
      <c r="E11" s="11" t="s">
        <v>127</v>
      </c>
      <c r="F11" s="11" t="s">
        <v>128</v>
      </c>
      <c r="G11" s="9" t="s">
        <v>117</v>
      </c>
      <c r="H11" s="9" t="s">
        <v>24</v>
      </c>
      <c r="I11" s="9" t="s">
        <v>25</v>
      </c>
      <c r="J11" s="9">
        <v>4035723</v>
      </c>
      <c r="K11" s="9" t="s">
        <v>129</v>
      </c>
      <c r="L11" s="9" t="s">
        <v>130</v>
      </c>
      <c r="M11" s="9" t="str">
        <f>SUBSTITUTE(L11,"BA","ba",1)</f>
        <v>ba273204</v>
      </c>
      <c r="N11" s="9" t="s">
        <v>131</v>
      </c>
      <c r="O11" s="9" t="s">
        <v>132</v>
      </c>
      <c r="P11" s="12">
        <v>41</v>
      </c>
      <c r="Q11" s="12" t="s">
        <v>133</v>
      </c>
    </row>
    <row r="12" spans="1:17" ht="14.4" x14ac:dyDescent="0.3">
      <c r="A12" s="9" t="s">
        <v>134</v>
      </c>
      <c r="B12" s="10" t="s">
        <v>135</v>
      </c>
      <c r="C12" s="9" t="s">
        <v>136</v>
      </c>
      <c r="D12" s="9" t="s">
        <v>137</v>
      </c>
      <c r="E12" s="11" t="s">
        <v>75</v>
      </c>
      <c r="F12" s="11" t="s">
        <v>138</v>
      </c>
      <c r="G12" s="9" t="s">
        <v>139</v>
      </c>
      <c r="H12" s="9" t="s">
        <v>24</v>
      </c>
      <c r="I12" s="9" t="s">
        <v>25</v>
      </c>
      <c r="J12" s="9">
        <v>4035747</v>
      </c>
      <c r="K12" s="9" t="s">
        <v>78</v>
      </c>
      <c r="L12" s="9" t="s">
        <v>140</v>
      </c>
      <c r="M12" s="9" t="str">
        <f>SUBSTITUTE(L12,"BA","ba",1)</f>
        <v>ba273205</v>
      </c>
      <c r="N12" s="9" t="s">
        <v>80</v>
      </c>
      <c r="O12" s="9" t="s">
        <v>81</v>
      </c>
      <c r="P12" s="12" t="s">
        <v>75</v>
      </c>
      <c r="Q12" s="12" t="s">
        <v>82</v>
      </c>
    </row>
    <row r="13" spans="1:17" ht="14.4" x14ac:dyDescent="0.3">
      <c r="A13" s="9" t="s">
        <v>141</v>
      </c>
      <c r="B13" s="10" t="s">
        <v>142</v>
      </c>
      <c r="C13" s="9" t="s">
        <v>143</v>
      </c>
      <c r="D13" s="9" t="s">
        <v>144</v>
      </c>
      <c r="E13" s="11" t="s">
        <v>36</v>
      </c>
      <c r="F13" s="11" t="s">
        <v>145</v>
      </c>
      <c r="G13" s="9" t="s">
        <v>146</v>
      </c>
      <c r="H13" s="9" t="s">
        <v>24</v>
      </c>
      <c r="I13" s="9" t="s">
        <v>25</v>
      </c>
      <c r="J13" s="9">
        <v>4035750</v>
      </c>
      <c r="K13" s="9" t="s">
        <v>39</v>
      </c>
      <c r="L13" s="9" t="s">
        <v>147</v>
      </c>
      <c r="M13" s="9" t="str">
        <f>SUBSTITUTE(L13,"BA","ba",1)</f>
        <v>ba273206</v>
      </c>
      <c r="N13" s="9" t="s">
        <v>41</v>
      </c>
      <c r="O13" s="9" t="s">
        <v>42</v>
      </c>
      <c r="P13" s="12" t="s">
        <v>43</v>
      </c>
      <c r="Q13" s="12" t="s">
        <v>44</v>
      </c>
    </row>
    <row r="14" spans="1:17" ht="14.4" x14ac:dyDescent="0.3">
      <c r="A14" s="9" t="s">
        <v>148</v>
      </c>
      <c r="B14" s="10" t="s">
        <v>149</v>
      </c>
      <c r="C14" s="9" t="s">
        <v>150</v>
      </c>
      <c r="D14" s="9" t="s">
        <v>151</v>
      </c>
      <c r="E14" s="11" t="s">
        <v>152</v>
      </c>
      <c r="F14" s="11" t="s">
        <v>153</v>
      </c>
      <c r="G14" s="9" t="s">
        <v>154</v>
      </c>
      <c r="H14" s="9" t="s">
        <v>24</v>
      </c>
      <c r="I14" s="9" t="s">
        <v>25</v>
      </c>
      <c r="J14" s="9">
        <v>4035710</v>
      </c>
      <c r="K14" s="9" t="s">
        <v>155</v>
      </c>
      <c r="L14" s="9" t="s">
        <v>156</v>
      </c>
      <c r="M14" s="9" t="str">
        <f>SUBSTITUTE(L14,"BA","ba",1)</f>
        <v>ba273207</v>
      </c>
      <c r="N14" s="9" t="s">
        <v>157</v>
      </c>
      <c r="O14" s="9" t="s">
        <v>158</v>
      </c>
      <c r="P14" s="12" t="s">
        <v>152</v>
      </c>
      <c r="Q14" s="12" t="s">
        <v>159</v>
      </c>
    </row>
    <row r="15" spans="1:17" ht="14.4" x14ac:dyDescent="0.3">
      <c r="A15" s="9" t="s">
        <v>160</v>
      </c>
      <c r="B15" s="10" t="s">
        <v>161</v>
      </c>
      <c r="C15" s="9" t="s">
        <v>162</v>
      </c>
      <c r="D15" s="9" t="s">
        <v>163</v>
      </c>
      <c r="E15" s="11" t="s">
        <v>75</v>
      </c>
      <c r="F15" s="11" t="s">
        <v>164</v>
      </c>
      <c r="G15" s="9" t="s">
        <v>165</v>
      </c>
      <c r="H15" s="9" t="s">
        <v>24</v>
      </c>
      <c r="I15" s="9" t="s">
        <v>25</v>
      </c>
      <c r="J15" s="9">
        <v>4035719</v>
      </c>
      <c r="K15" s="9" t="s">
        <v>166</v>
      </c>
      <c r="L15" s="9" t="s">
        <v>167</v>
      </c>
      <c r="M15" s="9" t="str">
        <f>SUBSTITUTE(L15,"BA","ba",1)</f>
        <v>ba273208</v>
      </c>
      <c r="N15" s="9" t="s">
        <v>168</v>
      </c>
      <c r="O15" s="9" t="s">
        <v>169</v>
      </c>
      <c r="P15" s="12">
        <v>11</v>
      </c>
      <c r="Q15" s="12" t="s">
        <v>170</v>
      </c>
    </row>
    <row r="16" spans="1:17" ht="14.4" x14ac:dyDescent="0.3">
      <c r="A16" s="9" t="s">
        <v>171</v>
      </c>
      <c r="B16" s="10" t="s">
        <v>172</v>
      </c>
      <c r="C16" s="9" t="s">
        <v>173</v>
      </c>
      <c r="D16" s="9" t="s">
        <v>174</v>
      </c>
      <c r="E16" s="11" t="s">
        <v>30</v>
      </c>
      <c r="F16" s="11" t="s">
        <v>175</v>
      </c>
      <c r="G16" s="9" t="s">
        <v>176</v>
      </c>
      <c r="H16" s="9" t="s">
        <v>24</v>
      </c>
      <c r="I16" s="9" t="s">
        <v>25</v>
      </c>
      <c r="J16" s="9">
        <v>4035712</v>
      </c>
      <c r="K16" s="9" t="s">
        <v>177</v>
      </c>
      <c r="L16" s="9" t="s">
        <v>178</v>
      </c>
      <c r="M16" s="9" t="str">
        <f>SUBSTITUTE(L16,"BA","ba",1)</f>
        <v>ba273209</v>
      </c>
      <c r="N16" s="9" t="s">
        <v>179</v>
      </c>
      <c r="O16" s="9" t="s">
        <v>180</v>
      </c>
      <c r="P16" s="12" t="s">
        <v>30</v>
      </c>
      <c r="Q16" s="12" t="s">
        <v>181</v>
      </c>
    </row>
    <row r="17" spans="1:17" ht="14.4" x14ac:dyDescent="0.3">
      <c r="A17" s="9" t="s">
        <v>182</v>
      </c>
      <c r="B17" s="10" t="s">
        <v>183</v>
      </c>
      <c r="C17" s="9" t="s">
        <v>184</v>
      </c>
      <c r="D17" s="9" t="s">
        <v>185</v>
      </c>
      <c r="E17" s="11" t="s">
        <v>75</v>
      </c>
      <c r="F17" s="11" t="s">
        <v>186</v>
      </c>
      <c r="G17" s="9" t="s">
        <v>117</v>
      </c>
      <c r="H17" s="9" t="s">
        <v>24</v>
      </c>
      <c r="I17" s="9" t="s">
        <v>25</v>
      </c>
      <c r="J17" s="9">
        <v>4035722</v>
      </c>
      <c r="K17" s="9" t="s">
        <v>78</v>
      </c>
      <c r="L17" s="9" t="s">
        <v>187</v>
      </c>
      <c r="M17" s="9" t="str">
        <f>SUBSTITUTE(L17,"BA","ba",1)</f>
        <v>ba273210</v>
      </c>
      <c r="N17" s="9" t="s">
        <v>80</v>
      </c>
      <c r="O17" s="9" t="s">
        <v>81</v>
      </c>
      <c r="P17" s="12" t="s">
        <v>75</v>
      </c>
      <c r="Q17" s="12" t="s">
        <v>82</v>
      </c>
    </row>
    <row r="18" spans="1:17" ht="14.4" x14ac:dyDescent="0.3">
      <c r="A18" s="9" t="s">
        <v>188</v>
      </c>
      <c r="B18" s="10" t="s">
        <v>189</v>
      </c>
      <c r="C18" s="9" t="s">
        <v>190</v>
      </c>
      <c r="D18" s="9" t="s">
        <v>191</v>
      </c>
      <c r="E18" s="11" t="s">
        <v>36</v>
      </c>
      <c r="F18" s="11" t="s">
        <v>192</v>
      </c>
      <c r="G18" s="9" t="s">
        <v>193</v>
      </c>
      <c r="H18" s="9" t="s">
        <v>24</v>
      </c>
      <c r="I18" s="9" t="s">
        <v>25</v>
      </c>
      <c r="J18" s="9">
        <v>4035724</v>
      </c>
      <c r="K18" s="9" t="s">
        <v>95</v>
      </c>
      <c r="L18" s="9" t="s">
        <v>194</v>
      </c>
      <c r="M18" s="9" t="str">
        <f>SUBSTITUTE(L18,"BA","ba",1)</f>
        <v>ba273211</v>
      </c>
      <c r="N18" s="9" t="s">
        <v>97</v>
      </c>
      <c r="O18" s="9" t="s">
        <v>98</v>
      </c>
      <c r="P18" s="12" t="s">
        <v>36</v>
      </c>
      <c r="Q18" s="12" t="s">
        <v>99</v>
      </c>
    </row>
    <row r="19" spans="1:17" ht="14.4" x14ac:dyDescent="0.3">
      <c r="A19" s="9" t="s">
        <v>195</v>
      </c>
      <c r="B19" s="10" t="s">
        <v>196</v>
      </c>
      <c r="C19" s="9" t="s">
        <v>197</v>
      </c>
      <c r="D19" s="9" t="s">
        <v>198</v>
      </c>
      <c r="E19" s="11" t="s">
        <v>199</v>
      </c>
      <c r="F19" s="11" t="s">
        <v>200</v>
      </c>
      <c r="G19" s="9" t="s">
        <v>201</v>
      </c>
      <c r="H19" s="9" t="s">
        <v>24</v>
      </c>
      <c r="I19" s="9" t="s">
        <v>25</v>
      </c>
      <c r="J19" s="9">
        <v>4035725</v>
      </c>
      <c r="K19" s="9" t="s">
        <v>202</v>
      </c>
      <c r="L19" s="9" t="s">
        <v>203</v>
      </c>
      <c r="M19" s="9" t="str">
        <f>SUBSTITUTE(L19,"BA","ba",1)</f>
        <v>ba273212</v>
      </c>
      <c r="N19" s="9" t="s">
        <v>204</v>
      </c>
      <c r="O19" s="9" t="s">
        <v>205</v>
      </c>
      <c r="P19" s="12" t="s">
        <v>30</v>
      </c>
      <c r="Q19" s="12" t="s">
        <v>206</v>
      </c>
    </row>
    <row r="20" spans="1:17" ht="14.4" x14ac:dyDescent="0.3">
      <c r="A20" s="9" t="s">
        <v>207</v>
      </c>
      <c r="B20" s="10" t="s">
        <v>208</v>
      </c>
      <c r="C20" s="9" t="s">
        <v>209</v>
      </c>
      <c r="D20" s="9" t="s">
        <v>210</v>
      </c>
      <c r="E20" s="11" t="s">
        <v>152</v>
      </c>
      <c r="F20" s="11" t="s">
        <v>211</v>
      </c>
      <c r="G20" s="9" t="s">
        <v>154</v>
      </c>
      <c r="H20" s="9" t="s">
        <v>24</v>
      </c>
      <c r="I20" s="9" t="s">
        <v>25</v>
      </c>
      <c r="J20" s="9">
        <v>4035714</v>
      </c>
      <c r="K20" s="9" t="s">
        <v>212</v>
      </c>
      <c r="L20" s="9" t="s">
        <v>213</v>
      </c>
      <c r="M20" s="9" t="str">
        <f>SUBSTITUTE(L20,"BA","ba",1)</f>
        <v>ba273213</v>
      </c>
      <c r="N20" s="9" t="s">
        <v>214</v>
      </c>
      <c r="O20" s="9" t="s">
        <v>215</v>
      </c>
      <c r="P20" s="12" t="s">
        <v>75</v>
      </c>
      <c r="Q20" s="12" t="s">
        <v>216</v>
      </c>
    </row>
    <row r="21" spans="1:17" ht="14.4" x14ac:dyDescent="0.3">
      <c r="A21" s="9" t="s">
        <v>217</v>
      </c>
      <c r="B21" s="10" t="s">
        <v>218</v>
      </c>
      <c r="C21" s="9" t="s">
        <v>219</v>
      </c>
      <c r="D21" s="9" t="s">
        <v>220</v>
      </c>
      <c r="E21" s="11" t="s">
        <v>221</v>
      </c>
      <c r="F21" s="11" t="s">
        <v>222</v>
      </c>
      <c r="G21" s="9" t="s">
        <v>223</v>
      </c>
      <c r="H21" s="9" t="s">
        <v>24</v>
      </c>
      <c r="I21" s="9" t="s">
        <v>25</v>
      </c>
      <c r="J21" s="9">
        <v>4035717</v>
      </c>
      <c r="K21" s="9" t="s">
        <v>224</v>
      </c>
      <c r="L21" s="9" t="s">
        <v>225</v>
      </c>
      <c r="M21" s="9" t="str">
        <f>SUBSTITUTE(L21,"BA","ba",1)</f>
        <v>ba273214</v>
      </c>
      <c r="N21" s="9" t="s">
        <v>226</v>
      </c>
      <c r="O21" s="9" t="s">
        <v>227</v>
      </c>
      <c r="P21" s="12" t="s">
        <v>30</v>
      </c>
      <c r="Q21" s="12" t="s">
        <v>228</v>
      </c>
    </row>
    <row r="22" spans="1:17" ht="14.4" x14ac:dyDescent="0.3">
      <c r="A22" s="9" t="s">
        <v>229</v>
      </c>
      <c r="B22" s="10" t="s">
        <v>230</v>
      </c>
      <c r="C22" s="9" t="s">
        <v>231</v>
      </c>
      <c r="D22" s="9" t="s">
        <v>232</v>
      </c>
      <c r="E22" s="11" t="s">
        <v>62</v>
      </c>
      <c r="F22" s="11" t="s">
        <v>233</v>
      </c>
      <c r="G22" s="9" t="s">
        <v>223</v>
      </c>
      <c r="H22" s="9" t="s">
        <v>24</v>
      </c>
      <c r="I22" s="9" t="s">
        <v>25</v>
      </c>
      <c r="J22" s="9">
        <v>4035752</v>
      </c>
      <c r="K22" s="9" t="s">
        <v>234</v>
      </c>
      <c r="L22" s="9" t="s">
        <v>235</v>
      </c>
      <c r="M22" s="9" t="str">
        <f>SUBSTITUTE(L22,"BA","ba",1)</f>
        <v>ba273215</v>
      </c>
      <c r="N22" s="9" t="s">
        <v>236</v>
      </c>
      <c r="O22" s="9" t="s">
        <v>237</v>
      </c>
      <c r="P22" s="12">
        <v>11</v>
      </c>
      <c r="Q22" s="12" t="s">
        <v>238</v>
      </c>
    </row>
    <row r="23" spans="1:17" ht="14.4" x14ac:dyDescent="0.3">
      <c r="A23" s="9" t="s">
        <v>239</v>
      </c>
      <c r="B23" s="10" t="s">
        <v>240</v>
      </c>
      <c r="C23" s="9" t="s">
        <v>241</v>
      </c>
      <c r="D23" s="9" t="s">
        <v>242</v>
      </c>
      <c r="E23" s="11" t="s">
        <v>243</v>
      </c>
      <c r="F23" s="11" t="s">
        <v>244</v>
      </c>
      <c r="G23" s="9" t="s">
        <v>165</v>
      </c>
      <c r="H23" s="9" t="s">
        <v>24</v>
      </c>
      <c r="I23" s="9" t="s">
        <v>25</v>
      </c>
      <c r="J23" s="9">
        <v>4035711</v>
      </c>
      <c r="K23" s="9" t="s">
        <v>118</v>
      </c>
      <c r="L23" s="9" t="s">
        <v>245</v>
      </c>
      <c r="M23" s="9" t="str">
        <f>SUBSTITUTE(L23,"BA","ba",1)</f>
        <v>ba273216</v>
      </c>
      <c r="N23" s="9" t="s">
        <v>120</v>
      </c>
      <c r="O23" s="9" t="s">
        <v>121</v>
      </c>
      <c r="P23" s="12" t="s">
        <v>62</v>
      </c>
      <c r="Q23" s="12" t="s">
        <v>122</v>
      </c>
    </row>
    <row r="24" spans="1:17" ht="14.4" x14ac:dyDescent="0.3">
      <c r="A24" s="9" t="s">
        <v>246</v>
      </c>
      <c r="B24" s="10" t="s">
        <v>247</v>
      </c>
      <c r="C24" s="9" t="s">
        <v>248</v>
      </c>
      <c r="D24" s="9" t="s">
        <v>249</v>
      </c>
      <c r="E24" s="11" t="s">
        <v>75</v>
      </c>
      <c r="F24" s="11" t="s">
        <v>250</v>
      </c>
      <c r="G24" s="9" t="s">
        <v>201</v>
      </c>
      <c r="H24" s="9" t="s">
        <v>24</v>
      </c>
      <c r="I24" s="9" t="s">
        <v>25</v>
      </c>
      <c r="J24" s="9">
        <v>4035726</v>
      </c>
      <c r="K24" s="9" t="s">
        <v>106</v>
      </c>
      <c r="L24" s="9" t="s">
        <v>251</v>
      </c>
      <c r="M24" s="9" t="str">
        <f>SUBSTITUTE(L24,"BA","ba",1)</f>
        <v>ba273217</v>
      </c>
      <c r="N24" s="9" t="s">
        <v>108</v>
      </c>
      <c r="O24" s="9" t="s">
        <v>109</v>
      </c>
      <c r="P24" s="12" t="s">
        <v>75</v>
      </c>
      <c r="Q24" s="12" t="s">
        <v>110</v>
      </c>
    </row>
    <row r="25" spans="1:17" ht="14.4" x14ac:dyDescent="0.3">
      <c r="A25" s="9" t="s">
        <v>252</v>
      </c>
      <c r="B25" s="10" t="s">
        <v>253</v>
      </c>
      <c r="C25" s="9" t="s">
        <v>254</v>
      </c>
      <c r="D25" s="9" t="s">
        <v>255</v>
      </c>
      <c r="E25" s="11" t="s">
        <v>256</v>
      </c>
      <c r="F25" s="11" t="s">
        <v>257</v>
      </c>
      <c r="G25" s="9" t="s">
        <v>258</v>
      </c>
      <c r="H25" s="9" t="s">
        <v>24</v>
      </c>
      <c r="I25" s="9" t="s">
        <v>25</v>
      </c>
      <c r="J25" s="9">
        <v>4035727</v>
      </c>
      <c r="K25" s="9" t="s">
        <v>259</v>
      </c>
      <c r="L25" s="9" t="s">
        <v>260</v>
      </c>
      <c r="M25" s="9" t="str">
        <f>SUBSTITUTE(L25,"BA","ba",1)</f>
        <v>ba273218</v>
      </c>
      <c r="N25" s="9" t="s">
        <v>261</v>
      </c>
      <c r="O25" s="9" t="s">
        <v>262</v>
      </c>
      <c r="P25" s="12" t="s">
        <v>263</v>
      </c>
      <c r="Q25" s="12" t="s">
        <v>264</v>
      </c>
    </row>
    <row r="26" spans="1:17" ht="14.4" x14ac:dyDescent="0.3">
      <c r="A26" s="9" t="s">
        <v>265</v>
      </c>
      <c r="B26" s="10" t="s">
        <v>266</v>
      </c>
      <c r="C26" s="9" t="s">
        <v>267</v>
      </c>
      <c r="D26" s="9" t="s">
        <v>268</v>
      </c>
      <c r="E26" s="11" t="s">
        <v>243</v>
      </c>
      <c r="F26" s="11" t="s">
        <v>269</v>
      </c>
      <c r="G26" s="9" t="s">
        <v>270</v>
      </c>
      <c r="H26" s="9" t="s">
        <v>24</v>
      </c>
      <c r="I26" s="9" t="s">
        <v>25</v>
      </c>
      <c r="J26" s="9">
        <v>4035728</v>
      </c>
      <c r="K26" s="9" t="s">
        <v>271</v>
      </c>
      <c r="L26" s="9" t="s">
        <v>272</v>
      </c>
      <c r="M26" s="9" t="str">
        <f>SUBSTITUTE(L26,"BA","ba",1)</f>
        <v>ba273219</v>
      </c>
      <c r="N26" s="9" t="s">
        <v>273</v>
      </c>
      <c r="O26" s="9" t="s">
        <v>274</v>
      </c>
      <c r="P26" s="12" t="s">
        <v>75</v>
      </c>
      <c r="Q26" s="12" t="s">
        <v>275</v>
      </c>
    </row>
    <row r="27" spans="1:17" ht="14.4" x14ac:dyDescent="0.3">
      <c r="A27" s="9" t="s">
        <v>276</v>
      </c>
      <c r="B27" s="10" t="s">
        <v>277</v>
      </c>
      <c r="C27" s="9" t="s">
        <v>278</v>
      </c>
      <c r="D27" s="9" t="s">
        <v>279</v>
      </c>
      <c r="E27" s="11" t="s">
        <v>30</v>
      </c>
      <c r="F27" s="11" t="s">
        <v>280</v>
      </c>
      <c r="G27" s="9" t="s">
        <v>270</v>
      </c>
      <c r="H27" s="9" t="s">
        <v>24</v>
      </c>
      <c r="I27" s="9" t="s">
        <v>25</v>
      </c>
      <c r="J27" s="9">
        <v>4035729</v>
      </c>
      <c r="K27" s="9" t="s">
        <v>281</v>
      </c>
      <c r="L27" s="9" t="s">
        <v>282</v>
      </c>
      <c r="M27" s="9" t="str">
        <f>SUBSTITUTE(L27,"BA","ba",1)</f>
        <v>ba273220</v>
      </c>
      <c r="N27" s="9" t="s">
        <v>283</v>
      </c>
      <c r="O27" s="9" t="s">
        <v>284</v>
      </c>
      <c r="P27" s="12" t="s">
        <v>30</v>
      </c>
      <c r="Q27" s="12" t="s">
        <v>285</v>
      </c>
    </row>
    <row r="28" spans="1:17" ht="14.4" x14ac:dyDescent="0.3">
      <c r="A28" s="9" t="s">
        <v>286</v>
      </c>
      <c r="B28" s="10" t="s">
        <v>287</v>
      </c>
      <c r="C28" s="9" t="s">
        <v>288</v>
      </c>
      <c r="D28" s="9" t="s">
        <v>289</v>
      </c>
      <c r="E28" s="11" t="s">
        <v>75</v>
      </c>
      <c r="F28" s="11" t="s">
        <v>290</v>
      </c>
      <c r="G28" s="9" t="s">
        <v>291</v>
      </c>
      <c r="H28" s="9" t="s">
        <v>24</v>
      </c>
      <c r="I28" s="9" t="s">
        <v>25</v>
      </c>
      <c r="J28" s="9">
        <v>4035730</v>
      </c>
      <c r="K28" s="9" t="s">
        <v>78</v>
      </c>
      <c r="L28" s="9" t="s">
        <v>292</v>
      </c>
      <c r="M28" s="9" t="str">
        <f>SUBSTITUTE(L28,"BA","ba",1)</f>
        <v>ba273221</v>
      </c>
      <c r="N28" s="9" t="s">
        <v>80</v>
      </c>
      <c r="O28" s="9" t="s">
        <v>81</v>
      </c>
      <c r="P28" s="12" t="s">
        <v>75</v>
      </c>
      <c r="Q28" s="12" t="s">
        <v>82</v>
      </c>
    </row>
    <row r="29" spans="1:17" ht="14.4" x14ac:dyDescent="0.3">
      <c r="A29" s="9" t="s">
        <v>293</v>
      </c>
      <c r="B29" s="10" t="s">
        <v>294</v>
      </c>
      <c r="C29" s="9" t="s">
        <v>295</v>
      </c>
      <c r="D29" s="9" t="s">
        <v>296</v>
      </c>
      <c r="E29" s="11" t="s">
        <v>75</v>
      </c>
      <c r="F29" s="11" t="s">
        <v>297</v>
      </c>
      <c r="G29" s="9" t="s">
        <v>291</v>
      </c>
      <c r="H29" s="9" t="s">
        <v>24</v>
      </c>
      <c r="I29" s="9" t="s">
        <v>25</v>
      </c>
      <c r="J29" s="9">
        <v>4035731</v>
      </c>
      <c r="K29" s="9" t="s">
        <v>78</v>
      </c>
      <c r="L29" s="9" t="s">
        <v>298</v>
      </c>
      <c r="M29" s="9" t="str">
        <f>SUBSTITUTE(L29,"BA","ba",1)</f>
        <v>ba273222</v>
      </c>
      <c r="N29" s="9" t="s">
        <v>80</v>
      </c>
      <c r="O29" s="9" t="s">
        <v>81</v>
      </c>
      <c r="P29" s="12" t="s">
        <v>75</v>
      </c>
      <c r="Q29" s="12" t="s">
        <v>82</v>
      </c>
    </row>
    <row r="30" spans="1:17" ht="14.4" x14ac:dyDescent="0.3">
      <c r="A30" s="9" t="s">
        <v>299</v>
      </c>
      <c r="B30" s="10" t="s">
        <v>300</v>
      </c>
      <c r="C30" s="9" t="s">
        <v>301</v>
      </c>
      <c r="D30" s="9" t="s">
        <v>302</v>
      </c>
      <c r="E30" s="11" t="s">
        <v>303</v>
      </c>
      <c r="F30" s="11" t="s">
        <v>304</v>
      </c>
      <c r="G30" s="9" t="s">
        <v>305</v>
      </c>
      <c r="H30" s="9" t="s">
        <v>24</v>
      </c>
      <c r="I30" s="9" t="s">
        <v>25</v>
      </c>
      <c r="J30" s="9">
        <v>4035739</v>
      </c>
      <c r="K30" s="9" t="s">
        <v>306</v>
      </c>
      <c r="L30" s="9" t="s">
        <v>307</v>
      </c>
      <c r="M30" s="9" t="str">
        <f>SUBSTITUTE(L30,"BA","ba",1)</f>
        <v>ba273223</v>
      </c>
      <c r="N30" s="9" t="s">
        <v>308</v>
      </c>
      <c r="O30" s="9" t="s">
        <v>309</v>
      </c>
      <c r="P30" s="12" t="s">
        <v>56</v>
      </c>
      <c r="Q30" s="12" t="s">
        <v>310</v>
      </c>
    </row>
    <row r="31" spans="1:17" ht="14.4" x14ac:dyDescent="0.3">
      <c r="A31" s="9" t="s">
        <v>311</v>
      </c>
      <c r="B31" s="10" t="s">
        <v>312</v>
      </c>
      <c r="C31" s="9" t="s">
        <v>313</v>
      </c>
      <c r="D31" s="9" t="s">
        <v>314</v>
      </c>
      <c r="E31" s="11" t="s">
        <v>75</v>
      </c>
      <c r="F31" s="11" t="s">
        <v>315</v>
      </c>
      <c r="G31" s="9" t="s">
        <v>291</v>
      </c>
      <c r="H31" s="9" t="s">
        <v>24</v>
      </c>
      <c r="I31" s="9" t="s">
        <v>25</v>
      </c>
      <c r="J31" s="9">
        <v>4035740</v>
      </c>
      <c r="K31" s="9" t="s">
        <v>106</v>
      </c>
      <c r="L31" s="9" t="s">
        <v>316</v>
      </c>
      <c r="M31" s="9" t="str">
        <f>SUBSTITUTE(L31,"BA","ba",1)</f>
        <v>ba273224</v>
      </c>
      <c r="N31" s="9" t="s">
        <v>108</v>
      </c>
      <c r="O31" s="9" t="s">
        <v>109</v>
      </c>
      <c r="P31" s="12" t="s">
        <v>75</v>
      </c>
      <c r="Q31" s="12" t="s">
        <v>110</v>
      </c>
    </row>
    <row r="32" spans="1:17" ht="14.4" x14ac:dyDescent="0.3">
      <c r="A32" s="9" t="s">
        <v>317</v>
      </c>
      <c r="B32" s="10" t="s">
        <v>318</v>
      </c>
      <c r="C32" s="9" t="s">
        <v>319</v>
      </c>
      <c r="D32" s="9" t="s">
        <v>320</v>
      </c>
      <c r="E32" s="11" t="s">
        <v>75</v>
      </c>
      <c r="F32" s="11" t="s">
        <v>321</v>
      </c>
      <c r="G32" s="9" t="s">
        <v>291</v>
      </c>
      <c r="H32" s="9" t="s">
        <v>24</v>
      </c>
      <c r="I32" s="9" t="s">
        <v>25</v>
      </c>
      <c r="J32" s="9">
        <v>4035746</v>
      </c>
      <c r="K32" s="9" t="s">
        <v>78</v>
      </c>
      <c r="L32" s="9" t="s">
        <v>322</v>
      </c>
      <c r="M32" s="9" t="str">
        <f>SUBSTITUTE(L32,"BA","ba",1)</f>
        <v>ba273225</v>
      </c>
      <c r="N32" s="9" t="s">
        <v>80</v>
      </c>
      <c r="O32" s="9" t="s">
        <v>81</v>
      </c>
      <c r="P32" s="12" t="s">
        <v>75</v>
      </c>
      <c r="Q32" s="12" t="s">
        <v>82</v>
      </c>
    </row>
    <row r="33" spans="1:17" ht="14.4" x14ac:dyDescent="0.3">
      <c r="A33" s="9" t="s">
        <v>323</v>
      </c>
      <c r="B33" s="10" t="s">
        <v>324</v>
      </c>
      <c r="C33" s="9" t="s">
        <v>325</v>
      </c>
      <c r="D33" s="9" t="s">
        <v>326</v>
      </c>
      <c r="E33" s="11" t="s">
        <v>36</v>
      </c>
      <c r="F33" s="11" t="s">
        <v>327</v>
      </c>
      <c r="G33" s="9" t="s">
        <v>291</v>
      </c>
      <c r="H33" s="9" t="s">
        <v>24</v>
      </c>
      <c r="I33" s="9" t="s">
        <v>25</v>
      </c>
      <c r="J33" s="9">
        <v>4035749</v>
      </c>
      <c r="K33" s="9" t="s">
        <v>328</v>
      </c>
      <c r="L33" s="9" t="s">
        <v>329</v>
      </c>
      <c r="M33" s="9" t="str">
        <f>SUBSTITUTE(L33,"BA","ba",1)</f>
        <v>ba273226</v>
      </c>
      <c r="N33" s="9" t="s">
        <v>330</v>
      </c>
      <c r="O33" s="9" t="s">
        <v>331</v>
      </c>
      <c r="P33" s="12" t="s">
        <v>332</v>
      </c>
      <c r="Q33" s="12" t="s">
        <v>333</v>
      </c>
    </row>
    <row r="34" spans="1:17" ht="14.4" x14ac:dyDescent="0.3">
      <c r="A34" s="9" t="s">
        <v>334</v>
      </c>
      <c r="B34" s="10" t="s">
        <v>335</v>
      </c>
      <c r="C34" s="9" t="s">
        <v>336</v>
      </c>
      <c r="D34" s="9" t="s">
        <v>337</v>
      </c>
      <c r="E34" s="11" t="s">
        <v>75</v>
      </c>
      <c r="F34" s="11" t="s">
        <v>338</v>
      </c>
      <c r="G34" s="9" t="s">
        <v>291</v>
      </c>
      <c r="H34" s="9" t="s">
        <v>24</v>
      </c>
      <c r="I34" s="9" t="s">
        <v>25</v>
      </c>
      <c r="J34" s="9">
        <v>4035745</v>
      </c>
      <c r="K34" s="9" t="s">
        <v>339</v>
      </c>
      <c r="L34" s="9" t="s">
        <v>340</v>
      </c>
      <c r="M34" s="9" t="str">
        <f>SUBSTITUTE(L34,"BA","ba",1)</f>
        <v>ba273227</v>
      </c>
      <c r="N34" s="9" t="s">
        <v>341</v>
      </c>
      <c r="O34" s="9" t="s">
        <v>342</v>
      </c>
      <c r="P34" s="12" t="s">
        <v>75</v>
      </c>
      <c r="Q34" s="12" t="s">
        <v>343</v>
      </c>
    </row>
    <row r="35" spans="1:17" ht="14.4" x14ac:dyDescent="0.3">
      <c r="A35" s="9" t="s">
        <v>344</v>
      </c>
      <c r="B35" s="10" t="s">
        <v>345</v>
      </c>
      <c r="C35" s="9" t="s">
        <v>346</v>
      </c>
      <c r="D35" s="9" t="s">
        <v>347</v>
      </c>
      <c r="E35" s="11" t="s">
        <v>75</v>
      </c>
      <c r="F35" s="11" t="s">
        <v>348</v>
      </c>
      <c r="G35" s="9" t="s">
        <v>291</v>
      </c>
      <c r="H35" s="9" t="s">
        <v>24</v>
      </c>
      <c r="I35" s="9" t="s">
        <v>25</v>
      </c>
      <c r="J35" s="9">
        <v>4035748</v>
      </c>
      <c r="K35" s="9" t="s">
        <v>166</v>
      </c>
      <c r="L35" s="9" t="s">
        <v>349</v>
      </c>
      <c r="M35" s="9" t="str">
        <f>SUBSTITUTE(L35,"BA","ba",1)</f>
        <v>ba273228</v>
      </c>
      <c r="N35" s="9" t="s">
        <v>168</v>
      </c>
      <c r="O35" s="9" t="s">
        <v>169</v>
      </c>
      <c r="P35" s="12">
        <v>11</v>
      </c>
      <c r="Q35" s="12" t="s">
        <v>170</v>
      </c>
    </row>
    <row r="36" spans="1:17" ht="14.4" x14ac:dyDescent="0.3">
      <c r="A36" s="9" t="s">
        <v>350</v>
      </c>
      <c r="B36" s="10" t="s">
        <v>351</v>
      </c>
      <c r="C36" s="9" t="s">
        <v>352</v>
      </c>
      <c r="D36" s="9" t="s">
        <v>353</v>
      </c>
      <c r="E36" s="11" t="s">
        <v>21</v>
      </c>
      <c r="F36" s="11" t="s">
        <v>22</v>
      </c>
      <c r="G36" s="9" t="s">
        <v>291</v>
      </c>
      <c r="H36" s="9" t="s">
        <v>24</v>
      </c>
      <c r="I36" s="9" t="s">
        <v>25</v>
      </c>
      <c r="J36" s="9">
        <v>4035744</v>
      </c>
      <c r="K36" s="9" t="s">
        <v>118</v>
      </c>
      <c r="L36" s="9" t="s">
        <v>354</v>
      </c>
      <c r="M36" s="9" t="str">
        <f>SUBSTITUTE(L36,"BA","ba",1)</f>
        <v>ba273229</v>
      </c>
      <c r="N36" s="9" t="s">
        <v>120</v>
      </c>
      <c r="O36" s="9" t="s">
        <v>121</v>
      </c>
      <c r="P36" s="12" t="s">
        <v>62</v>
      </c>
      <c r="Q36" s="12" t="s">
        <v>122</v>
      </c>
    </row>
    <row r="37" spans="1:17" ht="14.4" x14ac:dyDescent="0.3">
      <c r="A37" s="9" t="s">
        <v>355</v>
      </c>
      <c r="B37" s="10" t="s">
        <v>356</v>
      </c>
      <c r="C37" s="9" t="s">
        <v>357</v>
      </c>
      <c r="D37" s="9" t="s">
        <v>358</v>
      </c>
      <c r="E37" s="11" t="s">
        <v>75</v>
      </c>
      <c r="F37" s="11" t="s">
        <v>359</v>
      </c>
      <c r="G37" s="9" t="s">
        <v>360</v>
      </c>
      <c r="H37" s="9" t="s">
        <v>24</v>
      </c>
      <c r="I37" s="9" t="s">
        <v>25</v>
      </c>
      <c r="J37" s="9">
        <v>4035716</v>
      </c>
      <c r="K37" s="9" t="s">
        <v>106</v>
      </c>
      <c r="L37" s="9" t="s">
        <v>361</v>
      </c>
      <c r="M37" s="9" t="str">
        <f>SUBSTITUTE(L37,"BA","ba",1)</f>
        <v>ba273230</v>
      </c>
      <c r="N37" s="9" t="s">
        <v>108</v>
      </c>
      <c r="O37" s="9" t="s">
        <v>109</v>
      </c>
      <c r="P37" s="12" t="s">
        <v>75</v>
      </c>
      <c r="Q37" s="12" t="s">
        <v>110</v>
      </c>
    </row>
    <row r="38" spans="1:17" ht="14.4" x14ac:dyDescent="0.3">
      <c r="A38" s="9" t="s">
        <v>362</v>
      </c>
      <c r="B38" s="10" t="s">
        <v>363</v>
      </c>
      <c r="C38" s="9" t="s">
        <v>364</v>
      </c>
      <c r="D38" s="9" t="s">
        <v>365</v>
      </c>
      <c r="E38" s="11" t="s">
        <v>127</v>
      </c>
      <c r="F38" s="11" t="s">
        <v>366</v>
      </c>
      <c r="G38" s="9" t="s">
        <v>367</v>
      </c>
      <c r="H38" s="9" t="s">
        <v>24</v>
      </c>
      <c r="I38" s="9" t="s">
        <v>25</v>
      </c>
      <c r="J38" s="9">
        <v>4035715</v>
      </c>
      <c r="K38" s="9" t="s">
        <v>368</v>
      </c>
      <c r="L38" s="9" t="s">
        <v>369</v>
      </c>
      <c r="M38" s="9" t="str">
        <f>SUBSTITUTE(L38,"BA","ba",1)</f>
        <v>ba273231</v>
      </c>
      <c r="N38" s="9" t="s">
        <v>370</v>
      </c>
      <c r="O38" s="9" t="s">
        <v>371</v>
      </c>
      <c r="P38" s="12" t="s">
        <v>30</v>
      </c>
      <c r="Q38" s="12" t="s">
        <v>372</v>
      </c>
    </row>
    <row r="39" spans="1:17" ht="14.4" x14ac:dyDescent="0.3">
      <c r="A39" s="9" t="s">
        <v>373</v>
      </c>
      <c r="B39" s="10" t="s">
        <v>374</v>
      </c>
      <c r="C39" s="9" t="s">
        <v>375</v>
      </c>
      <c r="D39" s="9" t="s">
        <v>376</v>
      </c>
      <c r="E39" s="11" t="s">
        <v>75</v>
      </c>
      <c r="F39" s="11" t="s">
        <v>377</v>
      </c>
      <c r="G39" s="9" t="s">
        <v>360</v>
      </c>
      <c r="H39" s="9" t="s">
        <v>24</v>
      </c>
      <c r="I39" s="9" t="s">
        <v>25</v>
      </c>
      <c r="J39" s="9">
        <v>4035743</v>
      </c>
      <c r="K39" s="9" t="s">
        <v>378</v>
      </c>
      <c r="L39" s="9" t="s">
        <v>379</v>
      </c>
      <c r="M39" s="9" t="str">
        <f>SUBSTITUTE(L39,"BA","ba",1)</f>
        <v>ba273232</v>
      </c>
      <c r="N39" s="9" t="s">
        <v>380</v>
      </c>
      <c r="O39" s="9" t="s">
        <v>381</v>
      </c>
      <c r="P39" s="12" t="s">
        <v>382</v>
      </c>
      <c r="Q39" s="12" t="s">
        <v>383</v>
      </c>
    </row>
    <row r="40" spans="1:17" ht="14.4" x14ac:dyDescent="0.3">
      <c r="A40" s="9" t="s">
        <v>384</v>
      </c>
      <c r="B40" s="10" t="s">
        <v>385</v>
      </c>
      <c r="C40" s="9" t="s">
        <v>386</v>
      </c>
      <c r="D40" s="9" t="s">
        <v>387</v>
      </c>
      <c r="E40" s="11" t="s">
        <v>75</v>
      </c>
      <c r="F40" s="11" t="s">
        <v>388</v>
      </c>
      <c r="G40" s="9" t="s">
        <v>389</v>
      </c>
      <c r="H40" s="9" t="s">
        <v>24</v>
      </c>
      <c r="I40" s="9" t="s">
        <v>25</v>
      </c>
      <c r="J40" s="9">
        <v>4035713</v>
      </c>
      <c r="K40" s="9" t="s">
        <v>78</v>
      </c>
      <c r="L40" s="9" t="s">
        <v>390</v>
      </c>
      <c r="M40" s="9" t="str">
        <f>SUBSTITUTE(L40,"BA","ba",1)</f>
        <v>ba273233</v>
      </c>
      <c r="N40" s="9" t="s">
        <v>80</v>
      </c>
      <c r="O40" s="9" t="s">
        <v>81</v>
      </c>
      <c r="P40" s="12" t="s">
        <v>75</v>
      </c>
      <c r="Q40" s="12" t="s">
        <v>82</v>
      </c>
    </row>
    <row r="41" spans="1:17" ht="14.4" x14ac:dyDescent="0.3">
      <c r="A41" s="9" t="s">
        <v>391</v>
      </c>
      <c r="B41" s="10" t="s">
        <v>392</v>
      </c>
      <c r="C41" s="9" t="s">
        <v>393</v>
      </c>
      <c r="D41" s="9" t="s">
        <v>394</v>
      </c>
      <c r="E41" s="11" t="s">
        <v>43</v>
      </c>
      <c r="F41" s="11" t="s">
        <v>395</v>
      </c>
      <c r="G41" s="9" t="s">
        <v>154</v>
      </c>
      <c r="H41" s="9" t="s">
        <v>24</v>
      </c>
      <c r="I41" s="9" t="s">
        <v>25</v>
      </c>
      <c r="J41" s="9">
        <v>4035709</v>
      </c>
      <c r="K41" s="9" t="s">
        <v>39</v>
      </c>
      <c r="L41" s="9" t="s">
        <v>396</v>
      </c>
      <c r="M41" s="9" t="str">
        <f>SUBSTITUTE(L41,"BA","ba",1)</f>
        <v>ba273234</v>
      </c>
      <c r="N41" s="9" t="s">
        <v>41</v>
      </c>
      <c r="O41" s="9" t="s">
        <v>42</v>
      </c>
      <c r="P41" s="12" t="s">
        <v>43</v>
      </c>
      <c r="Q41" s="12" t="s">
        <v>44</v>
      </c>
    </row>
    <row r="42" spans="1:17" ht="14.4" x14ac:dyDescent="0.3">
      <c r="A42" s="9" t="s">
        <v>397</v>
      </c>
      <c r="B42" s="10" t="s">
        <v>398</v>
      </c>
      <c r="C42" s="9" t="s">
        <v>399</v>
      </c>
      <c r="D42" s="9" t="s">
        <v>400</v>
      </c>
      <c r="E42" s="11" t="s">
        <v>382</v>
      </c>
      <c r="F42" s="11" t="s">
        <v>401</v>
      </c>
      <c r="G42" s="9" t="s">
        <v>402</v>
      </c>
      <c r="H42" s="9" t="s">
        <v>24</v>
      </c>
      <c r="I42" s="9" t="s">
        <v>25</v>
      </c>
      <c r="J42" s="9">
        <v>4035742</v>
      </c>
      <c r="K42" s="9" t="s">
        <v>78</v>
      </c>
      <c r="L42" s="9" t="s">
        <v>403</v>
      </c>
      <c r="M42" s="9" t="str">
        <f>SUBSTITUTE(L42,"BA","ba",1)</f>
        <v>ba273235</v>
      </c>
      <c r="N42" s="9" t="s">
        <v>80</v>
      </c>
      <c r="O42" s="9" t="s">
        <v>81</v>
      </c>
      <c r="P42" s="12" t="s">
        <v>75</v>
      </c>
      <c r="Q42" s="12" t="s">
        <v>82</v>
      </c>
    </row>
  </sheetData>
  <conditionalFormatting sqref="B1">
    <cfRule type="duplicateValues" dxfId="28" priority="25"/>
    <cfRule type="duplicateValues" dxfId="27" priority="26"/>
    <cfRule type="duplicateValues" dxfId="26" priority="27"/>
    <cfRule type="duplicateValues" dxfId="25" priority="28"/>
    <cfRule type="duplicateValues" dxfId="24" priority="29"/>
  </conditionalFormatting>
  <conditionalFormatting sqref="B5">
    <cfRule type="duplicateValues" dxfId="23" priority="17"/>
    <cfRule type="duplicateValues" dxfId="22" priority="18"/>
    <cfRule type="duplicateValues" dxfId="21" priority="19"/>
    <cfRule type="duplicateValues" dxfId="20" priority="20"/>
  </conditionalFormatting>
  <conditionalFormatting sqref="B7">
    <cfRule type="duplicateValues" dxfId="19" priority="13"/>
    <cfRule type="duplicateValues" dxfId="18" priority="14"/>
    <cfRule type="duplicateValues" dxfId="17" priority="15"/>
    <cfRule type="duplicateValues" dxfId="16" priority="16"/>
  </conditionalFormatting>
  <conditionalFormatting sqref="B8">
    <cfRule type="duplicateValues" dxfId="15" priority="9"/>
    <cfRule type="duplicateValues" dxfId="14" priority="10"/>
    <cfRule type="duplicateValues" dxfId="13" priority="11"/>
    <cfRule type="duplicateValues" dxfId="12" priority="12"/>
  </conditionalFormatting>
  <conditionalFormatting sqref="B20:B23">
    <cfRule type="duplicateValues" dxfId="11" priority="5"/>
    <cfRule type="duplicateValues" dxfId="10" priority="6"/>
    <cfRule type="duplicateValues" dxfId="9" priority="7"/>
    <cfRule type="duplicateValues" dxfId="8" priority="8"/>
  </conditionalFormatting>
  <conditionalFormatting sqref="B24:B41 B9:B19 B6 B2:B4">
    <cfRule type="duplicateValues" dxfId="7" priority="21"/>
    <cfRule type="duplicateValues" dxfId="6" priority="22"/>
    <cfRule type="duplicateValues" dxfId="5" priority="23"/>
    <cfRule type="duplicateValues" dxfId="4" priority="24"/>
  </conditionalFormatting>
  <conditionalFormatting sqref="B42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Fornazario, Isabela (ALLIANZSEGUROS S/A)</dc:creator>
  <cp:lastModifiedBy>Fornazario, Isabela (ALLIANZSEGUROS S/A)</cp:lastModifiedBy>
  <dcterms:created xsi:type="dcterms:W3CDTF">2025-05-27T14:04:17Z</dcterms:created>
  <dcterms:modified xsi:type="dcterms:W3CDTF">2025-05-27T14:15:36Z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2025-05-27T14:14:45Z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61f08c7e-968a-4243-81f9-95683cd7648e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-1086010595</vt:i4>
  </property>
  <property fmtid="{D5CDD505-2E9C-101B-9397-08002B2CF9AE}" pid="10" name="_NewReviewCycle">
    <vt:lpwstr/>
  </property>
  <property fmtid="{D5CDD505-2E9C-101B-9397-08002B2CF9AE}" pid="11" name="_EmailSubject">
    <vt:lpwstr>Ba filial física.</vt:lpwstr>
  </property>
  <property fmtid="{D5CDD505-2E9C-101B-9397-08002B2CF9AE}" pid="12" name="_AuthorEmail">
    <vt:lpwstr>isabela.fornazario@allianz.com.br</vt:lpwstr>
  </property>
  <property fmtid="{D5CDD505-2E9C-101B-9397-08002B2CF9AE}" pid="13" name="_AuthorEmailDisplayName">
    <vt:lpwstr>Fornazario, Isabela (ALLIANZSEGUROS S/A)</vt:lpwstr>
  </property>
</Properties>
</file>