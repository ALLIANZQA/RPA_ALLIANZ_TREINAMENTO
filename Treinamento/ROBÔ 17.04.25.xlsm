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codeName="EstaPastaDeTrabalho"/>
  <mc:AlternateContent xmlns:mc="http://schemas.openxmlformats.org/markup-compatibility/2006">
    <mc:Choice Requires="x15">
      <x15ac:absPath xmlns:x15ac="http://schemas.microsoft.com/office/spreadsheetml/2010/11/ac" url="\\ntxnas1.intrAllianz.es\Brasil\DIRETORIAS\DIR EXE MASSIFICADOS SAUDE VIDA\MASSIFICADOS\SUPERINTENDENCIA_MASSIFICADOS\SUBSCRICAO_MASSIFICADOS\MESA DE SUBSCRIÇÃO\Subscritores\PROP BLOQ\PROP BLOQ 2025\Abril\"/>
    </mc:Choice>
  </mc:AlternateContent>
  <xr:revisionPtr revIDLastSave="0" documentId="13_ncr:1_{806FDBE3-968B-4B3F-B6F4-0E643A197B99}" xr6:coauthVersionLast="47" xr6:coauthVersionMax="47" xr10:uidLastSave="{00000000-0000-0000-0000-000000000000}"/>
  <bookViews>
    <workbookView xWindow="0" yWindow="0" windowWidth="9600" windowHeight="10200" xr2:uid="{00000000-000D-0000-FFFF-FFFF00000000}"/>
  </bookViews>
  <sheets>
    <sheet name="Bloqueios" sheetId="7" r:id="rId1"/>
    <sheet name="Planilha2" sheetId="11" r:id="rId2"/>
    <sheet name="REGRA" sheetId="10" r:id="rId3"/>
    <sheet name="BASE DE DADOS" sheetId="9" r:id="rId4"/>
    <sheet name="Planilha1" sheetId="8" state="hidden" r:id="rId5"/>
  </sheets>
  <externalReferences>
    <externalReference r:id="rId6"/>
    <externalReference r:id="rId7"/>
  </externalReferences>
  <definedNames>
    <definedName name="_xlnm._FilterDatabase" localSheetId="3" hidden="1">'BASE DE DADOS'!$A$1:$K$501</definedName>
    <definedName name="_xlnm._FilterDatabase" localSheetId="0" hidden="1">Bloqueios!$A$1:$N$194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4" i="7" l="1"/>
  <c r="I104" i="7" s="1"/>
  <c r="J104" i="7" s="1"/>
  <c r="H105" i="7"/>
  <c r="I105" i="7" s="1"/>
  <c r="J105" i="7" s="1"/>
  <c r="H106" i="7"/>
  <c r="I106" i="7"/>
  <c r="J106" i="7" s="1"/>
  <c r="H107" i="7"/>
  <c r="I107" i="7"/>
  <c r="J107" i="7"/>
  <c r="H108" i="7"/>
  <c r="I108" i="7" s="1"/>
  <c r="J108" i="7" s="1"/>
  <c r="H109" i="7"/>
  <c r="I109" i="7" s="1"/>
  <c r="J109" i="7" s="1"/>
  <c r="H110" i="7"/>
  <c r="I110" i="7"/>
  <c r="J110" i="7" s="1"/>
  <c r="H111" i="7"/>
  <c r="I111" i="7"/>
  <c r="J111" i="7"/>
  <c r="H112" i="7"/>
  <c r="I112" i="7" s="1"/>
  <c r="J112" i="7" s="1"/>
  <c r="H113" i="7"/>
  <c r="I113" i="7" s="1"/>
  <c r="J113" i="7" s="1"/>
  <c r="H114" i="7"/>
  <c r="I114" i="7"/>
  <c r="J114" i="7" s="1"/>
  <c r="H115" i="7"/>
  <c r="I115" i="7"/>
  <c r="J115" i="7"/>
  <c r="H116" i="7"/>
  <c r="I116" i="7" s="1"/>
  <c r="J116" i="7" s="1"/>
  <c r="H117" i="7"/>
  <c r="I117" i="7" s="1"/>
  <c r="J117" i="7" s="1"/>
  <c r="H118" i="7"/>
  <c r="I118" i="7"/>
  <c r="J118" i="7" s="1"/>
  <c r="H119" i="7"/>
  <c r="I119" i="7"/>
  <c r="J119" i="7"/>
  <c r="H120" i="7"/>
  <c r="I120" i="7" s="1"/>
  <c r="J120" i="7" s="1"/>
  <c r="H121" i="7"/>
  <c r="I121" i="7" s="1"/>
  <c r="J121" i="7" s="1"/>
  <c r="H122" i="7"/>
  <c r="I122" i="7"/>
  <c r="J122" i="7" s="1"/>
  <c r="H123" i="7"/>
  <c r="I123" i="7"/>
  <c r="J123" i="7"/>
  <c r="H124" i="7"/>
  <c r="I124" i="7" s="1"/>
  <c r="J124" i="7" s="1"/>
  <c r="H125" i="7"/>
  <c r="I125" i="7" s="1"/>
  <c r="J125" i="7" s="1"/>
  <c r="H126" i="7"/>
  <c r="I126" i="7"/>
  <c r="J126" i="7" s="1"/>
  <c r="H127" i="7"/>
  <c r="I127" i="7"/>
  <c r="J127" i="7"/>
  <c r="H128" i="7"/>
  <c r="I128" i="7" s="1"/>
  <c r="J128" i="7" s="1"/>
  <c r="H129" i="7"/>
  <c r="I129" i="7" s="1"/>
  <c r="J129" i="7" s="1"/>
  <c r="H130" i="7"/>
  <c r="I130" i="7"/>
  <c r="J130" i="7" s="1"/>
  <c r="H131" i="7"/>
  <c r="I131" i="7"/>
  <c r="J131" i="7"/>
  <c r="H132" i="7"/>
  <c r="I132" i="7"/>
  <c r="J132" i="7"/>
  <c r="H133" i="7"/>
  <c r="I133" i="7" s="1"/>
  <c r="J133" i="7" s="1"/>
  <c r="H134" i="7"/>
  <c r="I134" i="7"/>
  <c r="J134" i="7" s="1"/>
  <c r="H135" i="7"/>
  <c r="I135" i="7"/>
  <c r="J135" i="7"/>
  <c r="H136" i="7"/>
  <c r="I136" i="7"/>
  <c r="J136" i="7"/>
  <c r="H137" i="7"/>
  <c r="I137" i="7" s="1"/>
  <c r="J137" i="7" s="1"/>
  <c r="H138" i="7"/>
  <c r="I138" i="7"/>
  <c r="J138" i="7" s="1"/>
  <c r="H139" i="7"/>
  <c r="I139" i="7"/>
  <c r="J139" i="7"/>
  <c r="H140" i="7"/>
  <c r="I140" i="7"/>
  <c r="J140" i="7"/>
  <c r="H141" i="7"/>
  <c r="I141" i="7" s="1"/>
  <c r="J141" i="7" s="1"/>
  <c r="H142" i="7"/>
  <c r="I142" i="7"/>
  <c r="J142" i="7" s="1"/>
  <c r="H143" i="7"/>
  <c r="I143" i="7"/>
  <c r="J143" i="7"/>
  <c r="H144" i="7"/>
  <c r="I144" i="7"/>
  <c r="J144" i="7"/>
  <c r="H145" i="7"/>
  <c r="I145" i="7" s="1"/>
  <c r="J145" i="7" s="1"/>
  <c r="H146" i="7"/>
  <c r="I146" i="7"/>
  <c r="J146" i="7" s="1"/>
  <c r="H147" i="7"/>
  <c r="I147" i="7"/>
  <c r="J147" i="7"/>
  <c r="H148" i="7"/>
  <c r="I148" i="7"/>
  <c r="J148" i="7"/>
  <c r="H149" i="7"/>
  <c r="I149" i="7" s="1"/>
  <c r="J149" i="7" s="1"/>
  <c r="H150" i="7"/>
  <c r="I150" i="7"/>
  <c r="J150" i="7" s="1"/>
  <c r="H151" i="7"/>
  <c r="I151" i="7"/>
  <c r="J151" i="7"/>
  <c r="H152" i="7"/>
  <c r="I152" i="7"/>
  <c r="J152" i="7"/>
  <c r="H153" i="7"/>
  <c r="I153" i="7" s="1"/>
  <c r="J153" i="7" s="1"/>
  <c r="H154" i="7"/>
  <c r="I154" i="7"/>
  <c r="J154" i="7" s="1"/>
  <c r="H155" i="7"/>
  <c r="I155" i="7"/>
  <c r="J155" i="7"/>
  <c r="H156" i="7"/>
  <c r="I156" i="7"/>
  <c r="J156" i="7"/>
  <c r="H157" i="7"/>
  <c r="I157" i="7" s="1"/>
  <c r="J157" i="7" s="1"/>
  <c r="H158" i="7"/>
  <c r="I158" i="7"/>
  <c r="J158" i="7" s="1"/>
  <c r="H159" i="7"/>
  <c r="I159" i="7"/>
  <c r="J159" i="7"/>
  <c r="H160" i="7"/>
  <c r="I160" i="7"/>
  <c r="J160" i="7"/>
  <c r="H161" i="7"/>
  <c r="I161" i="7" s="1"/>
  <c r="J161" i="7" s="1"/>
  <c r="H162" i="7"/>
  <c r="I162" i="7"/>
  <c r="J162" i="7" s="1"/>
  <c r="H163" i="7"/>
  <c r="I163" i="7"/>
  <c r="J163" i="7"/>
  <c r="H164" i="7"/>
  <c r="I164" i="7"/>
  <c r="J164" i="7"/>
  <c r="H165" i="7"/>
  <c r="I165" i="7" s="1"/>
  <c r="J165" i="7" s="1"/>
  <c r="H166" i="7"/>
  <c r="I166" i="7"/>
  <c r="J166" i="7" s="1"/>
  <c r="H167" i="7"/>
  <c r="I167" i="7"/>
  <c r="J167" i="7"/>
  <c r="H168" i="7"/>
  <c r="I168" i="7"/>
  <c r="J168" i="7"/>
  <c r="H169" i="7"/>
  <c r="I169" i="7" s="1"/>
  <c r="J169" i="7" s="1"/>
  <c r="H170" i="7"/>
  <c r="I170" i="7"/>
  <c r="J170" i="7" s="1"/>
  <c r="H171" i="7"/>
  <c r="I171" i="7"/>
  <c r="J171" i="7"/>
  <c r="H172" i="7"/>
  <c r="I172" i="7"/>
  <c r="J172" i="7"/>
  <c r="H173" i="7"/>
  <c r="I173" i="7" s="1"/>
  <c r="J173" i="7" s="1"/>
  <c r="H174" i="7"/>
  <c r="I174" i="7"/>
  <c r="J174" i="7" s="1"/>
  <c r="H175" i="7"/>
  <c r="I175" i="7"/>
  <c r="J175" i="7"/>
  <c r="H176" i="7"/>
  <c r="I176" i="7"/>
  <c r="J176" i="7"/>
  <c r="H177" i="7"/>
  <c r="I177" i="7" s="1"/>
  <c r="J177" i="7" s="1"/>
  <c r="H178" i="7"/>
  <c r="I178" i="7"/>
  <c r="J178" i="7" s="1"/>
  <c r="H179" i="7"/>
  <c r="I179" i="7"/>
  <c r="J179" i="7"/>
  <c r="H180" i="7"/>
  <c r="I180" i="7"/>
  <c r="J180" i="7"/>
  <c r="H181" i="7"/>
  <c r="I181" i="7" s="1"/>
  <c r="J181" i="7" s="1"/>
  <c r="H182" i="7"/>
  <c r="I182" i="7"/>
  <c r="J182" i="7" s="1"/>
  <c r="H183" i="7"/>
  <c r="I183" i="7"/>
  <c r="J183" i="7"/>
  <c r="H184" i="7"/>
  <c r="I184" i="7"/>
  <c r="J184" i="7"/>
  <c r="H185" i="7"/>
  <c r="I185" i="7" s="1"/>
  <c r="J185" i="7" s="1"/>
  <c r="H186" i="7"/>
  <c r="I186" i="7"/>
  <c r="J186" i="7" s="1"/>
  <c r="H187" i="7"/>
  <c r="I187" i="7"/>
  <c r="J187" i="7"/>
  <c r="H188" i="7"/>
  <c r="I188" i="7"/>
  <c r="J188" i="7"/>
  <c r="H189" i="7"/>
  <c r="I189" i="7" s="1"/>
  <c r="J189" i="7" s="1"/>
  <c r="H190" i="7"/>
  <c r="I190" i="7"/>
  <c r="J190" i="7" s="1"/>
  <c r="H191" i="7"/>
  <c r="I191" i="7"/>
  <c r="J191" i="7"/>
  <c r="H192" i="7"/>
  <c r="I192" i="7"/>
  <c r="J192" i="7"/>
  <c r="H193" i="7"/>
  <c r="I193" i="7" s="1"/>
  <c r="J193" i="7" s="1"/>
  <c r="H194" i="7"/>
  <c r="I194" i="7"/>
  <c r="J194" i="7" s="1"/>
  <c r="H195" i="7"/>
  <c r="I195" i="7"/>
  <c r="J195" i="7"/>
  <c r="H196" i="7"/>
  <c r="I196" i="7"/>
  <c r="J196" i="7"/>
  <c r="H197" i="7"/>
  <c r="I197" i="7" s="1"/>
  <c r="J197" i="7" s="1"/>
  <c r="H198" i="7"/>
  <c r="I198" i="7"/>
  <c r="J198" i="7" s="1"/>
  <c r="H199" i="7"/>
  <c r="I199" i="7"/>
  <c r="J199" i="7"/>
  <c r="H200" i="7"/>
  <c r="I200" i="7"/>
  <c r="J200" i="7"/>
  <c r="H201" i="7"/>
  <c r="I201" i="7" s="1"/>
  <c r="J201" i="7" s="1"/>
  <c r="H202" i="7"/>
  <c r="I202" i="7"/>
  <c r="J202" i="7" s="1"/>
  <c r="H203" i="7"/>
  <c r="I203" i="7"/>
  <c r="J203" i="7"/>
  <c r="H204" i="7"/>
  <c r="I204" i="7"/>
  <c r="J204" i="7"/>
  <c r="H205" i="7"/>
  <c r="I205" i="7" s="1"/>
  <c r="J205" i="7" s="1"/>
  <c r="H206" i="7"/>
  <c r="I206" i="7"/>
  <c r="J206" i="7" s="1"/>
  <c r="H207" i="7"/>
  <c r="I207" i="7"/>
  <c r="J207" i="7"/>
  <c r="H208" i="7"/>
  <c r="I208" i="7"/>
  <c r="J208" i="7"/>
  <c r="H209" i="7"/>
  <c r="I209" i="7" s="1"/>
  <c r="J209" i="7" s="1"/>
  <c r="H210" i="7"/>
  <c r="I210" i="7"/>
  <c r="J210" i="7" s="1"/>
  <c r="H211" i="7"/>
  <c r="I211" i="7"/>
  <c r="J211" i="7"/>
  <c r="H212" i="7"/>
  <c r="I212" i="7"/>
  <c r="J212" i="7"/>
  <c r="H213" i="7"/>
  <c r="I213" i="7" s="1"/>
  <c r="J213" i="7" s="1"/>
  <c r="H214" i="7"/>
  <c r="I214" i="7"/>
  <c r="J214" i="7" s="1"/>
  <c r="H215" i="7"/>
  <c r="I215" i="7"/>
  <c r="J215" i="7"/>
  <c r="H216" i="7"/>
  <c r="I216" i="7"/>
  <c r="J216" i="7"/>
  <c r="H217" i="7"/>
  <c r="I217" i="7" s="1"/>
  <c r="J217" i="7" s="1"/>
  <c r="H218" i="7"/>
  <c r="I218" i="7"/>
  <c r="J218" i="7" s="1"/>
  <c r="H219" i="7"/>
  <c r="I219" i="7"/>
  <c r="J219" i="7"/>
  <c r="H220" i="7"/>
  <c r="I220" i="7"/>
  <c r="J220" i="7"/>
  <c r="H221" i="7"/>
  <c r="I221" i="7" s="1"/>
  <c r="J221" i="7" s="1"/>
  <c r="H222" i="7"/>
  <c r="I222" i="7"/>
  <c r="J222" i="7" s="1"/>
  <c r="H223" i="7"/>
  <c r="I223" i="7"/>
  <c r="J223" i="7"/>
  <c r="N123" i="7"/>
  <c r="N124" i="7"/>
  <c r="N125" i="7"/>
  <c r="N126" i="7"/>
  <c r="N127" i="7"/>
  <c r="N128" i="7"/>
  <c r="N129" i="7"/>
  <c r="N130" i="7"/>
  <c r="N131" i="7"/>
  <c r="N132" i="7"/>
  <c r="N133" i="7"/>
  <c r="N134" i="7"/>
  <c r="N135" i="7"/>
  <c r="N136" i="7"/>
  <c r="N137" i="7"/>
  <c r="N138" i="7"/>
  <c r="N139" i="7"/>
  <c r="N140" i="7"/>
  <c r="N141" i="7"/>
  <c r="N142" i="7"/>
  <c r="N143" i="7"/>
  <c r="N144" i="7"/>
  <c r="N145" i="7"/>
  <c r="N146" i="7"/>
  <c r="N147" i="7"/>
  <c r="N148" i="7"/>
  <c r="N149" i="7"/>
  <c r="N150" i="7"/>
  <c r="N151" i="7"/>
  <c r="N152" i="7"/>
  <c r="N153" i="7"/>
  <c r="N154" i="7"/>
  <c r="N155" i="7"/>
  <c r="N156" i="7"/>
  <c r="N157" i="7"/>
  <c r="N158" i="7"/>
  <c r="N159" i="7"/>
  <c r="N160" i="7"/>
  <c r="N161" i="7"/>
  <c r="N162" i="7"/>
  <c r="N163" i="7"/>
  <c r="N164" i="7"/>
  <c r="N165" i="7"/>
  <c r="N166" i="7"/>
  <c r="N167" i="7"/>
  <c r="N168" i="7"/>
  <c r="N169" i="7"/>
  <c r="N170" i="7"/>
  <c r="N171" i="7"/>
  <c r="N172" i="7"/>
  <c r="N173" i="7"/>
  <c r="N174" i="7"/>
  <c r="N175" i="7"/>
  <c r="N176" i="7"/>
  <c r="N177" i="7"/>
  <c r="N178" i="7"/>
  <c r="N179" i="7"/>
  <c r="N180" i="7"/>
  <c r="N181" i="7"/>
  <c r="N182" i="7"/>
  <c r="N183" i="7"/>
  <c r="N184" i="7"/>
  <c r="N185" i="7"/>
  <c r="N186" i="7"/>
  <c r="N187" i="7"/>
  <c r="N188" i="7"/>
  <c r="N189" i="7"/>
  <c r="N190" i="7"/>
  <c r="N191" i="7"/>
  <c r="N192" i="7"/>
  <c r="N193" i="7"/>
  <c r="N194" i="7"/>
  <c r="N4" i="7"/>
  <c r="H4" i="7" s="1"/>
  <c r="I4" i="7" s="1"/>
  <c r="J4" i="7" s="1"/>
  <c r="N5" i="7"/>
  <c r="H5" i="7" s="1"/>
  <c r="I5" i="7" s="1"/>
  <c r="J5" i="7" s="1"/>
  <c r="N6" i="7"/>
  <c r="H6" i="7" s="1"/>
  <c r="I6" i="7" s="1"/>
  <c r="J6" i="7" s="1"/>
  <c r="N2" i="7"/>
  <c r="H2" i="7" s="1"/>
  <c r="I2" i="7" s="1"/>
  <c r="J2" i="7" s="1"/>
  <c r="N7" i="7"/>
  <c r="H7" i="7" s="1"/>
  <c r="I7" i="7" s="1"/>
  <c r="J7" i="7" s="1"/>
  <c r="N8" i="7"/>
  <c r="H8" i="7" s="1"/>
  <c r="I8" i="7" s="1"/>
  <c r="J8" i="7" s="1"/>
  <c r="N9" i="7"/>
  <c r="H9" i="7" s="1"/>
  <c r="I9" i="7" s="1"/>
  <c r="J9" i="7" s="1"/>
  <c r="N10" i="7"/>
  <c r="H10" i="7" s="1"/>
  <c r="I10" i="7" s="1"/>
  <c r="J10" i="7" s="1"/>
  <c r="N11" i="7"/>
  <c r="H11" i="7" s="1"/>
  <c r="I11" i="7" s="1"/>
  <c r="J11" i="7" s="1"/>
  <c r="N12" i="7"/>
  <c r="H12" i="7" s="1"/>
  <c r="I12" i="7" s="1"/>
  <c r="J12" i="7" s="1"/>
  <c r="N13" i="7"/>
  <c r="H13" i="7" s="1"/>
  <c r="I13" i="7" s="1"/>
  <c r="J13" i="7" s="1"/>
  <c r="N14" i="7"/>
  <c r="H14" i="7" s="1"/>
  <c r="I14" i="7" s="1"/>
  <c r="J14" i="7" s="1"/>
  <c r="N15" i="7"/>
  <c r="H15" i="7" s="1"/>
  <c r="I15" i="7" s="1"/>
  <c r="J15" i="7" s="1"/>
  <c r="N16" i="7"/>
  <c r="H16" i="7" s="1"/>
  <c r="I16" i="7" s="1"/>
  <c r="J16" i="7" s="1"/>
  <c r="N17" i="7"/>
  <c r="H17" i="7" s="1"/>
  <c r="I17" i="7" s="1"/>
  <c r="J17" i="7" s="1"/>
  <c r="N18" i="7"/>
  <c r="H18" i="7" s="1"/>
  <c r="I18" i="7" s="1"/>
  <c r="J18" i="7" s="1"/>
  <c r="N19" i="7"/>
  <c r="H19" i="7" s="1"/>
  <c r="I19" i="7" s="1"/>
  <c r="J19" i="7" s="1"/>
  <c r="N20" i="7"/>
  <c r="H20" i="7" s="1"/>
  <c r="I20" i="7" s="1"/>
  <c r="J20" i="7" s="1"/>
  <c r="N21" i="7"/>
  <c r="H21" i="7" s="1"/>
  <c r="I21" i="7" s="1"/>
  <c r="J21" i="7" s="1"/>
  <c r="N22" i="7"/>
  <c r="H22" i="7" s="1"/>
  <c r="I22" i="7" s="1"/>
  <c r="J22" i="7" s="1"/>
  <c r="N23" i="7"/>
  <c r="H23" i="7" s="1"/>
  <c r="I23" i="7" s="1"/>
  <c r="J23" i="7" s="1"/>
  <c r="N24" i="7"/>
  <c r="H24" i="7" s="1"/>
  <c r="I24" i="7" s="1"/>
  <c r="J24" i="7" s="1"/>
  <c r="N25" i="7"/>
  <c r="H25" i="7" s="1"/>
  <c r="I25" i="7" s="1"/>
  <c r="J25" i="7" s="1"/>
  <c r="N26" i="7"/>
  <c r="H26" i="7" s="1"/>
  <c r="I26" i="7" s="1"/>
  <c r="J26" i="7" s="1"/>
  <c r="N27" i="7"/>
  <c r="H27" i="7" s="1"/>
  <c r="I27" i="7" s="1"/>
  <c r="J27" i="7" s="1"/>
  <c r="N28" i="7"/>
  <c r="H28" i="7" s="1"/>
  <c r="I28" i="7" s="1"/>
  <c r="J28" i="7" s="1"/>
  <c r="N29" i="7"/>
  <c r="H29" i="7" s="1"/>
  <c r="I29" i="7" s="1"/>
  <c r="J29" i="7" s="1"/>
  <c r="N30" i="7"/>
  <c r="H30" i="7" s="1"/>
  <c r="I30" i="7" s="1"/>
  <c r="J30" i="7" s="1"/>
  <c r="N31" i="7"/>
  <c r="H31" i="7" s="1"/>
  <c r="I31" i="7" s="1"/>
  <c r="J31" i="7" s="1"/>
  <c r="N32" i="7"/>
  <c r="H32" i="7" s="1"/>
  <c r="I32" i="7" s="1"/>
  <c r="J32" i="7" s="1"/>
  <c r="N33" i="7"/>
  <c r="H33" i="7" s="1"/>
  <c r="I33" i="7" s="1"/>
  <c r="J33" i="7" s="1"/>
  <c r="N34" i="7"/>
  <c r="H34" i="7" s="1"/>
  <c r="I34" i="7" s="1"/>
  <c r="J34" i="7" s="1"/>
  <c r="N35" i="7"/>
  <c r="H35" i="7" s="1"/>
  <c r="I35" i="7" s="1"/>
  <c r="J35" i="7" s="1"/>
  <c r="N36" i="7"/>
  <c r="H36" i="7" s="1"/>
  <c r="I36" i="7" s="1"/>
  <c r="J36" i="7" s="1"/>
  <c r="N37" i="7"/>
  <c r="H37" i="7" s="1"/>
  <c r="I37" i="7" s="1"/>
  <c r="J37" i="7" s="1"/>
  <c r="N38" i="7"/>
  <c r="H38" i="7" s="1"/>
  <c r="I38" i="7" s="1"/>
  <c r="J38" i="7" s="1"/>
  <c r="N39" i="7"/>
  <c r="H39" i="7" s="1"/>
  <c r="I39" i="7" s="1"/>
  <c r="J39" i="7" s="1"/>
  <c r="N40" i="7"/>
  <c r="H40" i="7" s="1"/>
  <c r="I40" i="7" s="1"/>
  <c r="J40" i="7" s="1"/>
  <c r="N41" i="7"/>
  <c r="H41" i="7" s="1"/>
  <c r="I41" i="7" s="1"/>
  <c r="J41" i="7" s="1"/>
  <c r="N42" i="7"/>
  <c r="H42" i="7" s="1"/>
  <c r="I42" i="7" s="1"/>
  <c r="J42" i="7" s="1"/>
  <c r="N43" i="7"/>
  <c r="H43" i="7" s="1"/>
  <c r="I43" i="7" s="1"/>
  <c r="J43" i="7" s="1"/>
  <c r="N44" i="7"/>
  <c r="H44" i="7" s="1"/>
  <c r="I44" i="7" s="1"/>
  <c r="J44" i="7" s="1"/>
  <c r="N45" i="7"/>
  <c r="H45" i="7" s="1"/>
  <c r="I45" i="7" s="1"/>
  <c r="J45" i="7" s="1"/>
  <c r="N46" i="7"/>
  <c r="H46" i="7" s="1"/>
  <c r="I46" i="7" s="1"/>
  <c r="J46" i="7" s="1"/>
  <c r="N47" i="7"/>
  <c r="H47" i="7" s="1"/>
  <c r="I47" i="7" s="1"/>
  <c r="J47" i="7" s="1"/>
  <c r="N48" i="7"/>
  <c r="H48" i="7" s="1"/>
  <c r="I48" i="7" s="1"/>
  <c r="J48" i="7" s="1"/>
  <c r="N49" i="7"/>
  <c r="H49" i="7" s="1"/>
  <c r="I49" i="7" s="1"/>
  <c r="J49" i="7" s="1"/>
  <c r="N50" i="7"/>
  <c r="H50" i="7" s="1"/>
  <c r="I50" i="7" s="1"/>
  <c r="J50" i="7" s="1"/>
  <c r="N51" i="7"/>
  <c r="H51" i="7" s="1"/>
  <c r="I51" i="7" s="1"/>
  <c r="J51" i="7" s="1"/>
  <c r="N52" i="7"/>
  <c r="H52" i="7" s="1"/>
  <c r="I52" i="7" s="1"/>
  <c r="J52" i="7" s="1"/>
  <c r="N53" i="7"/>
  <c r="H53" i="7" s="1"/>
  <c r="I53" i="7" s="1"/>
  <c r="J53" i="7" s="1"/>
  <c r="N54" i="7"/>
  <c r="H54" i="7" s="1"/>
  <c r="I54" i="7" s="1"/>
  <c r="J54" i="7" s="1"/>
  <c r="N55" i="7"/>
  <c r="H55" i="7" s="1"/>
  <c r="I55" i="7" s="1"/>
  <c r="J55" i="7" s="1"/>
  <c r="N56" i="7"/>
  <c r="H56" i="7" s="1"/>
  <c r="I56" i="7" s="1"/>
  <c r="J56" i="7" s="1"/>
  <c r="N57" i="7"/>
  <c r="H57" i="7" s="1"/>
  <c r="I57" i="7" s="1"/>
  <c r="J57" i="7" s="1"/>
  <c r="N58" i="7"/>
  <c r="H58" i="7" s="1"/>
  <c r="I58" i="7" s="1"/>
  <c r="J58" i="7" s="1"/>
  <c r="N59" i="7"/>
  <c r="H59" i="7" s="1"/>
  <c r="I59" i="7" s="1"/>
  <c r="J59" i="7" s="1"/>
  <c r="N60" i="7"/>
  <c r="H60" i="7" s="1"/>
  <c r="I60" i="7" s="1"/>
  <c r="J60" i="7" s="1"/>
  <c r="N61" i="7"/>
  <c r="H61" i="7" s="1"/>
  <c r="I61" i="7" s="1"/>
  <c r="J61" i="7" s="1"/>
  <c r="N62" i="7"/>
  <c r="H62" i="7" s="1"/>
  <c r="I62" i="7" s="1"/>
  <c r="J62" i="7" s="1"/>
  <c r="N63" i="7"/>
  <c r="H63" i="7" s="1"/>
  <c r="I63" i="7" s="1"/>
  <c r="J63" i="7" s="1"/>
  <c r="N64" i="7"/>
  <c r="H64" i="7" s="1"/>
  <c r="I64" i="7" s="1"/>
  <c r="J64" i="7" s="1"/>
  <c r="N65" i="7"/>
  <c r="H65" i="7" s="1"/>
  <c r="I65" i="7" s="1"/>
  <c r="J65" i="7" s="1"/>
  <c r="N66" i="7"/>
  <c r="H66" i="7" s="1"/>
  <c r="I66" i="7" s="1"/>
  <c r="J66" i="7" s="1"/>
  <c r="N67" i="7"/>
  <c r="H67" i="7" s="1"/>
  <c r="I67" i="7" s="1"/>
  <c r="J67" i="7" s="1"/>
  <c r="N68" i="7"/>
  <c r="H68" i="7" s="1"/>
  <c r="I68" i="7" s="1"/>
  <c r="J68" i="7" s="1"/>
  <c r="N69" i="7"/>
  <c r="H69" i="7" s="1"/>
  <c r="I69" i="7" s="1"/>
  <c r="J69" i="7" s="1"/>
  <c r="N70" i="7"/>
  <c r="H70" i="7" s="1"/>
  <c r="I70" i="7" s="1"/>
  <c r="J70" i="7" s="1"/>
  <c r="N71" i="7"/>
  <c r="H71" i="7" s="1"/>
  <c r="I71" i="7" s="1"/>
  <c r="J71" i="7" s="1"/>
  <c r="N72" i="7"/>
  <c r="H72" i="7" s="1"/>
  <c r="I72" i="7" s="1"/>
  <c r="J72" i="7" s="1"/>
  <c r="N73" i="7"/>
  <c r="H73" i="7" s="1"/>
  <c r="I73" i="7" s="1"/>
  <c r="J73" i="7" s="1"/>
  <c r="N74" i="7"/>
  <c r="H74" i="7" s="1"/>
  <c r="I74" i="7" s="1"/>
  <c r="J74" i="7" s="1"/>
  <c r="N75" i="7"/>
  <c r="H75" i="7" s="1"/>
  <c r="I75" i="7" s="1"/>
  <c r="J75" i="7" s="1"/>
  <c r="N76" i="7"/>
  <c r="H76" i="7" s="1"/>
  <c r="I76" i="7" s="1"/>
  <c r="J76" i="7" s="1"/>
  <c r="N77" i="7"/>
  <c r="H77" i="7" s="1"/>
  <c r="I77" i="7" s="1"/>
  <c r="J77" i="7" s="1"/>
  <c r="N78" i="7"/>
  <c r="H78" i="7" s="1"/>
  <c r="I78" i="7" s="1"/>
  <c r="J78" i="7" s="1"/>
  <c r="N79" i="7"/>
  <c r="H79" i="7" s="1"/>
  <c r="I79" i="7" s="1"/>
  <c r="J79" i="7" s="1"/>
  <c r="N80" i="7"/>
  <c r="H80" i="7" s="1"/>
  <c r="I80" i="7" s="1"/>
  <c r="J80" i="7" s="1"/>
  <c r="N81" i="7"/>
  <c r="H81" i="7" s="1"/>
  <c r="I81" i="7" s="1"/>
  <c r="J81" i="7" s="1"/>
  <c r="N82" i="7"/>
  <c r="H82" i="7" s="1"/>
  <c r="I82" i="7" s="1"/>
  <c r="J82" i="7" s="1"/>
  <c r="N83" i="7"/>
  <c r="H83" i="7" s="1"/>
  <c r="I83" i="7" s="1"/>
  <c r="J83" i="7" s="1"/>
  <c r="N84" i="7"/>
  <c r="H84" i="7" s="1"/>
  <c r="I84" i="7" s="1"/>
  <c r="J84" i="7" s="1"/>
  <c r="N85" i="7"/>
  <c r="H85" i="7" s="1"/>
  <c r="I85" i="7" s="1"/>
  <c r="J85" i="7" s="1"/>
  <c r="N86" i="7"/>
  <c r="H86" i="7" s="1"/>
  <c r="I86" i="7" s="1"/>
  <c r="J86" i="7" s="1"/>
  <c r="N87" i="7"/>
  <c r="H87" i="7" s="1"/>
  <c r="I87" i="7" s="1"/>
  <c r="J87" i="7" s="1"/>
  <c r="N88" i="7"/>
  <c r="H88" i="7" s="1"/>
  <c r="I88" i="7" s="1"/>
  <c r="J88" i="7" s="1"/>
  <c r="N89" i="7"/>
  <c r="H89" i="7" s="1"/>
  <c r="I89" i="7" s="1"/>
  <c r="J89" i="7" s="1"/>
  <c r="N90" i="7"/>
  <c r="H90" i="7" s="1"/>
  <c r="I90" i="7" s="1"/>
  <c r="J90" i="7" s="1"/>
  <c r="N91" i="7"/>
  <c r="H91" i="7" s="1"/>
  <c r="I91" i="7" s="1"/>
  <c r="J91" i="7" s="1"/>
  <c r="N92" i="7"/>
  <c r="H92" i="7" s="1"/>
  <c r="I92" i="7" s="1"/>
  <c r="J92" i="7" s="1"/>
  <c r="N93" i="7"/>
  <c r="H93" i="7" s="1"/>
  <c r="I93" i="7" s="1"/>
  <c r="J93" i="7" s="1"/>
  <c r="N94" i="7"/>
  <c r="H94" i="7" s="1"/>
  <c r="I94" i="7" s="1"/>
  <c r="J94" i="7" s="1"/>
  <c r="N95" i="7"/>
  <c r="H95" i="7" s="1"/>
  <c r="I95" i="7" s="1"/>
  <c r="J95" i="7" s="1"/>
  <c r="N96" i="7"/>
  <c r="H96" i="7" s="1"/>
  <c r="I96" i="7" s="1"/>
  <c r="J96" i="7" s="1"/>
  <c r="N97" i="7"/>
  <c r="H97" i="7" s="1"/>
  <c r="I97" i="7" s="1"/>
  <c r="J97" i="7" s="1"/>
  <c r="N98" i="7"/>
  <c r="H98" i="7" s="1"/>
  <c r="I98" i="7" s="1"/>
  <c r="J98" i="7" s="1"/>
  <c r="N99" i="7"/>
  <c r="H99" i="7" s="1"/>
  <c r="I99" i="7" s="1"/>
  <c r="J99" i="7" s="1"/>
  <c r="N100" i="7"/>
  <c r="H100" i="7" s="1"/>
  <c r="I100" i="7" s="1"/>
  <c r="J100" i="7" s="1"/>
  <c r="N101" i="7"/>
  <c r="H101" i="7" s="1"/>
  <c r="I101" i="7" s="1"/>
  <c r="J101" i="7" s="1"/>
  <c r="N102" i="7"/>
  <c r="H102" i="7" s="1"/>
  <c r="I102" i="7" s="1"/>
  <c r="J102" i="7" s="1"/>
  <c r="N103" i="7"/>
  <c r="H103" i="7" s="1"/>
  <c r="I103" i="7" s="1"/>
  <c r="J103" i="7" s="1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  <c r="N122" i="7"/>
  <c r="N3" i="7"/>
  <c r="H3" i="7" s="1"/>
  <c r="I3" i="7" s="1"/>
  <c r="J3" i="7" s="1"/>
  <c r="A476" i="9" l="1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C13" i="10" l="1"/>
  <c r="A496" i="9" l="1"/>
  <c r="A495" i="9"/>
  <c r="A494" i="9"/>
  <c r="A493" i="9"/>
  <c r="A492" i="9"/>
  <c r="A487" i="9" l="1"/>
  <c r="A488" i="9"/>
  <c r="A489" i="9"/>
  <c r="A490" i="9"/>
  <c r="A491" i="9"/>
  <c r="A486" i="9" l="1"/>
  <c r="A485" i="9"/>
  <c r="A484" i="9"/>
  <c r="A483" i="9"/>
  <c r="A482" i="9"/>
  <c r="C3" i="10" l="1"/>
  <c r="C4" i="10"/>
  <c r="C5" i="10"/>
  <c r="C6" i="10"/>
  <c r="C7" i="10"/>
  <c r="C8" i="10"/>
  <c r="C9" i="10"/>
  <c r="C10" i="10"/>
  <c r="C11" i="10"/>
  <c r="C12" i="10"/>
  <c r="A481" i="9" l="1"/>
  <c r="A480" i="9"/>
  <c r="A479" i="9"/>
  <c r="A478" i="9"/>
  <c r="A477" i="9"/>
  <c r="C2" i="10" l="1"/>
</calcChain>
</file>

<file path=xl/sharedStrings.xml><?xml version="1.0" encoding="utf-8"?>
<sst xmlns="http://schemas.openxmlformats.org/spreadsheetml/2006/main" count="2353" uniqueCount="248">
  <si>
    <t>status</t>
  </si>
  <si>
    <t>linha</t>
  </si>
  <si>
    <t>Erro</t>
  </si>
  <si>
    <t>NOTA</t>
  </si>
  <si>
    <t>DEMAIS BLOQUEIOS</t>
  </si>
  <si>
    <t>REGIONAL SÃO PAULO</t>
  </si>
  <si>
    <t>Mass.[SP] 2002 - Demais Bloqueios  </t>
  </si>
  <si>
    <t>3Y</t>
  </si>
  <si>
    <t>RUBIA PREVIATO MARTINHO ARAUJO</t>
  </si>
  <si>
    <t>1G</t>
  </si>
  <si>
    <t>RODRIGO CASTANHEIRA HALADA</t>
  </si>
  <si>
    <t>1J</t>
  </si>
  <si>
    <t>CARLOS ALBERTO MACEDO</t>
  </si>
  <si>
    <t>4X</t>
  </si>
  <si>
    <t>ILLYRIA DE GODOY XAVIER</t>
  </si>
  <si>
    <t>3Q</t>
  </si>
  <si>
    <t>GISELE GARCIA</t>
  </si>
  <si>
    <t>3U</t>
  </si>
  <si>
    <t>MARCELO AMATUZZI N DAS NEVES</t>
  </si>
  <si>
    <t>VALERIA NOGUEIRA</t>
  </si>
  <si>
    <t>40</t>
  </si>
  <si>
    <t>FLAVIA KANESIRO P DE OLIVEIRA</t>
  </si>
  <si>
    <t>2Y</t>
  </si>
  <si>
    <t>KATIA REGINA DOS S MEDEIROS</t>
  </si>
  <si>
    <t>3N</t>
  </si>
  <si>
    <t>SILVIO BACCI</t>
  </si>
  <si>
    <t xml:space="preserve">Mass.[SP] 2002 - Bloqueio 714 </t>
  </si>
  <si>
    <t xml:space="preserve">Mass.[SP] 2024 - Demais Bloqueios  </t>
  </si>
  <si>
    <t>Mass.[SP] 2024 - Bloqueio 714</t>
  </si>
  <si>
    <t>Mass.[SP] 2024 - Bloqueio 888</t>
  </si>
  <si>
    <t>REGIONAL CO/MG</t>
  </si>
  <si>
    <t xml:space="preserve">Mass.[MG/GO] 2024 - Demais Bloqueios </t>
  </si>
  <si>
    <t xml:space="preserve">CO - CAMPO GRANDE                  </t>
  </si>
  <si>
    <t xml:space="preserve">N - PORTO VELHO                    </t>
  </si>
  <si>
    <t xml:space="preserve">CO - SUL GOIANO                    </t>
  </si>
  <si>
    <t xml:space="preserve">MG - JUIZ DE FORA                  </t>
  </si>
  <si>
    <t xml:space="preserve">MG - SAVASSI                       </t>
  </si>
  <si>
    <t xml:space="preserve">MG - UBERABA                       </t>
  </si>
  <si>
    <t>Mass.[MG/GO] 2024 - Bloqueio 714</t>
  </si>
  <si>
    <t>Mass.[MG/GO] 2024 - Bloqueio 888</t>
  </si>
  <si>
    <t>Mass.[MG/GO] 2002 - Demais Bloqueios  </t>
  </si>
  <si>
    <t>Mass.[MG/GO] 2002 - Bloqueio 714  </t>
  </si>
  <si>
    <t xml:space="preserve">FORMULA </t>
  </si>
  <si>
    <t xml:space="preserve">REGIONAL </t>
  </si>
  <si>
    <t xml:space="preserve">FILIAL </t>
  </si>
  <si>
    <t xml:space="preserve">CÓD BLOQUEIO </t>
  </si>
  <si>
    <t xml:space="preserve">DESCRIÇÃO </t>
  </si>
  <si>
    <t>NOTA GO</t>
  </si>
  <si>
    <t>PRODUTO</t>
  </si>
  <si>
    <t>AMPLO</t>
  </si>
  <si>
    <t>REGRA</t>
  </si>
  <si>
    <t xml:space="preserve">PARCERIAS CO/MG/NE                 </t>
  </si>
  <si>
    <t xml:space="preserve">PARCERIAS SP/RJ/ES                 </t>
  </si>
  <si>
    <t xml:space="preserve">PARCERIAS SUL                      </t>
  </si>
  <si>
    <t>REGIONAL CORPORATE E PARCERIAS</t>
  </si>
  <si>
    <t>Mass.[PARC] 2024 - Demais Bloqueios</t>
  </si>
  <si>
    <t>Mass.[PARC] 2024 -Bloqueio 714</t>
  </si>
  <si>
    <t>Mass.[PARC] 2024 -Bloqueio 888</t>
  </si>
  <si>
    <t>Mass.[PARC] 2002 - Demais Bloqueios</t>
  </si>
  <si>
    <t>Mass.[PARC] 2002 - Bloqueio 714</t>
  </si>
  <si>
    <t>Mass.[COR SP/RJ] 2002 -  Demais Bloqueios </t>
  </si>
  <si>
    <t>Mass.[COR SP/RJ] 2002 - Bloqueio 714</t>
  </si>
  <si>
    <t>Mass.[COR SP/RJ] 2024 - Demais Bloqueios</t>
  </si>
  <si>
    <t>Mass.[COR SP/RJ] 2024 - Bloqueio 714</t>
  </si>
  <si>
    <t>Mass.[COR SP/RJ] 2024 - Bloqueio 888</t>
  </si>
  <si>
    <t xml:space="preserve">N - MANAUS                         </t>
  </si>
  <si>
    <t>NE - ATNP ARACAJU</t>
  </si>
  <si>
    <t xml:space="preserve">NE - ATNP RECIFE                   </t>
  </si>
  <si>
    <t xml:space="preserve">NE - ATNP SALVADOR                 </t>
  </si>
  <si>
    <t xml:space="preserve">NE - BAHIA                         </t>
  </si>
  <si>
    <t xml:space="preserve">NE - FORTALEZA                     </t>
  </si>
  <si>
    <t xml:space="preserve">NE - NATAL                         </t>
  </si>
  <si>
    <t xml:space="preserve">NE - PERNAMBUCO                    </t>
  </si>
  <si>
    <t xml:space="preserve">NE - RECIFE                        </t>
  </si>
  <si>
    <t xml:space="preserve">NE - SALVADOR                      </t>
  </si>
  <si>
    <t>NE - TERESINA</t>
  </si>
  <si>
    <t>RUN-OFF - N/NE</t>
  </si>
  <si>
    <t>REGIONAL N/NE</t>
  </si>
  <si>
    <t>Mass.[N/NE] 2002 - Demais Bloqueios </t>
  </si>
  <si>
    <t>Mass.[N/NE] 2002 - Bloqueio 714</t>
  </si>
  <si>
    <t>Mass.[N/NE] 2024 - Demais Bloqueios</t>
  </si>
  <si>
    <t>Mass.[N/NE] 2024 - Bloqueio 714</t>
  </si>
  <si>
    <t>Mass.[N/NE] 2024 - Bloqueio 888</t>
  </si>
  <si>
    <t>REGIONAL RJ/ES</t>
  </si>
  <si>
    <t xml:space="preserve">RJ - ASSESSORIAS                   </t>
  </si>
  <si>
    <t xml:space="preserve">RJ - BARRA                         </t>
  </si>
  <si>
    <t xml:space="preserve">RJ - DUQUE DE CAXIAS               </t>
  </si>
  <si>
    <t xml:space="preserve">RJ - VOLTA REDONDA                 </t>
  </si>
  <si>
    <t>RUN-OFF - RJ/ES</t>
  </si>
  <si>
    <t>Mass.[ES/RJ] 2002 - Demais Bloqueios</t>
  </si>
  <si>
    <t>Mass.[ES/RJ] 2002 - Bloqueio 714</t>
  </si>
  <si>
    <t>Mass.[ES/RJ] 2024 - Demais Bloqueios</t>
  </si>
  <si>
    <t>Mass.[ES/RJ] 2024 -Bloqueio 714</t>
  </si>
  <si>
    <t>Mass.[ES/RJ] 2024 -Bloqueio 888</t>
  </si>
  <si>
    <t>REGIONAL SP INTERIOR</t>
  </si>
  <si>
    <t>Mass.[INT. SP] 2002 - Bloqueio 714</t>
  </si>
  <si>
    <t xml:space="preserve">INT - BAURU                        </t>
  </si>
  <si>
    <t xml:space="preserve">INT - PRESIDENTE PRUDENTE          </t>
  </si>
  <si>
    <t xml:space="preserve">INT - S. J. DO RIO PRETO           </t>
  </si>
  <si>
    <t xml:space="preserve">INT - SOROCABA                     </t>
  </si>
  <si>
    <t>RUN-OFF - SP INTERIOR</t>
  </si>
  <si>
    <t>Mass.[INT. SP] 2002 - Demais Bloqueios </t>
  </si>
  <si>
    <t>Mass.[INT. SP] 2024 - Bloqueio 714</t>
  </si>
  <si>
    <t>Mass.[INT. SP] 2024 - Demais Bloqueios</t>
  </si>
  <si>
    <t>Mass.[INT. SP] 2024 - Bloqueio 888</t>
  </si>
  <si>
    <t>REGIONAL SUL 01</t>
  </si>
  <si>
    <t>Mass.[Sul01] 2002 - Bloqueio 714</t>
  </si>
  <si>
    <t xml:space="preserve">SUL - JOINVILLE                    </t>
  </si>
  <si>
    <t xml:space="preserve">SUL - LONDRINA                     </t>
  </si>
  <si>
    <t xml:space="preserve">SUL - PLANALTO                     </t>
  </si>
  <si>
    <t xml:space="preserve">SUL - POA SÃO JOÃO                 </t>
  </si>
  <si>
    <t xml:space="preserve">SUL - SANTA CRUZ                   </t>
  </si>
  <si>
    <t>Mass.[Sul01] 2002 - Demais Bloqueios </t>
  </si>
  <si>
    <t>Mass.[Sul01] 2024 -Bloqueio 714</t>
  </si>
  <si>
    <t>Mass.[Sul01] 2024 - Demais Bloqueios</t>
  </si>
  <si>
    <t>Mass.[Sul01] 2024 - Bloqueio 888</t>
  </si>
  <si>
    <t>REGIONAL SUL 02</t>
  </si>
  <si>
    <t xml:space="preserve">RUN-OFF - SUL                      </t>
  </si>
  <si>
    <t>Mass.[Sul02] 2002 - Bloqueio 714</t>
  </si>
  <si>
    <t xml:space="preserve">SUL - BLUMENAU                     </t>
  </si>
  <si>
    <t xml:space="preserve">SUL - CASCAVEL                     </t>
  </si>
  <si>
    <t xml:space="preserve">SUL - CAXIAS DO SUL                </t>
  </si>
  <si>
    <t xml:space="preserve">SUL - CTBA METROPOLITANA           </t>
  </si>
  <si>
    <t>Mass.[Sul02] 2002 - Demais Bloqueios</t>
  </si>
  <si>
    <t>Mass.[Sul02] 2024 -Bloqueio 714</t>
  </si>
  <si>
    <t>Mass.[Sul02] 2024 - Demais Bloqueios</t>
  </si>
  <si>
    <t>Mass.[Sul02] 2024 -Bloqueio 888</t>
  </si>
  <si>
    <t xml:space="preserve">SP - ASSESSORIAS                   </t>
  </si>
  <si>
    <t xml:space="preserve">SP - LAPA                          </t>
  </si>
  <si>
    <t xml:space="preserve">SP - ABC                           </t>
  </si>
  <si>
    <t xml:space="preserve">MG - SUL MINAS                     </t>
  </si>
  <si>
    <t xml:space="preserve">SP - SANTANA                       </t>
  </si>
  <si>
    <t xml:space="preserve">SP - PAULISTA                      </t>
  </si>
  <si>
    <t xml:space="preserve">SP - CENTRO                        </t>
  </si>
  <si>
    <t xml:space="preserve">SP - MORUMBI                       </t>
  </si>
  <si>
    <t xml:space="preserve">INT - CAMPINAS/JUNDIAI             </t>
  </si>
  <si>
    <t xml:space="preserve">SUL - FLORIANOPOLIS                </t>
  </si>
  <si>
    <t xml:space="preserve">CO - CUIABA                        </t>
  </si>
  <si>
    <t xml:space="preserve">MG - CENTRO LESTE MINEIRO          </t>
  </si>
  <si>
    <t xml:space="preserve">INT - VALE DO PARAIBA              </t>
  </si>
  <si>
    <t xml:space="preserve">SUL - CHAPECO                      </t>
  </si>
  <si>
    <t xml:space="preserve">SUL - CURITIBA                     </t>
  </si>
  <si>
    <t xml:space="preserve">SUL - PORTO ALEGRE                 </t>
  </si>
  <si>
    <t xml:space="preserve">SP - TATUAPE                       </t>
  </si>
  <si>
    <t xml:space="preserve">MG - ASSEMBLEIA                    </t>
  </si>
  <si>
    <t xml:space="preserve">MG - DIVINOPOLIS                   </t>
  </si>
  <si>
    <t xml:space="preserve">CO - BRASILIA                      </t>
  </si>
  <si>
    <t xml:space="preserve">ES - VITORIA                       </t>
  </si>
  <si>
    <t xml:space="preserve">INT - RIBEIRAO PRETO               </t>
  </si>
  <si>
    <t xml:space="preserve">RJ - MACAE                         </t>
  </si>
  <si>
    <t xml:space="preserve">RJ - NITEROI                       </t>
  </si>
  <si>
    <t xml:space="preserve">RJ - SERRANA/NORTE FLUMINENSE      </t>
  </si>
  <si>
    <t xml:space="preserve">SUL - SANTO ANGELO                 </t>
  </si>
  <si>
    <t xml:space="preserve">SUL - ATNP                         </t>
  </si>
  <si>
    <t xml:space="preserve">SUL - MARINGA                      </t>
  </si>
  <si>
    <t xml:space="preserve">N - ATNP BELEM                     </t>
  </si>
  <si>
    <t xml:space="preserve">NE - JOAO PESSOA                   </t>
  </si>
  <si>
    <t xml:space="preserve">INT - SAO CARLOS                   </t>
  </si>
  <si>
    <t xml:space="preserve">NE - SAO LUIS                      </t>
  </si>
  <si>
    <t xml:space="preserve">SUL - ATNP PORTO ALEGRE        </t>
  </si>
  <si>
    <t>Eunice</t>
  </si>
  <si>
    <t>Adriana</t>
  </si>
  <si>
    <t>Leandro</t>
  </si>
  <si>
    <t>Marcello</t>
  </si>
  <si>
    <t>Jusçara</t>
  </si>
  <si>
    <t>Antônio Marcos</t>
  </si>
  <si>
    <t xml:space="preserve">RJ - CENTRO II                        </t>
  </si>
  <si>
    <t xml:space="preserve">RJ - ATNP                          </t>
  </si>
  <si>
    <t xml:space="preserve">CO - ATNP BRASILIA                 </t>
  </si>
  <si>
    <t xml:space="preserve">CORPORATE                          </t>
  </si>
  <si>
    <t xml:space="preserve">N/NE - ATNP                        </t>
  </si>
  <si>
    <t xml:space="preserve">NE - ARACAJU/MACEIO                </t>
  </si>
  <si>
    <t xml:space="preserve">INT - ATNP CAMPINAS/JUNDIAI        </t>
  </si>
  <si>
    <t xml:space="preserve">SP - SANTOS                        </t>
  </si>
  <si>
    <t xml:space="preserve">RJ - Z.NORTE                       </t>
  </si>
  <si>
    <t xml:space="preserve">RUN-OFF - CO/MG                    </t>
  </si>
  <si>
    <t xml:space="preserve">RJ - RIO                           </t>
  </si>
  <si>
    <t xml:space="preserve">RJ - INTERIOR                      </t>
  </si>
  <si>
    <t xml:space="preserve">MG - TRIANGULO MINEIRO             </t>
  </si>
  <si>
    <t xml:space="preserve">MG/CO - ATNP                       </t>
  </si>
  <si>
    <t xml:space="preserve">INT - PIRACICABA/SOROCABA          </t>
  </si>
  <si>
    <t xml:space="preserve">CO - GOIAS                         </t>
  </si>
  <si>
    <t xml:space="preserve">INT - ATNP SP INTERIOR             </t>
  </si>
  <si>
    <t xml:space="preserve">N - BELEM/ASSESSORIAS              </t>
  </si>
  <si>
    <t xml:space="preserve">SP - ATNP 1                        </t>
  </si>
  <si>
    <t xml:space="preserve">SP - ATNP 2                        </t>
  </si>
  <si>
    <t>2002SP - ATNP 2                        20</t>
  </si>
  <si>
    <t>2002SP - ATNP 2                        10</t>
  </si>
  <si>
    <t>2024SP - ATNP 2                        24</t>
  </si>
  <si>
    <t>2024SP - ATNP 2                        22</t>
  </si>
  <si>
    <t>2024SP - ATNP 2                        15</t>
  </si>
  <si>
    <t>NR PROPOSTA</t>
  </si>
  <si>
    <t>APLICA</t>
  </si>
  <si>
    <t>RAMO</t>
  </si>
  <si>
    <t>DT PROPOSTA</t>
  </si>
  <si>
    <t>DT ULTIMA ALTERACAO</t>
  </si>
  <si>
    <t>Filial</t>
  </si>
  <si>
    <t>BLOQUEIO</t>
  </si>
  <si>
    <t xml:space="preserve">RJ - INTERIOR/NITEROI              </t>
  </si>
  <si>
    <t xml:space="preserve">NE - FORTALEZA/ASSESSORIA          </t>
  </si>
  <si>
    <t xml:space="preserve">MG Ì BELO HORIZONTE                </t>
  </si>
  <si>
    <t xml:space="preserve">SUL - ATNP 2                       </t>
  </si>
  <si>
    <t xml:space="preserve">INT - PIRACICABA                   </t>
  </si>
  <si>
    <t xml:space="preserve">SUL - LONDRINA/MARINGA             </t>
  </si>
  <si>
    <t xml:space="preserve">SP - ABC/SANTOS                    </t>
  </si>
  <si>
    <t xml:space="preserve">NE - TERESINA/SAO LUIS             </t>
  </si>
  <si>
    <t xml:space="preserve">INT - RIB. PRETO                   </t>
  </si>
  <si>
    <t xml:space="preserve">N - NORTE                          </t>
  </si>
  <si>
    <t xml:space="preserve">INT - CAMPINAS                     </t>
  </si>
  <si>
    <t xml:space="preserve">SP - ZONA SUL                      </t>
  </si>
  <si>
    <t>SUL - PORTO ALEGRE</t>
  </si>
  <si>
    <t>SUL - FLORIANOPOLIS</t>
  </si>
  <si>
    <t>N/NE - ATNP</t>
  </si>
  <si>
    <t>N - NORTE</t>
  </si>
  <si>
    <t>INT - S. J. DO RIO PRETO</t>
  </si>
  <si>
    <t>SUL - BLUMENAU</t>
  </si>
  <si>
    <t>CO - GOIAS</t>
  </si>
  <si>
    <t>SP - ATNP 2</t>
  </si>
  <si>
    <t>RJ - INTERIOR/NITEROI</t>
  </si>
  <si>
    <t>MG – BELO HORIZONTE</t>
  </si>
  <si>
    <t>SP - CENTRO</t>
  </si>
  <si>
    <t>SUL - CHAPECO</t>
  </si>
  <si>
    <t>SP - ZONA SUL</t>
  </si>
  <si>
    <t>SP - ASSESSORIAS</t>
  </si>
  <si>
    <t>PARCERIAS CO/MG/NE</t>
  </si>
  <si>
    <t>RJ - ASSESSORIAS</t>
  </si>
  <si>
    <t>SUL - LONDRINA/MARINGA</t>
  </si>
  <si>
    <t>SUL - ATNP 1</t>
  </si>
  <si>
    <t>MG/CO - ATNP</t>
  </si>
  <si>
    <t>SUL - CAXIAS DO SUL</t>
  </si>
  <si>
    <t>SUL - CURITIBA</t>
  </si>
  <si>
    <t>MG - CENTRO LESTE MINEIRO</t>
  </si>
  <si>
    <t>NE - ARACAJU/MACEIO</t>
  </si>
  <si>
    <t>NE - SALVADOR</t>
  </si>
  <si>
    <t>NE - RECIFE</t>
  </si>
  <si>
    <t>RJ - RIO</t>
  </si>
  <si>
    <t>INT - VALE DO PARAIBA</t>
  </si>
  <si>
    <t>NE - NATAL/JOAO PESSOA</t>
  </si>
  <si>
    <t>NE - TERESINA/SAO LUIS</t>
  </si>
  <si>
    <t>NE - FORTALEZA/ASSESSORIA</t>
  </si>
  <si>
    <t>SP - ABC/SANTOS</t>
  </si>
  <si>
    <t>SUL - SANTO ANGELO</t>
  </si>
  <si>
    <t>INT - ATNP 1</t>
  </si>
  <si>
    <t>SP - ATNP 1</t>
  </si>
  <si>
    <t>ES - VITORIA</t>
  </si>
  <si>
    <t>CO - BRASILIA</t>
  </si>
  <si>
    <t>CONCESSIONARIAS</t>
  </si>
  <si>
    <t>SP - ZONA LESTE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</si>
</sst>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2" borderId="0" xfId="0" applyFont="1" applyFill="1"/>
    <xf numFmtId="49" fontId="0" fillId="0" borderId="0" xfId="0" applyNumberFormat="1"/>
    <xf numFmtId="0" fontId="1" fillId="3" borderId="0" xfId="0" applyFont="1" applyFill="1"/>
    <xf numFmtId="0" fontId="0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/>
    <xf numFmtId="0" fontId="0" fillId="4" borderId="0" xfId="0" applyFill="1"/>
    <xf numFmtId="0" fontId="0" fillId="0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8" borderId="0" xfId="0" applyFont="1" applyFill="1"/>
    <xf numFmtId="0" fontId="3" fillId="4" borderId="0" xfId="0" applyFont="1" applyFill="1"/>
    <xf numFmtId="0" fontId="0" fillId="9" borderId="0" xfId="0" applyFill="1"/>
    <xf numFmtId="0" fontId="0" fillId="10" borderId="0" xfId="0" applyFill="1"/>
    <xf numFmtId="1" fontId="1" fillId="2" borderId="0" xfId="0" applyNumberFormat="1" applyFont="1" applyFill="1"/>
    <xf numFmtId="1" fontId="0" fillId="0" borderId="0" xfId="0" applyNumberFormat="1"/>
    <xf numFmtId="1" fontId="0" fillId="0" borderId="0" xfId="0" applyNumberFormat="1" applyAlignment="1">
      <alignment horizontal="center"/>
    </xf>
    <xf numFmtId="49" fontId="1" fillId="2" borderId="0" xfId="0" applyNumberFormat="1" applyFont="1" applyFill="1"/>
    <xf numFmtId="0" fontId="0" fillId="0" borderId="0" xfId="0" applyNumberFormat="1"/>
    <xf numFmtId="4" fontId="0" fillId="0" borderId="0" xfId="0" applyNumberFormat="1"/>
  </cellXfs>
  <cellStyles count="1"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581025</xdr:colOff>
      <xdr:row>11</xdr:row>
      <xdr:rowOff>133350</xdr:rowOff>
    </xdr:from>
    <xdr:to>
      <xdr:col>19</xdr:col>
      <xdr:colOff>189253</xdr:colOff>
      <xdr:row>18</xdr:row>
      <xdr:rowOff>161755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1A2244A-4A48-4BE6-947E-066540A51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0225" y="2228850"/>
          <a:ext cx="9971428" cy="136190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11</xdr:row>
      <xdr:rowOff>123825</xdr:rowOff>
    </xdr:from>
    <xdr:to>
      <xdr:col>16</xdr:col>
      <xdr:colOff>104775</xdr:colOff>
      <xdr:row>19</xdr:row>
      <xdr:rowOff>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0E085D9-5D2B-48F7-A990-3FC2A9478F56}"/>
            </a:ext>
          </a:extLst>
        </xdr:cNvPr>
        <xdr:cNvSpPr/>
      </xdr:nvSpPr>
      <xdr:spPr>
        <a:xfrm>
          <a:off x="9201150" y="2219325"/>
          <a:ext cx="657225" cy="1400175"/>
        </a:xfrm>
        <a:prstGeom prst="round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371476</xdr:colOff>
      <xdr:row>7</xdr:row>
      <xdr:rowOff>152400</xdr:rowOff>
    </xdr:from>
    <xdr:to>
      <xdr:col>16</xdr:col>
      <xdr:colOff>200026</xdr:colOff>
      <xdr:row>11</xdr:row>
      <xdr:rowOff>85725</xdr:rowOff>
    </xdr:to>
    <xdr:cxnSp macro="">
      <xdr:nvCxnSpPr>
        <xdr:cNvPr id="5" name="Conector: Angulado 4">
          <a:extLst>
            <a:ext uri="{FF2B5EF4-FFF2-40B4-BE49-F238E27FC236}">
              <a16:creationId xmlns:a16="http://schemas.microsoft.com/office/drawing/2014/main" id="{5CBD76C2-FE75-4ECD-AA91-FE959AF80A28}"/>
            </a:ext>
          </a:extLst>
        </xdr:cNvPr>
        <xdr:cNvCxnSpPr/>
      </xdr:nvCxnSpPr>
      <xdr:spPr>
        <a:xfrm rot="5400000">
          <a:off x="9386888" y="1614488"/>
          <a:ext cx="695325" cy="43815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57150</xdr:colOff>
      <xdr:row>2</xdr:row>
      <xdr:rowOff>85726</xdr:rowOff>
    </xdr:from>
    <xdr:to>
      <xdr:col>19</xdr:col>
      <xdr:colOff>361950</xdr:colOff>
      <xdr:row>7</xdr:row>
      <xdr:rowOff>104776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91A891E4-7C66-420D-880C-C75AD0725659}"/>
            </a:ext>
          </a:extLst>
        </xdr:cNvPr>
        <xdr:cNvSpPr/>
      </xdr:nvSpPr>
      <xdr:spPr>
        <a:xfrm>
          <a:off x="7981950" y="466726"/>
          <a:ext cx="3962400" cy="971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Usaremos este campo para informar qual nota será utilizada.</a:t>
          </a:r>
          <a:r>
            <a:rPr lang="pt-BR" sz="1100" baseline="0"/>
            <a:t> Todo o fluxo continua sem alteração &gt; Pega a Proposta na coluna "A" e vai até a FG na plataforma, na lateral em Nota/Agenda utilizará a nota informada na coluna "I".</a:t>
          </a:r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UPERINTENDENCIA_MASSIFICADOS/SUBSCRICAO_MASSIFICADOS/MESA%20DE%20SUBSCRI&#199;&#195;O/Subscritores/PROP%20BLOQ/PROP%20BLOQ%202023/Outubro/ROB&#212;%2030.10.2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ntxnas1.intrAllianz.es\Brasil\DIRETORIAS\DIR%20EXE%20MASSIFICADOS%20SAUDE%20VIDA\MASSIFICADOS\SUPERINTENDENCIA_MASSIFICADOS\SUBSCRICAO_MASSIFICADOS\MESA%20DE%20SUBSCRI&#199;&#195;O\Subscritores\Rodrigo\Teste\Base%20de%20Dados%20Subscri&#231;&#227;o.xlsx" TargetMode="External"/><Relationship Id="rId1" Type="http://schemas.openxmlformats.org/officeDocument/2006/relationships/externalLinkPath" Target="/DIRETORIAS/DIR%20EXE%20MASSIFICADOS%20SAUDE%20VIDA/MASSIFICADOS/SUPERINTENDENCIA_MASSIFICADOS/SUBSCRICAO_MASSIFICADOS/MESA%20DE%20SUBSCRI&#199;&#195;O/Subscritores/Rodrigo/Teste/Base%20de%20Dados%20Subscri&#231;&#227;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loqueios"/>
      <sheetName val="Planilha2"/>
      <sheetName val="REGRA"/>
      <sheetName val="BASE DE DADOS"/>
      <sheetName val="Planilha1"/>
    </sheetNames>
    <sheetDataSet>
      <sheetData sheetId="0" refreshError="1"/>
      <sheetData sheetId="1" refreshError="1"/>
      <sheetData sheetId="2" refreshError="1">
        <row r="2">
          <cell r="C2" t="str">
            <v>17012002</v>
          </cell>
          <cell r="D2">
            <v>20</v>
          </cell>
        </row>
        <row r="3">
          <cell r="C3" t="str">
            <v>22792002</v>
          </cell>
          <cell r="D3">
            <v>20</v>
          </cell>
        </row>
        <row r="4">
          <cell r="C4" t="str">
            <v>80032002</v>
          </cell>
          <cell r="D4">
            <v>20</v>
          </cell>
        </row>
        <row r="5">
          <cell r="C5" t="str">
            <v>AMPLO2002</v>
          </cell>
          <cell r="D5">
            <v>20</v>
          </cell>
        </row>
        <row r="6">
          <cell r="C6" t="str">
            <v>7142002</v>
          </cell>
          <cell r="D6">
            <v>10</v>
          </cell>
        </row>
        <row r="7">
          <cell r="C7" t="str">
            <v>17012024</v>
          </cell>
          <cell r="D7">
            <v>24</v>
          </cell>
        </row>
        <row r="8">
          <cell r="C8" t="str">
            <v>22792024</v>
          </cell>
          <cell r="D8">
            <v>24</v>
          </cell>
        </row>
        <row r="9">
          <cell r="C9" t="str">
            <v>80022024</v>
          </cell>
          <cell r="D9">
            <v>24</v>
          </cell>
        </row>
        <row r="10">
          <cell r="C10" t="str">
            <v>80272024</v>
          </cell>
          <cell r="D10">
            <v>24</v>
          </cell>
        </row>
        <row r="11">
          <cell r="C11" t="str">
            <v>7142024</v>
          </cell>
          <cell r="D11">
            <v>22</v>
          </cell>
        </row>
        <row r="12">
          <cell r="C12" t="str">
            <v>8882024</v>
          </cell>
          <cell r="D12">
            <v>15</v>
          </cell>
        </row>
        <row r="13">
          <cell r="C13" t="str">
            <v>80132002</v>
          </cell>
          <cell r="D13">
            <v>10</v>
          </cell>
        </row>
      </sheetData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SE DE DADOS"/>
    </sheetNames>
    <sheetDataSet>
      <sheetData sheetId="0">
        <row r="1">
          <cell r="A1" t="str">
            <v xml:space="preserve">FORMULA </v>
          </cell>
          <cell r="B1" t="str">
            <v xml:space="preserve">REGIONAL </v>
          </cell>
          <cell r="C1" t="str">
            <v>CÓD. FILIAL</v>
          </cell>
          <cell r="D1" t="str">
            <v xml:space="preserve">FILIAL </v>
          </cell>
          <cell r="G1" t="str">
            <v>Subscritor</v>
          </cell>
          <cell r="H1" t="str">
            <v xml:space="preserve">CÓD BLOQUEIO </v>
          </cell>
          <cell r="I1" t="str">
            <v xml:space="preserve">DESCRIÇÃO </v>
          </cell>
          <cell r="J1" t="str">
            <v>NOTA GO</v>
          </cell>
        </row>
        <row r="2">
          <cell r="A2" t="str">
            <v>2024CO - BRASILIA                      24</v>
          </cell>
          <cell r="B2" t="str">
            <v>REGIONAL CO/MG</v>
          </cell>
          <cell r="C2">
            <v>48</v>
          </cell>
          <cell r="D2" t="str">
            <v xml:space="preserve">CO - BRASILIA                      </v>
          </cell>
          <cell r="E2" t="str">
            <v>3Y</v>
          </cell>
          <cell r="F2" t="str">
            <v>RUBIA PREVIATO MARTINHO ARAUJO</v>
          </cell>
          <cell r="G2" t="str">
            <v>Adriana</v>
          </cell>
          <cell r="H2">
            <v>24</v>
          </cell>
          <cell r="I2" t="str">
            <v xml:space="preserve">Mass.[MG/GO] 2024 - Demais Bloqueios </v>
          </cell>
          <cell r="J2">
            <v>1015</v>
          </cell>
        </row>
        <row r="3">
          <cell r="A3" t="str">
            <v>2024CO - BRASILIA                      22</v>
          </cell>
          <cell r="B3" t="str">
            <v>REGIONAL CO/MG</v>
          </cell>
          <cell r="C3">
            <v>48</v>
          </cell>
          <cell r="D3" t="str">
            <v xml:space="preserve">CO - BRASILIA                      </v>
          </cell>
          <cell r="E3" t="str">
            <v>1G</v>
          </cell>
          <cell r="F3" t="str">
            <v>RODRIGO CASTANHEIRA HALADA</v>
          </cell>
          <cell r="G3" t="str">
            <v>Adriana</v>
          </cell>
          <cell r="H3">
            <v>22</v>
          </cell>
          <cell r="I3" t="str">
            <v>Mass.[MG/GO] 2024 - Bloqueio 714</v>
          </cell>
          <cell r="J3">
            <v>1016</v>
          </cell>
        </row>
        <row r="4">
          <cell r="A4" t="str">
            <v>2024CO - BRASILIA                      15</v>
          </cell>
          <cell r="B4" t="str">
            <v>REGIONAL CO/MG</v>
          </cell>
          <cell r="C4">
            <v>48</v>
          </cell>
          <cell r="D4" t="str">
            <v xml:space="preserve">CO - BRASILIA                      </v>
          </cell>
          <cell r="E4" t="str">
            <v>1J</v>
          </cell>
          <cell r="F4" t="str">
            <v>CARLOS ALBERTO MACEDO</v>
          </cell>
          <cell r="G4" t="str">
            <v>Adriana</v>
          </cell>
          <cell r="H4">
            <v>15</v>
          </cell>
          <cell r="I4" t="str">
            <v>Mass.[MG/GO] 2024 - Bloqueio 888</v>
          </cell>
          <cell r="J4">
            <v>1017</v>
          </cell>
        </row>
        <row r="5">
          <cell r="A5" t="str">
            <v>2002CO - BRASILIA                      20</v>
          </cell>
          <cell r="B5" t="str">
            <v>REGIONAL CO/MG</v>
          </cell>
          <cell r="C5">
            <v>48</v>
          </cell>
          <cell r="D5" t="str">
            <v xml:space="preserve">CO - BRASILIA                      </v>
          </cell>
          <cell r="E5" t="str">
            <v>4X</v>
          </cell>
          <cell r="F5" t="str">
            <v>ILLYRIA DE GODOY XAVIER</v>
          </cell>
          <cell r="G5" t="str">
            <v>Jusçara</v>
          </cell>
          <cell r="H5">
            <v>20</v>
          </cell>
          <cell r="I5" t="str">
            <v>Mass.[MG/GO] 2002 - Demais Bloqueios  </v>
          </cell>
          <cell r="J5">
            <v>996</v>
          </cell>
        </row>
        <row r="6">
          <cell r="A6" t="str">
            <v>2002CO - BRASILIA                      10</v>
          </cell>
          <cell r="B6" t="str">
            <v>REGIONAL CO/MG</v>
          </cell>
          <cell r="C6">
            <v>48</v>
          </cell>
          <cell r="D6" t="str">
            <v xml:space="preserve">CO - BRASILIA                      </v>
          </cell>
          <cell r="E6" t="str">
            <v>3Q</v>
          </cell>
          <cell r="F6" t="str">
            <v>GISELE GARCIA</v>
          </cell>
          <cell r="G6" t="str">
            <v>Jusçara</v>
          </cell>
          <cell r="H6">
            <v>10</v>
          </cell>
          <cell r="I6" t="str">
            <v>Mass.[MG/GO] 2002 - Bloqueio 714  </v>
          </cell>
          <cell r="J6">
            <v>997</v>
          </cell>
        </row>
        <row r="7">
          <cell r="A7" t="str">
            <v>2024CO - CAMPO GRANDE                  24</v>
          </cell>
          <cell r="B7" t="str">
            <v>REGIONAL CO/MG</v>
          </cell>
          <cell r="C7">
            <v>354</v>
          </cell>
          <cell r="D7" t="str">
            <v xml:space="preserve">CO - CAMPO GRANDE                  </v>
          </cell>
          <cell r="E7" t="str">
            <v>3U</v>
          </cell>
          <cell r="F7" t="str">
            <v>MARCELO AMATUZZI N DAS NEVES</v>
          </cell>
          <cell r="G7" t="str">
            <v>Adriana</v>
          </cell>
          <cell r="H7">
            <v>24</v>
          </cell>
          <cell r="I7" t="str">
            <v xml:space="preserve">Mass.[MG/GO] 2024 - Demais Bloqueios </v>
          </cell>
          <cell r="J7">
            <v>1015</v>
          </cell>
        </row>
        <row r="8">
          <cell r="A8" t="str">
            <v>2024CO - CAMPO GRANDE                  22</v>
          </cell>
          <cell r="B8" t="str">
            <v>REGIONAL CO/MG</v>
          </cell>
          <cell r="C8">
            <v>354</v>
          </cell>
          <cell r="D8" t="str">
            <v xml:space="preserve">CO - CAMPO GRANDE                  </v>
          </cell>
          <cell r="E8">
            <v>44</v>
          </cell>
          <cell r="F8" t="str">
            <v>VALERIA NOGUEIRA</v>
          </cell>
          <cell r="G8" t="str">
            <v>Adriana</v>
          </cell>
          <cell r="H8">
            <v>22</v>
          </cell>
          <cell r="I8" t="str">
            <v>Mass.[MG/GO] 2024 - Bloqueio 714</v>
          </cell>
          <cell r="J8">
            <v>1016</v>
          </cell>
        </row>
        <row r="9">
          <cell r="A9" t="str">
            <v>2024CO - CAMPO GRANDE                  15</v>
          </cell>
          <cell r="B9" t="str">
            <v>REGIONAL CO/MG</v>
          </cell>
          <cell r="C9">
            <v>354</v>
          </cell>
          <cell r="D9" t="str">
            <v xml:space="preserve">CO - CAMPO GRANDE                  </v>
          </cell>
          <cell r="E9" t="str">
            <v>40</v>
          </cell>
          <cell r="F9" t="str">
            <v>FLAVIA KANESIRO P DE OLIVEIRA</v>
          </cell>
          <cell r="G9" t="str">
            <v>Adriana</v>
          </cell>
          <cell r="H9">
            <v>15</v>
          </cell>
          <cell r="I9" t="str">
            <v>Mass.[MG/GO] 2024 - Bloqueio 888</v>
          </cell>
          <cell r="J9">
            <v>1017</v>
          </cell>
        </row>
        <row r="10">
          <cell r="A10" t="str">
            <v>2002CO - CAMPO GRANDE                  20</v>
          </cell>
          <cell r="B10" t="str">
            <v>REGIONAL CO/MG</v>
          </cell>
          <cell r="C10">
            <v>354</v>
          </cell>
          <cell r="D10" t="str">
            <v xml:space="preserve">CO - CAMPO GRANDE                  </v>
          </cell>
          <cell r="E10" t="str">
            <v>2Y</v>
          </cell>
          <cell r="F10" t="str">
            <v>KATIA REGINA DOS S MEDEIROS</v>
          </cell>
          <cell r="G10" t="str">
            <v>Jusçara</v>
          </cell>
          <cell r="H10">
            <v>20</v>
          </cell>
          <cell r="I10" t="str">
            <v>Mass.[MG/GO] 2002 - Demais Bloqueios  </v>
          </cell>
          <cell r="J10">
            <v>996</v>
          </cell>
        </row>
        <row r="11">
          <cell r="A11" t="str">
            <v>2002CO - CAMPO GRANDE                  10</v>
          </cell>
          <cell r="B11" t="str">
            <v>REGIONAL CO/MG</v>
          </cell>
          <cell r="C11">
            <v>354</v>
          </cell>
          <cell r="D11" t="str">
            <v xml:space="preserve">CO - CAMPO GRANDE                  </v>
          </cell>
          <cell r="E11" t="str">
            <v>3N</v>
          </cell>
          <cell r="F11" t="str">
            <v>SILVIO BACCI</v>
          </cell>
          <cell r="G11" t="str">
            <v>Jusçara</v>
          </cell>
          <cell r="H11">
            <v>10</v>
          </cell>
          <cell r="I11" t="str">
            <v>Mass.[MG/GO] 2002 - Bloqueio 714  </v>
          </cell>
          <cell r="J11">
            <v>997</v>
          </cell>
        </row>
        <row r="12">
          <cell r="A12" t="str">
            <v>2024CO - CUIABA                        24</v>
          </cell>
          <cell r="B12" t="str">
            <v>REGIONAL CO/MG</v>
          </cell>
          <cell r="C12">
            <v>217</v>
          </cell>
          <cell r="D12" t="str">
            <v xml:space="preserve">CO - CUIABA                        </v>
          </cell>
          <cell r="E12" t="str">
            <v>3Y</v>
          </cell>
          <cell r="F12" t="str">
            <v>RUBIA PREVIATO MARTINHO ARAUJO</v>
          </cell>
          <cell r="G12" t="str">
            <v>Adriana</v>
          </cell>
          <cell r="H12">
            <v>24</v>
          </cell>
          <cell r="I12" t="str">
            <v xml:space="preserve">Mass.[MG/GO] 2024 - Demais Bloqueios </v>
          </cell>
          <cell r="J12">
            <v>1015</v>
          </cell>
        </row>
        <row r="13">
          <cell r="A13" t="str">
            <v>2024CO - CUIABA                        22</v>
          </cell>
          <cell r="B13" t="str">
            <v>REGIONAL CO/MG</v>
          </cell>
          <cell r="C13">
            <v>217</v>
          </cell>
          <cell r="D13" t="str">
            <v xml:space="preserve">CO - CUIABA                        </v>
          </cell>
          <cell r="E13" t="str">
            <v>1G</v>
          </cell>
          <cell r="F13" t="str">
            <v>RODRIGO CASTANHEIRA HALADA</v>
          </cell>
          <cell r="G13" t="str">
            <v>Adriana</v>
          </cell>
          <cell r="H13">
            <v>22</v>
          </cell>
          <cell r="I13" t="str">
            <v>Mass.[MG/GO] 2024 - Bloqueio 714</v>
          </cell>
          <cell r="J13">
            <v>1016</v>
          </cell>
        </row>
        <row r="14">
          <cell r="A14" t="str">
            <v>2024CO - CUIABA                        15</v>
          </cell>
          <cell r="B14" t="str">
            <v>REGIONAL CO/MG</v>
          </cell>
          <cell r="C14">
            <v>217</v>
          </cell>
          <cell r="D14" t="str">
            <v xml:space="preserve">CO - CUIABA                        </v>
          </cell>
          <cell r="E14" t="str">
            <v>1J</v>
          </cell>
          <cell r="F14" t="str">
            <v>CARLOS ALBERTO MACEDO</v>
          </cell>
          <cell r="G14" t="str">
            <v>Adriana</v>
          </cell>
          <cell r="H14">
            <v>15</v>
          </cell>
          <cell r="I14" t="str">
            <v>Mass.[MG/GO] 2024 - Bloqueio 888</v>
          </cell>
          <cell r="J14">
            <v>1017</v>
          </cell>
        </row>
        <row r="15">
          <cell r="A15" t="str">
            <v>2002CO - CUIABA                        20</v>
          </cell>
          <cell r="B15" t="str">
            <v>REGIONAL CO/MG</v>
          </cell>
          <cell r="C15">
            <v>217</v>
          </cell>
          <cell r="D15" t="str">
            <v xml:space="preserve">CO - CUIABA                        </v>
          </cell>
          <cell r="E15" t="str">
            <v>4X</v>
          </cell>
          <cell r="F15" t="str">
            <v>ILLYRIA DE GODOY XAVIER</v>
          </cell>
          <cell r="G15" t="str">
            <v>Jusçara</v>
          </cell>
          <cell r="H15">
            <v>20</v>
          </cell>
          <cell r="I15" t="str">
            <v>Mass.[MG/GO] 2002 - Demais Bloqueios  </v>
          </cell>
          <cell r="J15">
            <v>996</v>
          </cell>
        </row>
        <row r="16">
          <cell r="A16" t="str">
            <v>2002CO - CUIABA                        10</v>
          </cell>
          <cell r="B16" t="str">
            <v>REGIONAL CO/MG</v>
          </cell>
          <cell r="C16">
            <v>217</v>
          </cell>
          <cell r="D16" t="str">
            <v xml:space="preserve">CO - CUIABA                        </v>
          </cell>
          <cell r="E16" t="str">
            <v>3Q</v>
          </cell>
          <cell r="F16" t="str">
            <v>GISELE GARCIA</v>
          </cell>
          <cell r="G16" t="str">
            <v>Jusçara</v>
          </cell>
          <cell r="H16">
            <v>10</v>
          </cell>
          <cell r="I16" t="str">
            <v>Mass.[MG/GO] 2002 - Bloqueio 714  </v>
          </cell>
          <cell r="J16">
            <v>997</v>
          </cell>
        </row>
        <row r="17">
          <cell r="A17" t="str">
            <v>2024CO - GOIAS                         24</v>
          </cell>
          <cell r="B17" t="str">
            <v>REGIONAL CO/MG</v>
          </cell>
          <cell r="C17">
            <v>50</v>
          </cell>
          <cell r="D17" t="str">
            <v xml:space="preserve">CO - GOIAS                         </v>
          </cell>
          <cell r="E17" t="str">
            <v>3U</v>
          </cell>
          <cell r="F17" t="str">
            <v>MARCELO AMATUZZI N DAS NEVES</v>
          </cell>
          <cell r="G17" t="str">
            <v>Adriana</v>
          </cell>
          <cell r="H17">
            <v>24</v>
          </cell>
          <cell r="I17" t="str">
            <v xml:space="preserve">Mass.[MG/GO] 2024 - Demais Bloqueios </v>
          </cell>
          <cell r="J17">
            <v>1015</v>
          </cell>
        </row>
        <row r="18">
          <cell r="A18" t="str">
            <v>2024CO - GOIAS                         22</v>
          </cell>
          <cell r="B18" t="str">
            <v>REGIONAL CO/MG</v>
          </cell>
          <cell r="C18">
            <v>50</v>
          </cell>
          <cell r="D18" t="str">
            <v xml:space="preserve">CO - GOIAS                         </v>
          </cell>
          <cell r="E18">
            <v>44</v>
          </cell>
          <cell r="F18" t="str">
            <v>VALERIA NOGUEIRA</v>
          </cell>
          <cell r="G18" t="str">
            <v>Adriana</v>
          </cell>
          <cell r="H18">
            <v>22</v>
          </cell>
          <cell r="I18" t="str">
            <v>Mass.[MG/GO] 2024 - Bloqueio 714</v>
          </cell>
          <cell r="J18">
            <v>1016</v>
          </cell>
        </row>
        <row r="19">
          <cell r="A19" t="str">
            <v>2024CO - GOIAS                         15</v>
          </cell>
          <cell r="B19" t="str">
            <v>REGIONAL CO/MG</v>
          </cell>
          <cell r="C19">
            <v>50</v>
          </cell>
          <cell r="D19" t="str">
            <v xml:space="preserve">CO - GOIAS                         </v>
          </cell>
          <cell r="E19" t="str">
            <v>40</v>
          </cell>
          <cell r="F19" t="str">
            <v>FLAVIA KANESIRO P DE OLIVEIRA</v>
          </cell>
          <cell r="G19" t="str">
            <v>Adriana</v>
          </cell>
          <cell r="H19">
            <v>15</v>
          </cell>
          <cell r="I19" t="str">
            <v>Mass.[MG/GO] 2024 - Bloqueio 888</v>
          </cell>
          <cell r="J19">
            <v>1017</v>
          </cell>
        </row>
        <row r="20">
          <cell r="A20" t="str">
            <v>2002CO - GOIAS                         20</v>
          </cell>
          <cell r="B20" t="str">
            <v>REGIONAL CO/MG</v>
          </cell>
          <cell r="C20">
            <v>50</v>
          </cell>
          <cell r="D20" t="str">
            <v xml:space="preserve">CO - GOIAS                         </v>
          </cell>
          <cell r="E20" t="str">
            <v>2Y</v>
          </cell>
          <cell r="F20" t="str">
            <v>KATIA REGINA DOS S MEDEIROS</v>
          </cell>
          <cell r="G20" t="str">
            <v>Jusçara</v>
          </cell>
          <cell r="H20">
            <v>20</v>
          </cell>
          <cell r="I20" t="str">
            <v>Mass.[MG/GO] 2002 - Demais Bloqueios  </v>
          </cell>
          <cell r="J20">
            <v>996</v>
          </cell>
        </row>
        <row r="21">
          <cell r="A21" t="str">
            <v>2002CO - GOIAS                         10</v>
          </cell>
          <cell r="B21" t="str">
            <v>REGIONAL CO/MG</v>
          </cell>
          <cell r="C21">
            <v>50</v>
          </cell>
          <cell r="D21" t="str">
            <v xml:space="preserve">CO - GOIAS                         </v>
          </cell>
          <cell r="E21" t="str">
            <v>3N</v>
          </cell>
          <cell r="F21" t="str">
            <v>SILVIO BACCI</v>
          </cell>
          <cell r="G21" t="str">
            <v>Jusçara</v>
          </cell>
          <cell r="H21">
            <v>10</v>
          </cell>
          <cell r="I21" t="str">
            <v>Mass.[MG/GO] 2002 - Bloqueio 714  </v>
          </cell>
          <cell r="J21">
            <v>997</v>
          </cell>
        </row>
        <row r="22">
          <cell r="A22" t="str">
            <v>2002ES - VITORIA                       20</v>
          </cell>
          <cell r="B22" t="str">
            <v>REGIONAL RJ/ES</v>
          </cell>
          <cell r="C22">
            <v>218</v>
          </cell>
          <cell r="D22" t="str">
            <v xml:space="preserve">ES - VITORIA                       </v>
          </cell>
          <cell r="E22" t="str">
            <v>3Y</v>
          </cell>
          <cell r="F22" t="str">
            <v>RUBIA PREVIATO MARTINHO ARAUJO</v>
          </cell>
          <cell r="G22" t="str">
            <v>Jusçara</v>
          </cell>
          <cell r="H22">
            <v>20</v>
          </cell>
          <cell r="I22" t="str">
            <v>Mass.[ES/RJ] 2002 - Demais Bloqueios</v>
          </cell>
          <cell r="J22">
            <v>1010</v>
          </cell>
        </row>
        <row r="23">
          <cell r="A23" t="str">
            <v>2002ES - VITORIA                       10</v>
          </cell>
          <cell r="B23" t="str">
            <v>REGIONAL RJ/ES</v>
          </cell>
          <cell r="C23">
            <v>218</v>
          </cell>
          <cell r="D23" t="str">
            <v xml:space="preserve">ES - VITORIA                       </v>
          </cell>
          <cell r="E23" t="str">
            <v>1G</v>
          </cell>
          <cell r="F23" t="str">
            <v>RODRIGO CASTANHEIRA HALADA</v>
          </cell>
          <cell r="G23" t="str">
            <v>Jusçara</v>
          </cell>
          <cell r="H23">
            <v>10</v>
          </cell>
          <cell r="I23" t="str">
            <v>Mass.[ES/RJ] 2002 - Bloqueio 714</v>
          </cell>
          <cell r="J23">
            <v>1011</v>
          </cell>
        </row>
        <row r="24">
          <cell r="A24" t="str">
            <v>2024ES - VITORIA                       24</v>
          </cell>
          <cell r="B24" t="str">
            <v>REGIONAL RJ/ES</v>
          </cell>
          <cell r="C24">
            <v>218</v>
          </cell>
          <cell r="D24" t="str">
            <v xml:space="preserve">ES - VITORIA                       </v>
          </cell>
          <cell r="E24" t="str">
            <v>1J</v>
          </cell>
          <cell r="F24" t="str">
            <v>CARLOS ALBERTO MACEDO</v>
          </cell>
          <cell r="G24" t="str">
            <v>Adriana</v>
          </cell>
          <cell r="H24">
            <v>24</v>
          </cell>
          <cell r="I24" t="str">
            <v>Mass.[ES/RJ] 2024 - Demais Bloqueios</v>
          </cell>
          <cell r="J24">
            <v>1036</v>
          </cell>
        </row>
        <row r="25">
          <cell r="A25" t="str">
            <v>2024ES - VITORIA                       22</v>
          </cell>
          <cell r="B25" t="str">
            <v>REGIONAL RJ/ES</v>
          </cell>
          <cell r="C25">
            <v>218</v>
          </cell>
          <cell r="D25" t="str">
            <v xml:space="preserve">ES - VITORIA                       </v>
          </cell>
          <cell r="E25" t="str">
            <v>4X</v>
          </cell>
          <cell r="F25" t="str">
            <v>ILLYRIA DE GODOY XAVIER</v>
          </cell>
          <cell r="G25" t="str">
            <v>Adriana</v>
          </cell>
          <cell r="H25">
            <v>22</v>
          </cell>
          <cell r="I25" t="str">
            <v>Mass.[ES/RJ] 2024 -Bloqueio 714</v>
          </cell>
          <cell r="J25">
            <v>1037</v>
          </cell>
        </row>
        <row r="26">
          <cell r="A26" t="str">
            <v>2024ES - VITORIA                       15</v>
          </cell>
          <cell r="B26" t="str">
            <v>REGIONAL RJ/ES</v>
          </cell>
          <cell r="C26">
            <v>218</v>
          </cell>
          <cell r="D26" t="str">
            <v xml:space="preserve">ES - VITORIA                       </v>
          </cell>
          <cell r="E26" t="str">
            <v>3Q</v>
          </cell>
          <cell r="F26" t="str">
            <v>GISELE GARCIA</v>
          </cell>
          <cell r="G26" t="str">
            <v>Adriana</v>
          </cell>
          <cell r="H26">
            <v>15</v>
          </cell>
          <cell r="I26" t="str">
            <v>Mass.[ES/RJ] 2024 -Bloqueio 888</v>
          </cell>
          <cell r="J26">
            <v>1038</v>
          </cell>
        </row>
        <row r="27">
          <cell r="A27" t="str">
            <v>2002ES - VITORIA                       20</v>
          </cell>
          <cell r="B27" t="str">
            <v>REGIONAL RJ/ES</v>
          </cell>
          <cell r="C27">
            <v>218</v>
          </cell>
          <cell r="D27" t="str">
            <v xml:space="preserve">ES - VITORIA                       </v>
          </cell>
          <cell r="E27" t="str">
            <v>3U</v>
          </cell>
          <cell r="F27" t="str">
            <v>MARCELO AMATUZZI N DAS NEVES</v>
          </cell>
          <cell r="G27" t="str">
            <v>Jusçara</v>
          </cell>
          <cell r="H27">
            <v>20</v>
          </cell>
          <cell r="I27" t="str">
            <v>Mass.[ES/RJ] 2002 - Demais Bloqueios</v>
          </cell>
          <cell r="J27">
            <v>1010</v>
          </cell>
        </row>
        <row r="28">
          <cell r="A28" t="str">
            <v>2002ES - VITORIA                       10</v>
          </cell>
          <cell r="B28" t="str">
            <v>REGIONAL RJ/ES</v>
          </cell>
          <cell r="C28">
            <v>218</v>
          </cell>
          <cell r="D28" t="str">
            <v xml:space="preserve">ES - VITORIA                       </v>
          </cell>
          <cell r="E28">
            <v>44</v>
          </cell>
          <cell r="F28" t="str">
            <v>VALERIA NOGUEIRA</v>
          </cell>
          <cell r="G28" t="str">
            <v>Jusçara</v>
          </cell>
          <cell r="H28">
            <v>10</v>
          </cell>
          <cell r="I28" t="str">
            <v>Mass.[ES/RJ] 2002 - Bloqueio 714</v>
          </cell>
          <cell r="J28">
            <v>1011</v>
          </cell>
        </row>
        <row r="29">
          <cell r="A29" t="str">
            <v>2024ES - VITORIA                       24</v>
          </cell>
          <cell r="B29" t="str">
            <v>REGIONAL RJ/ES</v>
          </cell>
          <cell r="C29">
            <v>218</v>
          </cell>
          <cell r="D29" t="str">
            <v xml:space="preserve">ES - VITORIA                       </v>
          </cell>
          <cell r="E29" t="str">
            <v>40</v>
          </cell>
          <cell r="F29" t="str">
            <v>FLAVIA KANESIRO P DE OLIVEIRA</v>
          </cell>
          <cell r="G29" t="str">
            <v>Adriana</v>
          </cell>
          <cell r="H29">
            <v>24</v>
          </cell>
          <cell r="I29" t="str">
            <v>Mass.[ES/RJ] 2024 - Demais Bloqueios</v>
          </cell>
          <cell r="J29">
            <v>1036</v>
          </cell>
        </row>
        <row r="30">
          <cell r="A30" t="str">
            <v>2024ES - VITORIA                       22</v>
          </cell>
          <cell r="B30" t="str">
            <v>REGIONAL RJ/ES</v>
          </cell>
          <cell r="C30">
            <v>218</v>
          </cell>
          <cell r="D30" t="str">
            <v xml:space="preserve">ES - VITORIA                       </v>
          </cell>
          <cell r="E30" t="str">
            <v>2Y</v>
          </cell>
          <cell r="F30" t="str">
            <v>KATIA REGINA DOS S MEDEIROS</v>
          </cell>
          <cell r="G30" t="str">
            <v>Adriana</v>
          </cell>
          <cell r="H30">
            <v>22</v>
          </cell>
          <cell r="I30" t="str">
            <v>Mass.[ES/RJ] 2024 -Bloqueio 714</v>
          </cell>
          <cell r="J30">
            <v>1037</v>
          </cell>
        </row>
        <row r="31">
          <cell r="A31" t="str">
            <v>2024ES - VITORIA                       15</v>
          </cell>
          <cell r="B31" t="str">
            <v>REGIONAL RJ/ES</v>
          </cell>
          <cell r="C31">
            <v>218</v>
          </cell>
          <cell r="D31" t="str">
            <v xml:space="preserve">ES - VITORIA                       </v>
          </cell>
          <cell r="E31" t="str">
            <v>3N</v>
          </cell>
          <cell r="F31" t="str">
            <v>SILVIO BACCI</v>
          </cell>
          <cell r="G31" t="str">
            <v>Adriana</v>
          </cell>
          <cell r="H31">
            <v>15</v>
          </cell>
          <cell r="I31" t="str">
            <v>Mass.[ES/RJ] 2024 -Bloqueio 888</v>
          </cell>
          <cell r="J31">
            <v>1038</v>
          </cell>
        </row>
        <row r="32">
          <cell r="A32" t="str">
            <v>2002ES - VITORIA                       20</v>
          </cell>
          <cell r="B32" t="str">
            <v>REGIONAL RJ/ES</v>
          </cell>
          <cell r="C32">
            <v>218</v>
          </cell>
          <cell r="D32" t="str">
            <v xml:space="preserve">ES - VITORIA                       </v>
          </cell>
          <cell r="E32" t="str">
            <v>3Y</v>
          </cell>
          <cell r="F32" t="str">
            <v>RUBIA PREVIATO MARTINHO ARAUJO</v>
          </cell>
          <cell r="G32" t="str">
            <v>Jusçara</v>
          </cell>
          <cell r="H32">
            <v>20</v>
          </cell>
          <cell r="I32" t="str">
            <v>Mass.[ES/RJ] 2002 - Demais Bloqueios</v>
          </cell>
          <cell r="J32">
            <v>1010</v>
          </cell>
        </row>
        <row r="33">
          <cell r="A33" t="str">
            <v>2002INT - ATNP 1                       10</v>
          </cell>
          <cell r="B33" t="str">
            <v>REGIONAL SP INTERIOR</v>
          </cell>
          <cell r="C33">
            <v>168</v>
          </cell>
          <cell r="D33" t="str">
            <v xml:space="preserve">INT - ATNP 1                       </v>
          </cell>
          <cell r="E33" t="str">
            <v>1G</v>
          </cell>
          <cell r="F33" t="str">
            <v>RODRIGO CASTANHEIRA HALADA</v>
          </cell>
          <cell r="G33" t="str">
            <v>Fagner</v>
          </cell>
          <cell r="H33">
            <v>10</v>
          </cell>
          <cell r="I33" t="str">
            <v>Mass.[INT. SP] 2002 - Bloqueio 714</v>
          </cell>
          <cell r="J33">
            <v>1001</v>
          </cell>
        </row>
        <row r="34">
          <cell r="A34" t="str">
            <v>2002INT - ATNP 1                       20</v>
          </cell>
          <cell r="B34" t="str">
            <v>REGIONAL SP INTERIOR</v>
          </cell>
          <cell r="C34">
            <v>168</v>
          </cell>
          <cell r="D34" t="str">
            <v xml:space="preserve">INT - ATNP 1                       </v>
          </cell>
          <cell r="E34" t="str">
            <v>1J</v>
          </cell>
          <cell r="F34" t="str">
            <v>CARLOS ALBERTO MACEDO</v>
          </cell>
          <cell r="G34" t="str">
            <v>Fagner</v>
          </cell>
          <cell r="H34">
            <v>20</v>
          </cell>
          <cell r="I34" t="str">
            <v>Mass.[INT. SP] 2002 - Demais Bloqueios </v>
          </cell>
          <cell r="J34">
            <v>1000</v>
          </cell>
        </row>
        <row r="35">
          <cell r="A35" t="str">
            <v>2024INT - ATNP 1                       22</v>
          </cell>
          <cell r="B35" t="str">
            <v>REGIONAL SP INTERIOR</v>
          </cell>
          <cell r="C35">
            <v>168</v>
          </cell>
          <cell r="D35" t="str">
            <v xml:space="preserve">INT - ATNP 1                       </v>
          </cell>
          <cell r="E35" t="str">
            <v>4X</v>
          </cell>
          <cell r="F35" t="str">
            <v>ILLYRIA DE GODOY XAVIER</v>
          </cell>
          <cell r="G35" t="str">
            <v>Thiago</v>
          </cell>
          <cell r="H35">
            <v>22</v>
          </cell>
          <cell r="I35" t="str">
            <v>Mass.[INT. SP] 2024 - Bloqueio 714</v>
          </cell>
          <cell r="J35">
            <v>1022</v>
          </cell>
        </row>
        <row r="36">
          <cell r="A36" t="str">
            <v>2024INT - ATNP 1                       24</v>
          </cell>
          <cell r="B36" t="str">
            <v>REGIONAL SP INTERIOR</v>
          </cell>
          <cell r="C36">
            <v>168</v>
          </cell>
          <cell r="D36" t="str">
            <v xml:space="preserve">INT - ATNP 1                       </v>
          </cell>
          <cell r="E36" t="str">
            <v>3Q</v>
          </cell>
          <cell r="F36" t="str">
            <v>GISELE GARCIA</v>
          </cell>
          <cell r="G36" t="str">
            <v>Thiago</v>
          </cell>
          <cell r="H36">
            <v>24</v>
          </cell>
          <cell r="I36" t="str">
            <v>Mass.[INT. SP] 2024 - Demais Bloqueios</v>
          </cell>
          <cell r="J36">
            <v>1021</v>
          </cell>
        </row>
        <row r="37">
          <cell r="A37" t="str">
            <v>2024INT - ATNP 1                       15</v>
          </cell>
          <cell r="B37" t="str">
            <v>REGIONAL SP INTERIOR</v>
          </cell>
          <cell r="C37">
            <v>168</v>
          </cell>
          <cell r="D37" t="str">
            <v xml:space="preserve">INT - ATNP 1                       </v>
          </cell>
          <cell r="E37" t="str">
            <v>3U</v>
          </cell>
          <cell r="F37" t="str">
            <v>MARCELO AMATUZZI N DAS NEVES</v>
          </cell>
          <cell r="G37" t="str">
            <v>Thiago</v>
          </cell>
          <cell r="H37">
            <v>15</v>
          </cell>
          <cell r="I37" t="str">
            <v>Mass.[INT. SP] 2024 - Bloqueio 888</v>
          </cell>
          <cell r="J37">
            <v>1023</v>
          </cell>
        </row>
        <row r="38">
          <cell r="A38" t="str">
            <v>2002INT - BAURU                        10</v>
          </cell>
          <cell r="B38" t="str">
            <v>REGIONAL SP INTERIOR</v>
          </cell>
          <cell r="C38">
            <v>25</v>
          </cell>
          <cell r="D38" t="str">
            <v xml:space="preserve">INT - BAURU                        </v>
          </cell>
          <cell r="E38">
            <v>44</v>
          </cell>
          <cell r="F38" t="str">
            <v>VALERIA NOGUEIRA</v>
          </cell>
          <cell r="G38" t="str">
            <v>Fagner</v>
          </cell>
          <cell r="H38">
            <v>10</v>
          </cell>
          <cell r="I38" t="str">
            <v>Mass.[INT. SP] 2002 - Bloqueio 714</v>
          </cell>
          <cell r="J38">
            <v>1001</v>
          </cell>
        </row>
        <row r="39">
          <cell r="A39" t="str">
            <v>2002INT - BAURU                        20</v>
          </cell>
          <cell r="B39" t="str">
            <v>REGIONAL SP INTERIOR</v>
          </cell>
          <cell r="C39">
            <v>25</v>
          </cell>
          <cell r="D39" t="str">
            <v xml:space="preserve">INT - BAURU                        </v>
          </cell>
          <cell r="E39" t="str">
            <v>40</v>
          </cell>
          <cell r="F39" t="str">
            <v>FLAVIA KANESIRO P DE OLIVEIRA</v>
          </cell>
          <cell r="G39" t="str">
            <v>Fagner</v>
          </cell>
          <cell r="H39">
            <v>20</v>
          </cell>
          <cell r="I39" t="str">
            <v>Mass.[INT. SP] 2002 - Demais Bloqueios </v>
          </cell>
          <cell r="J39">
            <v>1000</v>
          </cell>
        </row>
        <row r="40">
          <cell r="A40" t="str">
            <v>2024INT - BAURU                        22</v>
          </cell>
          <cell r="B40" t="str">
            <v>REGIONAL SP INTERIOR</v>
          </cell>
          <cell r="C40">
            <v>25</v>
          </cell>
          <cell r="D40" t="str">
            <v xml:space="preserve">INT - BAURU                        </v>
          </cell>
          <cell r="E40" t="str">
            <v>2Y</v>
          </cell>
          <cell r="F40" t="str">
            <v>KATIA REGINA DOS S MEDEIROS</v>
          </cell>
          <cell r="G40" t="str">
            <v>Thiago</v>
          </cell>
          <cell r="H40">
            <v>22</v>
          </cell>
          <cell r="I40" t="str">
            <v>Mass.[INT. SP] 2024 - Bloqueio 714</v>
          </cell>
          <cell r="J40">
            <v>1022</v>
          </cell>
        </row>
        <row r="41">
          <cell r="A41" t="str">
            <v>2024INT - BAURU                        24</v>
          </cell>
          <cell r="B41" t="str">
            <v>REGIONAL SP INTERIOR</v>
          </cell>
          <cell r="C41">
            <v>25</v>
          </cell>
          <cell r="D41" t="str">
            <v xml:space="preserve">INT - BAURU                        </v>
          </cell>
          <cell r="E41" t="str">
            <v>3N</v>
          </cell>
          <cell r="F41" t="str">
            <v>SILVIO BACCI</v>
          </cell>
          <cell r="G41" t="str">
            <v>Thiago</v>
          </cell>
          <cell r="H41">
            <v>24</v>
          </cell>
          <cell r="I41" t="str">
            <v>Mass.[INT. SP] 2024 - Demais Bloqueios</v>
          </cell>
          <cell r="J41">
            <v>1021</v>
          </cell>
        </row>
        <row r="42">
          <cell r="A42" t="str">
            <v>2024INT - BAURU                        15</v>
          </cell>
          <cell r="B42" t="str">
            <v>REGIONAL SP INTERIOR</v>
          </cell>
          <cell r="C42">
            <v>25</v>
          </cell>
          <cell r="D42" t="str">
            <v xml:space="preserve">INT - BAURU                        </v>
          </cell>
          <cell r="E42" t="str">
            <v>3Y</v>
          </cell>
          <cell r="F42" t="str">
            <v>RUBIA PREVIATO MARTINHO ARAUJO</v>
          </cell>
          <cell r="G42" t="str">
            <v>Thiago</v>
          </cell>
          <cell r="H42">
            <v>15</v>
          </cell>
          <cell r="I42" t="str">
            <v>Mass.[INT. SP] 2024 - Bloqueio 888</v>
          </cell>
          <cell r="J42">
            <v>1023</v>
          </cell>
        </row>
        <row r="43">
          <cell r="A43" t="str">
            <v>2002INT - CAMPINAS                     10</v>
          </cell>
          <cell r="B43" t="str">
            <v>REGIONAL SP INTERIOR</v>
          </cell>
          <cell r="C43">
            <v>22</v>
          </cell>
          <cell r="D43" t="str">
            <v xml:space="preserve">INT - CAMPINAS                     </v>
          </cell>
          <cell r="E43" t="str">
            <v>1G</v>
          </cell>
          <cell r="F43" t="str">
            <v>RODRIGO CASTANHEIRA HALADA</v>
          </cell>
          <cell r="G43" t="str">
            <v>Fagner</v>
          </cell>
          <cell r="H43">
            <v>10</v>
          </cell>
          <cell r="I43" t="str">
            <v>Mass.[INT. SP] 2002 - Bloqueio 714</v>
          </cell>
          <cell r="J43">
            <v>1001</v>
          </cell>
        </row>
        <row r="44">
          <cell r="A44" t="str">
            <v>2002INT - CAMPINAS                     10</v>
          </cell>
          <cell r="B44" t="str">
            <v>REGIONAL SP INTERIOR</v>
          </cell>
          <cell r="C44">
            <v>22</v>
          </cell>
          <cell r="D44" t="str">
            <v xml:space="preserve">INT - CAMPINAS                     </v>
          </cell>
          <cell r="E44" t="str">
            <v>1J</v>
          </cell>
          <cell r="F44" t="str">
            <v>CARLOS ALBERTO MACEDO</v>
          </cell>
          <cell r="G44" t="str">
            <v>Fagner</v>
          </cell>
          <cell r="H44">
            <v>10</v>
          </cell>
          <cell r="I44" t="str">
            <v>Mass.[INT. SP] 2002 - Bloqueio 714</v>
          </cell>
          <cell r="J44">
            <v>1001</v>
          </cell>
        </row>
        <row r="45">
          <cell r="A45" t="str">
            <v>2002INT - CAMPINAS                     20</v>
          </cell>
          <cell r="B45" t="str">
            <v>REGIONAL SP INTERIOR</v>
          </cell>
          <cell r="C45">
            <v>22</v>
          </cell>
          <cell r="D45" t="str">
            <v xml:space="preserve">INT - CAMPINAS                     </v>
          </cell>
          <cell r="E45" t="str">
            <v>4X</v>
          </cell>
          <cell r="F45" t="str">
            <v>ILLYRIA DE GODOY XAVIER</v>
          </cell>
          <cell r="G45" t="str">
            <v>Fagner</v>
          </cell>
          <cell r="H45">
            <v>20</v>
          </cell>
          <cell r="I45" t="str">
            <v>Mass.[INT. SP] 2002 - Demais Bloqueios </v>
          </cell>
          <cell r="J45">
            <v>1000</v>
          </cell>
        </row>
        <row r="46">
          <cell r="A46" t="str">
            <v>2002INT - CAMPINAS                     20</v>
          </cell>
          <cell r="B46" t="str">
            <v>REGIONAL SP INTERIOR</v>
          </cell>
          <cell r="C46">
            <v>22</v>
          </cell>
          <cell r="D46" t="str">
            <v xml:space="preserve">INT - CAMPINAS                     </v>
          </cell>
          <cell r="E46" t="str">
            <v>3Q</v>
          </cell>
          <cell r="F46" t="str">
            <v>GISELE GARCIA</v>
          </cell>
          <cell r="G46" t="str">
            <v>Fagner</v>
          </cell>
          <cell r="H46">
            <v>20</v>
          </cell>
          <cell r="I46" t="str">
            <v>Mass.[INT. SP] 2002 - Demais Bloqueios </v>
          </cell>
          <cell r="J46">
            <v>1000</v>
          </cell>
        </row>
        <row r="47">
          <cell r="A47" t="str">
            <v>2024INT - CAMPINAS                     22</v>
          </cell>
          <cell r="B47" t="str">
            <v>REGIONAL SP INTERIOR</v>
          </cell>
          <cell r="C47">
            <v>22</v>
          </cell>
          <cell r="D47" t="str">
            <v xml:space="preserve">INT - CAMPINAS                     </v>
          </cell>
          <cell r="E47" t="str">
            <v>3U</v>
          </cell>
          <cell r="F47" t="str">
            <v>MARCELO AMATUZZI N DAS NEVES</v>
          </cell>
          <cell r="G47" t="str">
            <v>Thiago</v>
          </cell>
          <cell r="H47">
            <v>22</v>
          </cell>
          <cell r="I47" t="str">
            <v>Mass.[INT. SP] 2024 - Bloqueio 714</v>
          </cell>
          <cell r="J47">
            <v>1022</v>
          </cell>
        </row>
        <row r="48">
          <cell r="A48" t="str">
            <v>2024INT - CAMPINAS                     22</v>
          </cell>
          <cell r="B48" t="str">
            <v>REGIONAL SP INTERIOR</v>
          </cell>
          <cell r="C48">
            <v>22</v>
          </cell>
          <cell r="D48" t="str">
            <v xml:space="preserve">INT - CAMPINAS                     </v>
          </cell>
          <cell r="E48">
            <v>44</v>
          </cell>
          <cell r="F48" t="str">
            <v>VALERIA NOGUEIRA</v>
          </cell>
          <cell r="G48" t="str">
            <v>Thiago</v>
          </cell>
          <cell r="H48">
            <v>22</v>
          </cell>
          <cell r="I48" t="str">
            <v>Mass.[INT. SP] 2024 - Bloqueio 714</v>
          </cell>
          <cell r="J48">
            <v>1022</v>
          </cell>
        </row>
        <row r="49">
          <cell r="A49" t="str">
            <v>2024INT - CAMPINAS                     24</v>
          </cell>
          <cell r="B49" t="str">
            <v>REGIONAL SP INTERIOR</v>
          </cell>
          <cell r="C49">
            <v>22</v>
          </cell>
          <cell r="D49" t="str">
            <v xml:space="preserve">INT - CAMPINAS                     </v>
          </cell>
          <cell r="E49" t="str">
            <v>40</v>
          </cell>
          <cell r="F49" t="str">
            <v>FLAVIA KANESIRO P DE OLIVEIRA</v>
          </cell>
          <cell r="G49" t="str">
            <v>Thiago</v>
          </cell>
          <cell r="H49">
            <v>24</v>
          </cell>
          <cell r="I49" t="str">
            <v>Mass.[INT. SP] 2024 - Demais Bloqueios</v>
          </cell>
          <cell r="J49">
            <v>1021</v>
          </cell>
        </row>
        <row r="50">
          <cell r="A50" t="str">
            <v>2024INT - CAMPINAS                     24</v>
          </cell>
          <cell r="B50" t="str">
            <v>REGIONAL SP INTERIOR</v>
          </cell>
          <cell r="C50">
            <v>22</v>
          </cell>
          <cell r="D50" t="str">
            <v xml:space="preserve">INT - CAMPINAS                     </v>
          </cell>
          <cell r="E50" t="str">
            <v>2Y</v>
          </cell>
          <cell r="F50" t="str">
            <v>KATIA REGINA DOS S MEDEIROS</v>
          </cell>
          <cell r="G50" t="str">
            <v>Thiago</v>
          </cell>
          <cell r="H50">
            <v>24</v>
          </cell>
          <cell r="I50" t="str">
            <v>Mass.[INT. SP] 2024 - Demais Bloqueios</v>
          </cell>
          <cell r="J50">
            <v>1021</v>
          </cell>
        </row>
        <row r="51">
          <cell r="A51" t="str">
            <v>2024INT - CAMPINAS                     15</v>
          </cell>
          <cell r="B51" t="str">
            <v>REGIONAL SP INTERIOR</v>
          </cell>
          <cell r="C51">
            <v>22</v>
          </cell>
          <cell r="D51" t="str">
            <v xml:space="preserve">INT - CAMPINAS                     </v>
          </cell>
          <cell r="E51" t="str">
            <v>3N</v>
          </cell>
          <cell r="F51" t="str">
            <v>SILVIO BACCI</v>
          </cell>
          <cell r="G51" t="str">
            <v>Thiago</v>
          </cell>
          <cell r="H51">
            <v>15</v>
          </cell>
          <cell r="I51" t="str">
            <v>Mass.[INT. SP] 2024 - Bloqueio 888</v>
          </cell>
          <cell r="J51">
            <v>1023</v>
          </cell>
        </row>
        <row r="52">
          <cell r="A52" t="str">
            <v>2024INT - CAMPINAS                     15</v>
          </cell>
          <cell r="B52" t="str">
            <v>REGIONAL SP INTERIOR</v>
          </cell>
          <cell r="C52">
            <v>22</v>
          </cell>
          <cell r="D52" t="str">
            <v xml:space="preserve">INT - CAMPINAS                     </v>
          </cell>
          <cell r="E52"/>
          <cell r="F52"/>
          <cell r="G52" t="str">
            <v>Thiago</v>
          </cell>
          <cell r="H52">
            <v>15</v>
          </cell>
          <cell r="I52" t="str">
            <v>Mass.[INT. SP] 2024 - Bloqueio 888</v>
          </cell>
          <cell r="J52">
            <v>1023</v>
          </cell>
        </row>
        <row r="53">
          <cell r="A53" t="str">
            <v>2002INT - PIRACICABA                   10</v>
          </cell>
          <cell r="B53" t="str">
            <v>REGIONAL SP INTERIOR</v>
          </cell>
          <cell r="C53">
            <v>68</v>
          </cell>
          <cell r="D53" t="str">
            <v xml:space="preserve">INT - PIRACICABA                   </v>
          </cell>
          <cell r="E53"/>
          <cell r="G53" t="str">
            <v>Fagner</v>
          </cell>
          <cell r="H53">
            <v>10</v>
          </cell>
          <cell r="I53" t="str">
            <v>Mass.[INT. SP] 2002 - Bloqueio 714</v>
          </cell>
          <cell r="J53">
            <v>1001</v>
          </cell>
        </row>
        <row r="54">
          <cell r="A54" t="str">
            <v>2002INT - PIRACICABA                   20</v>
          </cell>
          <cell r="B54" t="str">
            <v>REGIONAL SP INTERIOR</v>
          </cell>
          <cell r="C54">
            <v>68</v>
          </cell>
          <cell r="D54" t="str">
            <v xml:space="preserve">INT - PIRACICABA                   </v>
          </cell>
          <cell r="E54"/>
          <cell r="G54" t="str">
            <v>Fagner</v>
          </cell>
          <cell r="H54">
            <v>20</v>
          </cell>
          <cell r="I54" t="str">
            <v>Mass.[INT. SP] 2002 - Demais Bloqueios </v>
          </cell>
          <cell r="J54">
            <v>1000</v>
          </cell>
        </row>
        <row r="55">
          <cell r="A55" t="str">
            <v>2024INT - PIRACICABA                   22</v>
          </cell>
          <cell r="B55" t="str">
            <v>REGIONAL SP INTERIOR</v>
          </cell>
          <cell r="C55">
            <v>68</v>
          </cell>
          <cell r="D55" t="str">
            <v xml:space="preserve">INT - PIRACICABA                   </v>
          </cell>
          <cell r="E55"/>
          <cell r="G55" t="str">
            <v>Thiago</v>
          </cell>
          <cell r="H55">
            <v>22</v>
          </cell>
          <cell r="I55" t="str">
            <v>Mass.[INT. SP] 2024 - Bloqueio 714</v>
          </cell>
          <cell r="J55">
            <v>1022</v>
          </cell>
        </row>
        <row r="56">
          <cell r="A56" t="str">
            <v>2024INT - PIRACICABA                   24</v>
          </cell>
          <cell r="B56" t="str">
            <v>REGIONAL SP INTERIOR</v>
          </cell>
          <cell r="C56">
            <v>68</v>
          </cell>
          <cell r="D56" t="str">
            <v xml:space="preserve">INT - PIRACICABA                   </v>
          </cell>
          <cell r="E56"/>
          <cell r="G56" t="str">
            <v>Thiago</v>
          </cell>
          <cell r="H56">
            <v>24</v>
          </cell>
          <cell r="I56" t="str">
            <v>Mass.[INT. SP] 2024 - Demais Bloqueios</v>
          </cell>
          <cell r="J56">
            <v>1021</v>
          </cell>
        </row>
        <row r="57">
          <cell r="A57" t="str">
            <v>2024INT - PIRACICABA                   15</v>
          </cell>
          <cell r="B57" t="str">
            <v>REGIONAL SP INTERIOR</v>
          </cell>
          <cell r="C57">
            <v>68</v>
          </cell>
          <cell r="D57" t="str">
            <v xml:space="preserve">INT - PIRACICABA                   </v>
          </cell>
          <cell r="E57"/>
          <cell r="G57" t="str">
            <v>Thiago</v>
          </cell>
          <cell r="H57">
            <v>15</v>
          </cell>
          <cell r="I57" t="str">
            <v>Mass.[INT. SP] 2024 - Bloqueio 888</v>
          </cell>
          <cell r="J57">
            <v>1023</v>
          </cell>
        </row>
        <row r="58">
          <cell r="A58" t="str">
            <v>2002INT - PRESIDENTE PRUDENTE          10</v>
          </cell>
          <cell r="B58" t="str">
            <v>REGIONAL SP INTERIOR</v>
          </cell>
          <cell r="C58">
            <v>76</v>
          </cell>
          <cell r="D58" t="str">
            <v xml:space="preserve">INT - PRESIDENTE PRUDENTE          </v>
          </cell>
          <cell r="E58"/>
          <cell r="G58" t="str">
            <v>Fagner</v>
          </cell>
          <cell r="H58">
            <v>10</v>
          </cell>
          <cell r="I58" t="str">
            <v>Mass.[INT. SP] 2002 - Bloqueio 714</v>
          </cell>
          <cell r="J58">
            <v>1001</v>
          </cell>
        </row>
        <row r="59">
          <cell r="A59" t="str">
            <v>2002INT - PRESIDENTE PRUDENTE          20</v>
          </cell>
          <cell r="B59" t="str">
            <v>REGIONAL SP INTERIOR</v>
          </cell>
          <cell r="C59">
            <v>76</v>
          </cell>
          <cell r="D59" t="str">
            <v xml:space="preserve">INT - PRESIDENTE PRUDENTE          </v>
          </cell>
          <cell r="E59"/>
          <cell r="G59" t="str">
            <v>Fagner</v>
          </cell>
          <cell r="H59">
            <v>20</v>
          </cell>
          <cell r="I59" t="str">
            <v>Mass.[INT. SP] 2002 - Demais Bloqueios </v>
          </cell>
          <cell r="J59">
            <v>1000</v>
          </cell>
        </row>
        <row r="60">
          <cell r="A60" t="str">
            <v>2024INT - PRESIDENTE PRUDENTE          22</v>
          </cell>
          <cell r="B60" t="str">
            <v>REGIONAL SP INTERIOR</v>
          </cell>
          <cell r="C60">
            <v>76</v>
          </cell>
          <cell r="D60" t="str">
            <v xml:space="preserve">INT - PRESIDENTE PRUDENTE          </v>
          </cell>
          <cell r="E60"/>
          <cell r="G60" t="str">
            <v>Thiago</v>
          </cell>
          <cell r="H60">
            <v>22</v>
          </cell>
          <cell r="I60" t="str">
            <v>Mass.[INT. SP] 2024 - Bloqueio 714</v>
          </cell>
          <cell r="J60">
            <v>1022</v>
          </cell>
        </row>
        <row r="61">
          <cell r="A61" t="str">
            <v>2024INT - PRESIDENTE PRUDENTE          24</v>
          </cell>
          <cell r="B61" t="str">
            <v>REGIONAL SP INTERIOR</v>
          </cell>
          <cell r="C61">
            <v>76</v>
          </cell>
          <cell r="D61" t="str">
            <v xml:space="preserve">INT - PRESIDENTE PRUDENTE          </v>
          </cell>
          <cell r="E61"/>
          <cell r="G61" t="str">
            <v>Thiago</v>
          </cell>
          <cell r="H61">
            <v>24</v>
          </cell>
          <cell r="I61" t="str">
            <v>Mass.[INT. SP] 2024 - Demais Bloqueios</v>
          </cell>
          <cell r="J61">
            <v>1021</v>
          </cell>
        </row>
        <row r="62">
          <cell r="A62" t="str">
            <v>2024INT - PRESIDENTE PRUDENTE          15</v>
          </cell>
          <cell r="B62" t="str">
            <v>REGIONAL SP INTERIOR</v>
          </cell>
          <cell r="C62">
            <v>76</v>
          </cell>
          <cell r="D62" t="str">
            <v xml:space="preserve">INT - PRESIDENTE PRUDENTE          </v>
          </cell>
          <cell r="E62"/>
          <cell r="G62" t="str">
            <v>Thiago</v>
          </cell>
          <cell r="H62">
            <v>15</v>
          </cell>
          <cell r="I62" t="str">
            <v>Mass.[INT. SP] 2024 - Bloqueio 888</v>
          </cell>
          <cell r="J62">
            <v>1023</v>
          </cell>
        </row>
        <row r="63">
          <cell r="A63" t="str">
            <v>2002INT - RIB. PRETO                   10</v>
          </cell>
          <cell r="B63" t="str">
            <v>REGIONAL SP INTERIOR</v>
          </cell>
          <cell r="C63">
            <v>19</v>
          </cell>
          <cell r="D63" t="str">
            <v xml:space="preserve">INT - RIB. PRETO                   </v>
          </cell>
          <cell r="E63"/>
          <cell r="G63" t="str">
            <v>Fagner</v>
          </cell>
          <cell r="H63">
            <v>10</v>
          </cell>
          <cell r="I63" t="str">
            <v>Mass.[INT. SP] 2002 - Bloqueio 714</v>
          </cell>
          <cell r="J63">
            <v>1001</v>
          </cell>
        </row>
        <row r="64">
          <cell r="A64" t="str">
            <v>2002INT - RIB. PRETO                   20</v>
          </cell>
          <cell r="B64" t="str">
            <v>REGIONAL SP INTERIOR</v>
          </cell>
          <cell r="C64">
            <v>19</v>
          </cell>
          <cell r="D64" t="str">
            <v xml:space="preserve">INT - RIB. PRETO                   </v>
          </cell>
          <cell r="E64"/>
          <cell r="G64" t="str">
            <v>Fagner</v>
          </cell>
          <cell r="H64">
            <v>20</v>
          </cell>
          <cell r="I64" t="str">
            <v>Mass.[INT. SP] 2002 - Demais Bloqueios </v>
          </cell>
          <cell r="J64">
            <v>1000</v>
          </cell>
        </row>
        <row r="65">
          <cell r="A65" t="str">
            <v>2024INT - RIB. PRETO                   22</v>
          </cell>
          <cell r="B65" t="str">
            <v>REGIONAL SP INTERIOR</v>
          </cell>
          <cell r="C65">
            <v>19</v>
          </cell>
          <cell r="D65" t="str">
            <v xml:space="preserve">INT - RIB. PRETO                   </v>
          </cell>
          <cell r="E65"/>
          <cell r="G65" t="str">
            <v>Thiago</v>
          </cell>
          <cell r="H65">
            <v>22</v>
          </cell>
          <cell r="I65" t="str">
            <v>Mass.[INT. SP] 2024 - Bloqueio 714</v>
          </cell>
          <cell r="J65">
            <v>1022</v>
          </cell>
        </row>
        <row r="66">
          <cell r="A66" t="str">
            <v>2024INT - RIB. PRETO                   24</v>
          </cell>
          <cell r="B66" t="str">
            <v>REGIONAL SP INTERIOR</v>
          </cell>
          <cell r="C66">
            <v>19</v>
          </cell>
          <cell r="D66" t="str">
            <v xml:space="preserve">INT - RIB. PRETO                   </v>
          </cell>
          <cell r="E66"/>
          <cell r="F66"/>
          <cell r="G66" t="str">
            <v>Thiago</v>
          </cell>
          <cell r="H66">
            <v>24</v>
          </cell>
          <cell r="I66" t="str">
            <v>Mass.[INT. SP] 2024 - Demais Bloqueios</v>
          </cell>
          <cell r="J66">
            <v>1021</v>
          </cell>
        </row>
        <row r="67">
          <cell r="A67" t="str">
            <v>2024INT - RIB. PRETO                   15</v>
          </cell>
          <cell r="B67" t="str">
            <v>REGIONAL SP INTERIOR</v>
          </cell>
          <cell r="C67">
            <v>19</v>
          </cell>
          <cell r="D67" t="str">
            <v xml:space="preserve">INT - RIB. PRETO                   </v>
          </cell>
          <cell r="E67"/>
          <cell r="G67" t="str">
            <v>Thiago</v>
          </cell>
          <cell r="H67">
            <v>15</v>
          </cell>
          <cell r="I67" t="str">
            <v>Mass.[INT. SP] 2024 - Bloqueio 888</v>
          </cell>
          <cell r="J67">
            <v>1023</v>
          </cell>
        </row>
        <row r="68">
          <cell r="A68" t="str">
            <v>2002INT - S. J. DO RIO PRETO           10</v>
          </cell>
          <cell r="B68" t="str">
            <v>REGIONAL SP INTERIOR</v>
          </cell>
          <cell r="C68">
            <v>26</v>
          </cell>
          <cell r="D68" t="str">
            <v xml:space="preserve">INT - S. J. DO RIO PRETO           </v>
          </cell>
          <cell r="E68"/>
          <cell r="G68" t="str">
            <v>Fagner</v>
          </cell>
          <cell r="H68">
            <v>10</v>
          </cell>
          <cell r="I68" t="str">
            <v>Mass.[INT. SP] 2002 - Bloqueio 714</v>
          </cell>
          <cell r="J68">
            <v>1001</v>
          </cell>
        </row>
        <row r="69">
          <cell r="A69" t="str">
            <v>2002INT - S. J. DO RIO PRETO           20</v>
          </cell>
          <cell r="B69" t="str">
            <v>REGIONAL SP INTERIOR</v>
          </cell>
          <cell r="C69">
            <v>26</v>
          </cell>
          <cell r="D69" t="str">
            <v xml:space="preserve">INT - S. J. DO RIO PRETO           </v>
          </cell>
          <cell r="E69"/>
          <cell r="G69" t="str">
            <v>Fagner</v>
          </cell>
          <cell r="H69">
            <v>20</v>
          </cell>
          <cell r="I69" t="str">
            <v>Mass.[INT. SP] 2002 - Demais Bloqueios </v>
          </cell>
          <cell r="J69">
            <v>1000</v>
          </cell>
        </row>
        <row r="70">
          <cell r="A70" t="str">
            <v>2024INT - S. J. DO RIO PRETO           22</v>
          </cell>
          <cell r="B70" t="str">
            <v>REGIONAL SP INTERIOR</v>
          </cell>
          <cell r="C70">
            <v>26</v>
          </cell>
          <cell r="D70" t="str">
            <v xml:space="preserve">INT - S. J. DO RIO PRETO           </v>
          </cell>
          <cell r="E70"/>
          <cell r="G70" t="str">
            <v>Thiago</v>
          </cell>
          <cell r="H70">
            <v>22</v>
          </cell>
          <cell r="I70" t="str">
            <v>Mass.[INT. SP] 2024 - Bloqueio 714</v>
          </cell>
          <cell r="J70">
            <v>1022</v>
          </cell>
        </row>
        <row r="71">
          <cell r="A71" t="str">
            <v>2024INT - S. J. DO RIO PRETO           24</v>
          </cell>
          <cell r="B71" t="str">
            <v>REGIONAL SP INTERIOR</v>
          </cell>
          <cell r="C71">
            <v>26</v>
          </cell>
          <cell r="D71" t="str">
            <v xml:space="preserve">INT - S. J. DO RIO PRETO           </v>
          </cell>
          <cell r="E71"/>
          <cell r="G71" t="str">
            <v>Thiago</v>
          </cell>
          <cell r="H71">
            <v>24</v>
          </cell>
          <cell r="I71" t="str">
            <v>Mass.[INT. SP] 2024 - Demais Bloqueios</v>
          </cell>
          <cell r="J71">
            <v>1021</v>
          </cell>
        </row>
        <row r="72">
          <cell r="A72" t="str">
            <v>2024INT - S. J. DO RIO PRETO           15</v>
          </cell>
          <cell r="B72" t="str">
            <v>REGIONAL SP INTERIOR</v>
          </cell>
          <cell r="C72">
            <v>26</v>
          </cell>
          <cell r="D72" t="str">
            <v xml:space="preserve">INT - S. J. DO RIO PRETO           </v>
          </cell>
          <cell r="E72"/>
          <cell r="G72" t="str">
            <v>Thiago</v>
          </cell>
          <cell r="H72">
            <v>15</v>
          </cell>
          <cell r="I72" t="str">
            <v>Mass.[INT. SP] 2024 - Bloqueio 888</v>
          </cell>
          <cell r="J72">
            <v>1023</v>
          </cell>
        </row>
        <row r="73">
          <cell r="A73" t="str">
            <v>2002INT - VALE DO PARAIBA              10</v>
          </cell>
          <cell r="B73" t="str">
            <v>REGIONAL SP INTERIOR</v>
          </cell>
          <cell r="C73">
            <v>67</v>
          </cell>
          <cell r="D73" t="str">
            <v xml:space="preserve">INT - VALE DO PARAIBA              </v>
          </cell>
          <cell r="E73"/>
          <cell r="G73" t="str">
            <v>Fagner</v>
          </cell>
          <cell r="H73">
            <v>10</v>
          </cell>
          <cell r="I73" t="str">
            <v>Mass.[INT. SP] 2002 - Bloqueio 714</v>
          </cell>
          <cell r="J73">
            <v>1001</v>
          </cell>
        </row>
        <row r="74">
          <cell r="A74" t="str">
            <v>2002INT - VALE DO PARAIBA              20</v>
          </cell>
          <cell r="B74" t="str">
            <v>REGIONAL SP INTERIOR</v>
          </cell>
          <cell r="C74">
            <v>67</v>
          </cell>
          <cell r="D74" t="str">
            <v xml:space="preserve">INT - VALE DO PARAIBA              </v>
          </cell>
          <cell r="E74"/>
          <cell r="G74" t="str">
            <v>Fagner</v>
          </cell>
          <cell r="H74">
            <v>20</v>
          </cell>
          <cell r="I74" t="str">
            <v>Mass.[INT. SP] 2002 - Demais Bloqueios </v>
          </cell>
          <cell r="J74">
            <v>1000</v>
          </cell>
        </row>
        <row r="75">
          <cell r="A75" t="str">
            <v>2024INT - VALE DO PARAIBA              22</v>
          </cell>
          <cell r="B75" t="str">
            <v>REGIONAL SP INTERIOR</v>
          </cell>
          <cell r="C75">
            <v>67</v>
          </cell>
          <cell r="D75" t="str">
            <v xml:space="preserve">INT - VALE DO PARAIBA              </v>
          </cell>
          <cell r="E75"/>
          <cell r="G75" t="str">
            <v>Thiago</v>
          </cell>
          <cell r="H75">
            <v>22</v>
          </cell>
          <cell r="I75" t="str">
            <v>Mass.[INT. SP] 2024 - Bloqueio 714</v>
          </cell>
          <cell r="J75">
            <v>1022</v>
          </cell>
        </row>
        <row r="76">
          <cell r="A76" t="str">
            <v>2024INT - VALE DO PARAIBA              24</v>
          </cell>
          <cell r="B76" t="str">
            <v>REGIONAL SP INTERIOR</v>
          </cell>
          <cell r="C76">
            <v>67</v>
          </cell>
          <cell r="D76" t="str">
            <v xml:space="preserve">INT - VALE DO PARAIBA              </v>
          </cell>
          <cell r="E76"/>
          <cell r="G76" t="str">
            <v>Thiago</v>
          </cell>
          <cell r="H76">
            <v>24</v>
          </cell>
          <cell r="I76" t="str">
            <v>Mass.[INT. SP] 2024 - Demais Bloqueios</v>
          </cell>
          <cell r="J76">
            <v>1021</v>
          </cell>
        </row>
        <row r="77">
          <cell r="A77" t="str">
            <v>2024INT - VALE DO PARAIBA              15</v>
          </cell>
          <cell r="B77" t="str">
            <v>REGIONAL SP INTERIOR</v>
          </cell>
          <cell r="C77">
            <v>67</v>
          </cell>
          <cell r="D77" t="str">
            <v xml:space="preserve">INT - VALE DO PARAIBA              </v>
          </cell>
          <cell r="E77"/>
          <cell r="G77" t="str">
            <v>Thiago</v>
          </cell>
          <cell r="H77">
            <v>15</v>
          </cell>
          <cell r="I77" t="str">
            <v>Mass.[INT. SP] 2024 - Bloqueio 888</v>
          </cell>
          <cell r="J77">
            <v>1023</v>
          </cell>
        </row>
        <row r="78">
          <cell r="A78" t="str">
            <v>2024MG Ì BELO HORIZONTE                24</v>
          </cell>
          <cell r="B78" t="str">
            <v>REGIONAL CO/MG</v>
          </cell>
          <cell r="C78">
            <v>81</v>
          </cell>
          <cell r="D78" t="str">
            <v xml:space="preserve">MG Ì BELO HORIZONTE                </v>
          </cell>
          <cell r="E78"/>
          <cell r="G78" t="str">
            <v>Adriana</v>
          </cell>
          <cell r="H78">
            <v>24</v>
          </cell>
          <cell r="I78" t="str">
            <v xml:space="preserve">Mass.[MG/GO] 2024 - Demais Bloqueios </v>
          </cell>
          <cell r="J78">
            <v>1015</v>
          </cell>
        </row>
        <row r="79">
          <cell r="A79" t="str">
            <v>2024MG Ì BELO HORIZONTE                22</v>
          </cell>
          <cell r="B79" t="str">
            <v>REGIONAL CO/MG</v>
          </cell>
          <cell r="C79">
            <v>81</v>
          </cell>
          <cell r="D79" t="str">
            <v xml:space="preserve">MG Ì BELO HORIZONTE                </v>
          </cell>
          <cell r="E79"/>
          <cell r="G79" t="str">
            <v>Adriana</v>
          </cell>
          <cell r="H79">
            <v>22</v>
          </cell>
          <cell r="I79" t="str">
            <v>Mass.[MG/GO] 2024 - Bloqueio 714</v>
          </cell>
          <cell r="J79">
            <v>1016</v>
          </cell>
        </row>
        <row r="80">
          <cell r="A80" t="str">
            <v>2024MG Ì BELO HORIZONTE                15</v>
          </cell>
          <cell r="B80" t="str">
            <v>REGIONAL CO/MG</v>
          </cell>
          <cell r="C80">
            <v>81</v>
          </cell>
          <cell r="D80" t="str">
            <v xml:space="preserve">MG Ì BELO HORIZONTE                </v>
          </cell>
          <cell r="E80"/>
          <cell r="F80"/>
          <cell r="G80" t="str">
            <v>Adriana</v>
          </cell>
          <cell r="H80">
            <v>15</v>
          </cell>
          <cell r="I80" t="str">
            <v>Mass.[MG/GO] 2024 - Bloqueio 888</v>
          </cell>
          <cell r="J80">
            <v>1017</v>
          </cell>
        </row>
        <row r="81">
          <cell r="A81" t="str">
            <v>2002MG Ì BELO HORIZONTE                20</v>
          </cell>
          <cell r="B81" t="str">
            <v>REGIONAL CO/MG</v>
          </cell>
          <cell r="C81">
            <v>81</v>
          </cell>
          <cell r="D81" t="str">
            <v xml:space="preserve">MG Ì BELO HORIZONTE                </v>
          </cell>
          <cell r="E81"/>
          <cell r="G81" t="str">
            <v>Jusçara</v>
          </cell>
          <cell r="H81">
            <v>20</v>
          </cell>
          <cell r="I81" t="str">
            <v>Mass.[MG/GO] 2002 - Demais Bloqueios  </v>
          </cell>
          <cell r="J81">
            <v>996</v>
          </cell>
        </row>
        <row r="82">
          <cell r="A82" t="str">
            <v>2002MG Ì BELO HORIZONTE                10</v>
          </cell>
          <cell r="B82" t="str">
            <v>REGIONAL CO/MG</v>
          </cell>
          <cell r="C82">
            <v>81</v>
          </cell>
          <cell r="D82" t="str">
            <v xml:space="preserve">MG Ì BELO HORIZONTE                </v>
          </cell>
          <cell r="E82"/>
          <cell r="G82" t="str">
            <v>Jusçara</v>
          </cell>
          <cell r="H82">
            <v>10</v>
          </cell>
          <cell r="I82" t="str">
            <v>Mass.[MG/GO] 2002 - Bloqueio 714  </v>
          </cell>
          <cell r="J82">
            <v>997</v>
          </cell>
        </row>
        <row r="83">
          <cell r="A83" t="str">
            <v>2024MG - CENTRO LESTE MINEIRO          24</v>
          </cell>
          <cell r="B83" t="str">
            <v>REGIONAL CO/MG</v>
          </cell>
          <cell r="C83">
            <v>197</v>
          </cell>
          <cell r="D83" t="str">
            <v xml:space="preserve">MG - CENTRO LESTE MINEIRO          </v>
          </cell>
          <cell r="E83"/>
          <cell r="G83" t="str">
            <v>Adriana</v>
          </cell>
          <cell r="H83">
            <v>24</v>
          </cell>
          <cell r="I83" t="str">
            <v xml:space="preserve">Mass.[MG/GO] 2024 - Demais Bloqueios </v>
          </cell>
          <cell r="J83">
            <v>1015</v>
          </cell>
        </row>
        <row r="84">
          <cell r="A84" t="str">
            <v>2024MG - CENTRO LESTE MINEIRO          22</v>
          </cell>
          <cell r="B84" t="str">
            <v>REGIONAL CO/MG</v>
          </cell>
          <cell r="C84">
            <v>197</v>
          </cell>
          <cell r="D84" t="str">
            <v xml:space="preserve">MG - CENTRO LESTE MINEIRO          </v>
          </cell>
          <cell r="E84"/>
          <cell r="G84" t="str">
            <v>Adriana</v>
          </cell>
          <cell r="H84">
            <v>22</v>
          </cell>
          <cell r="I84" t="str">
            <v>Mass.[MG/GO] 2024 - Bloqueio 714</v>
          </cell>
          <cell r="J84">
            <v>1016</v>
          </cell>
        </row>
        <row r="85">
          <cell r="A85" t="str">
            <v>2024MG - CENTRO LESTE MINEIRO          15</v>
          </cell>
          <cell r="B85" t="str">
            <v>REGIONAL CO/MG</v>
          </cell>
          <cell r="C85">
            <v>197</v>
          </cell>
          <cell r="D85" t="str">
            <v xml:space="preserve">MG - CENTRO LESTE MINEIRO          </v>
          </cell>
          <cell r="E85"/>
          <cell r="G85" t="str">
            <v>Adriana</v>
          </cell>
          <cell r="H85">
            <v>15</v>
          </cell>
          <cell r="I85" t="str">
            <v>Mass.[MG/GO] 2024 - Bloqueio 888</v>
          </cell>
          <cell r="J85">
            <v>1017</v>
          </cell>
        </row>
        <row r="86">
          <cell r="A86" t="str">
            <v>2002MG - CENTRO LESTE MINEIRO          20</v>
          </cell>
          <cell r="B86" t="str">
            <v>REGIONAL CO/MG</v>
          </cell>
          <cell r="C86">
            <v>197</v>
          </cell>
          <cell r="D86" t="str">
            <v xml:space="preserve">MG - CENTRO LESTE MINEIRO          </v>
          </cell>
          <cell r="E86"/>
          <cell r="G86" t="str">
            <v>Jusçara</v>
          </cell>
          <cell r="H86">
            <v>20</v>
          </cell>
          <cell r="I86" t="str">
            <v>Mass.[MG/GO] 2002 - Demais Bloqueios  </v>
          </cell>
          <cell r="J86">
            <v>996</v>
          </cell>
        </row>
        <row r="87">
          <cell r="A87" t="str">
            <v>2002MG - CENTRO LESTE MINEIRO          10</v>
          </cell>
          <cell r="B87" t="str">
            <v>REGIONAL CO/MG</v>
          </cell>
          <cell r="C87">
            <v>197</v>
          </cell>
          <cell r="D87" t="str">
            <v xml:space="preserve">MG - CENTRO LESTE MINEIRO          </v>
          </cell>
          <cell r="E87"/>
          <cell r="G87" t="str">
            <v>Jusçara</v>
          </cell>
          <cell r="H87">
            <v>10</v>
          </cell>
          <cell r="I87" t="str">
            <v>Mass.[MG/GO] 2002 - Bloqueio 714  </v>
          </cell>
          <cell r="J87">
            <v>997</v>
          </cell>
        </row>
        <row r="88">
          <cell r="A88" t="str">
            <v>2024MG - JUIZ DE FORA                  24</v>
          </cell>
          <cell r="B88" t="str">
            <v>REGIONAL CO/MG</v>
          </cell>
          <cell r="C88">
            <v>82</v>
          </cell>
          <cell r="D88" t="str">
            <v xml:space="preserve">MG - JUIZ DE FORA                  </v>
          </cell>
          <cell r="E88"/>
          <cell r="G88" t="str">
            <v>Adriana</v>
          </cell>
          <cell r="H88">
            <v>24</v>
          </cell>
          <cell r="I88" t="str">
            <v xml:space="preserve">Mass.[MG/GO] 2024 - Demais Bloqueios </v>
          </cell>
          <cell r="J88">
            <v>1015</v>
          </cell>
        </row>
        <row r="89">
          <cell r="A89" t="str">
            <v>2024MG - JUIZ DE FORA                  22</v>
          </cell>
          <cell r="B89" t="str">
            <v>REGIONAL CO/MG</v>
          </cell>
          <cell r="C89">
            <v>82</v>
          </cell>
          <cell r="D89" t="str">
            <v xml:space="preserve">MG - JUIZ DE FORA                  </v>
          </cell>
          <cell r="E89"/>
          <cell r="G89" t="str">
            <v>Adriana</v>
          </cell>
          <cell r="H89">
            <v>22</v>
          </cell>
          <cell r="I89" t="str">
            <v>Mass.[MG/GO] 2024 - Bloqueio 714</v>
          </cell>
          <cell r="J89">
            <v>1016</v>
          </cell>
        </row>
        <row r="90">
          <cell r="A90" t="str">
            <v>2024MG - JUIZ DE FORA                  15</v>
          </cell>
          <cell r="B90" t="str">
            <v>REGIONAL CO/MG</v>
          </cell>
          <cell r="C90">
            <v>82</v>
          </cell>
          <cell r="D90" t="str">
            <v xml:space="preserve">MG - JUIZ DE FORA                  </v>
          </cell>
          <cell r="E90"/>
          <cell r="G90" t="str">
            <v>Adriana</v>
          </cell>
          <cell r="H90">
            <v>15</v>
          </cell>
          <cell r="I90" t="str">
            <v>Mass.[MG/GO] 2024 - Bloqueio 888</v>
          </cell>
          <cell r="J90">
            <v>1017</v>
          </cell>
        </row>
        <row r="91">
          <cell r="A91" t="str">
            <v>2002MG - JUIZ DE FORA                  20</v>
          </cell>
          <cell r="B91" t="str">
            <v>REGIONAL CO/MG</v>
          </cell>
          <cell r="C91">
            <v>82</v>
          </cell>
          <cell r="D91" t="str">
            <v xml:space="preserve">MG - JUIZ DE FORA                  </v>
          </cell>
          <cell r="E91"/>
          <cell r="G91" t="str">
            <v>Jusçara</v>
          </cell>
          <cell r="H91">
            <v>20</v>
          </cell>
          <cell r="I91" t="str">
            <v>Mass.[MG/GO] 2002 - Demais Bloqueios  </v>
          </cell>
          <cell r="J91">
            <v>996</v>
          </cell>
        </row>
        <row r="92">
          <cell r="A92" t="str">
            <v>2002MG - JUIZ DE FORA                  10</v>
          </cell>
          <cell r="B92" t="str">
            <v>REGIONAL CO/MG</v>
          </cell>
          <cell r="C92">
            <v>82</v>
          </cell>
          <cell r="D92" t="str">
            <v xml:space="preserve">MG - JUIZ DE FORA                  </v>
          </cell>
          <cell r="E92"/>
          <cell r="G92" t="str">
            <v>Jusçara</v>
          </cell>
          <cell r="H92">
            <v>10</v>
          </cell>
          <cell r="I92" t="str">
            <v>Mass.[MG/GO] 2002 - Bloqueio 714  </v>
          </cell>
          <cell r="J92">
            <v>997</v>
          </cell>
        </row>
        <row r="93">
          <cell r="A93" t="str">
            <v>2024MG - SUL MINAS                     24</v>
          </cell>
          <cell r="B93" t="str">
            <v>REGIONAL CO/MG</v>
          </cell>
          <cell r="C93">
            <v>85</v>
          </cell>
          <cell r="D93" t="str">
            <v xml:space="preserve">MG - SUL MINAS                     </v>
          </cell>
          <cell r="E93"/>
          <cell r="G93" t="str">
            <v>Adriana</v>
          </cell>
          <cell r="H93">
            <v>24</v>
          </cell>
          <cell r="I93" t="str">
            <v xml:space="preserve">Mass.[MG/GO] 2024 - Demais Bloqueios </v>
          </cell>
          <cell r="J93">
            <v>1015</v>
          </cell>
        </row>
        <row r="94">
          <cell r="A94" t="str">
            <v>2024MG - SUL MINAS                     22</v>
          </cell>
          <cell r="B94" t="str">
            <v>REGIONAL CO/MG</v>
          </cell>
          <cell r="C94">
            <v>85</v>
          </cell>
          <cell r="D94" t="str">
            <v xml:space="preserve">MG - SUL MINAS                     </v>
          </cell>
          <cell r="G94" t="str">
            <v>Adriana</v>
          </cell>
          <cell r="H94">
            <v>22</v>
          </cell>
          <cell r="I94" t="str">
            <v>Mass.[MG/GO] 2024 - Bloqueio 714</v>
          </cell>
          <cell r="J94">
            <v>1016</v>
          </cell>
        </row>
        <row r="95">
          <cell r="A95" t="str">
            <v>2024MG - SUL MINAS                     15</v>
          </cell>
          <cell r="B95" t="str">
            <v>REGIONAL CO/MG</v>
          </cell>
          <cell r="C95">
            <v>85</v>
          </cell>
          <cell r="D95" t="str">
            <v xml:space="preserve">MG - SUL MINAS                     </v>
          </cell>
          <cell r="G95" t="str">
            <v>Adriana</v>
          </cell>
          <cell r="H95">
            <v>15</v>
          </cell>
          <cell r="I95" t="str">
            <v>Mass.[MG/GO] 2024 - Bloqueio 888</v>
          </cell>
          <cell r="J95">
            <v>1017</v>
          </cell>
        </row>
        <row r="96">
          <cell r="A96" t="str">
            <v>2002MG - SUL MINAS                     20</v>
          </cell>
          <cell r="B96" t="str">
            <v>REGIONAL CO/MG</v>
          </cell>
          <cell r="C96">
            <v>85</v>
          </cell>
          <cell r="D96" t="str">
            <v xml:space="preserve">MG - SUL MINAS                     </v>
          </cell>
          <cell r="G96" t="str">
            <v>Jusçara</v>
          </cell>
          <cell r="H96">
            <v>20</v>
          </cell>
          <cell r="I96" t="str">
            <v>Mass.[MG/GO] 2002 - Demais Bloqueios  </v>
          </cell>
          <cell r="J96">
            <v>996</v>
          </cell>
        </row>
        <row r="97">
          <cell r="A97" t="str">
            <v>2002MG - SUL MINAS                     10</v>
          </cell>
          <cell r="B97" t="str">
            <v>REGIONAL CO/MG</v>
          </cell>
          <cell r="C97">
            <v>85</v>
          </cell>
          <cell r="D97" t="str">
            <v xml:space="preserve">MG - SUL MINAS                     </v>
          </cell>
          <cell r="G97" t="str">
            <v>Jusçara</v>
          </cell>
          <cell r="H97">
            <v>10</v>
          </cell>
          <cell r="I97" t="str">
            <v>Mass.[MG/GO] 2002 - Bloqueio 714  </v>
          </cell>
          <cell r="J97">
            <v>997</v>
          </cell>
        </row>
        <row r="98">
          <cell r="A98" t="str">
            <v>2024MG - TRIANGULO MINEIRO             24</v>
          </cell>
          <cell r="B98" t="str">
            <v>REGIONAL CO/MG</v>
          </cell>
          <cell r="C98">
            <v>30</v>
          </cell>
          <cell r="D98" t="str">
            <v xml:space="preserve">MG - TRIANGULO MINEIRO             </v>
          </cell>
          <cell r="G98" t="str">
            <v>Adriana</v>
          </cell>
          <cell r="H98">
            <v>24</v>
          </cell>
          <cell r="I98" t="str">
            <v xml:space="preserve">Mass.[MG/GO] 2024 - Demais Bloqueios </v>
          </cell>
          <cell r="J98">
            <v>1015</v>
          </cell>
        </row>
        <row r="99">
          <cell r="A99" t="str">
            <v>2024MG - TRIANGULO MINEIRO             22</v>
          </cell>
          <cell r="B99" t="str">
            <v>REGIONAL CO/MG</v>
          </cell>
          <cell r="C99">
            <v>30</v>
          </cell>
          <cell r="D99" t="str">
            <v xml:space="preserve">MG - TRIANGULO MINEIRO             </v>
          </cell>
          <cell r="G99" t="str">
            <v>Adriana</v>
          </cell>
          <cell r="H99">
            <v>22</v>
          </cell>
          <cell r="I99" t="str">
            <v>Mass.[MG/GO] 2024 - Bloqueio 714</v>
          </cell>
          <cell r="J99">
            <v>1016</v>
          </cell>
        </row>
        <row r="100">
          <cell r="A100" t="str">
            <v>2024MG - TRIANGULO MINEIRO             15</v>
          </cell>
          <cell r="B100" t="str">
            <v>REGIONAL CO/MG</v>
          </cell>
          <cell r="C100">
            <v>30</v>
          </cell>
          <cell r="D100" t="str">
            <v xml:space="preserve">MG - TRIANGULO MINEIRO             </v>
          </cell>
          <cell r="G100" t="str">
            <v>Adriana</v>
          </cell>
          <cell r="H100">
            <v>15</v>
          </cell>
          <cell r="I100" t="str">
            <v>Mass.[MG/GO] 2024 - Bloqueio 888</v>
          </cell>
          <cell r="J100">
            <v>1017</v>
          </cell>
        </row>
        <row r="101">
          <cell r="A101" t="str">
            <v>2002MG - TRIANGULO MINEIRO             20</v>
          </cell>
          <cell r="B101" t="str">
            <v>REGIONAL CO/MG</v>
          </cell>
          <cell r="C101">
            <v>30</v>
          </cell>
          <cell r="D101" t="str">
            <v xml:space="preserve">MG - TRIANGULO MINEIRO             </v>
          </cell>
          <cell r="G101" t="str">
            <v>Jusçara</v>
          </cell>
          <cell r="H101">
            <v>20</v>
          </cell>
          <cell r="I101" t="str">
            <v>Mass.[MG/GO] 2002 - Demais Bloqueios  </v>
          </cell>
          <cell r="J101">
            <v>996</v>
          </cell>
        </row>
        <row r="102">
          <cell r="A102" t="str">
            <v>2002MG - TRIANGULO MINEIRO             10</v>
          </cell>
          <cell r="B102" t="str">
            <v>REGIONAL CO/MG</v>
          </cell>
          <cell r="C102">
            <v>30</v>
          </cell>
          <cell r="D102" t="str">
            <v xml:space="preserve">MG - TRIANGULO MINEIRO             </v>
          </cell>
          <cell r="G102" t="str">
            <v>Jusçara</v>
          </cell>
          <cell r="H102">
            <v>10</v>
          </cell>
          <cell r="I102" t="str">
            <v>Mass.[MG/GO] 2002 - Bloqueio 714  </v>
          </cell>
          <cell r="J102">
            <v>997</v>
          </cell>
        </row>
        <row r="103">
          <cell r="A103" t="str">
            <v>2024MG/CO - ATNP                       24</v>
          </cell>
          <cell r="B103" t="str">
            <v>REGIONAL CO/MG</v>
          </cell>
          <cell r="C103">
            <v>177</v>
          </cell>
          <cell r="D103" t="str">
            <v xml:space="preserve">MG/CO - ATNP                       </v>
          </cell>
          <cell r="G103" t="str">
            <v>Adriana</v>
          </cell>
          <cell r="H103">
            <v>24</v>
          </cell>
          <cell r="I103" t="str">
            <v xml:space="preserve">Mass.[MG/GO] 2024 - Demais Bloqueios </v>
          </cell>
          <cell r="J103">
            <v>1015</v>
          </cell>
        </row>
        <row r="104">
          <cell r="A104" t="str">
            <v>2024MG/CO - ATNP                       22</v>
          </cell>
          <cell r="B104" t="str">
            <v>REGIONAL CO/MG</v>
          </cell>
          <cell r="C104">
            <v>177</v>
          </cell>
          <cell r="D104" t="str">
            <v xml:space="preserve">MG/CO - ATNP                       </v>
          </cell>
          <cell r="G104" t="str">
            <v>Adriana</v>
          </cell>
          <cell r="H104">
            <v>22</v>
          </cell>
          <cell r="I104" t="str">
            <v>Mass.[MG/GO] 2024 - Bloqueio 714</v>
          </cell>
          <cell r="J104">
            <v>1016</v>
          </cell>
        </row>
        <row r="105">
          <cell r="A105" t="str">
            <v>2024MG/CO - ATNP                       15</v>
          </cell>
          <cell r="B105" t="str">
            <v>REGIONAL CO/MG</v>
          </cell>
          <cell r="C105">
            <v>177</v>
          </cell>
          <cell r="D105" t="str">
            <v xml:space="preserve">MG/CO - ATNP                       </v>
          </cell>
          <cell r="G105" t="str">
            <v>Adriana</v>
          </cell>
          <cell r="H105">
            <v>15</v>
          </cell>
          <cell r="I105" t="str">
            <v>Mass.[MG/GO] 2024 - Bloqueio 888</v>
          </cell>
          <cell r="J105">
            <v>1017</v>
          </cell>
        </row>
        <row r="106">
          <cell r="A106" t="str">
            <v>2002MG/CO - ATNP                       20</v>
          </cell>
          <cell r="B106" t="str">
            <v>REGIONAL CO/MG</v>
          </cell>
          <cell r="C106">
            <v>177</v>
          </cell>
          <cell r="D106" t="str">
            <v xml:space="preserve">MG/CO - ATNP                       </v>
          </cell>
          <cell r="G106" t="str">
            <v>Jusçara</v>
          </cell>
          <cell r="H106">
            <v>20</v>
          </cell>
          <cell r="I106" t="str">
            <v>Mass.[MG/GO] 2002 - Demais Bloqueios  </v>
          </cell>
          <cell r="J106">
            <v>996</v>
          </cell>
        </row>
        <row r="107">
          <cell r="A107" t="str">
            <v>2002MG/CO - ATNP                       10</v>
          </cell>
          <cell r="B107" t="str">
            <v>REGIONAL CO/MG</v>
          </cell>
          <cell r="C107">
            <v>177</v>
          </cell>
          <cell r="D107" t="str">
            <v xml:space="preserve">MG/CO - ATNP                       </v>
          </cell>
          <cell r="G107" t="str">
            <v>Jusçara</v>
          </cell>
          <cell r="H107">
            <v>10</v>
          </cell>
          <cell r="I107" t="str">
            <v>Mass.[MG/GO] 2002 - Bloqueio 714  </v>
          </cell>
          <cell r="J107">
            <v>997</v>
          </cell>
        </row>
        <row r="108">
          <cell r="A108" t="str">
            <v>2002N - NORTE                          20</v>
          </cell>
          <cell r="B108" t="str">
            <v>REGIONAL N/NE</v>
          </cell>
          <cell r="C108">
            <v>47</v>
          </cell>
          <cell r="D108" t="str">
            <v xml:space="preserve">N - NORTE                          </v>
          </cell>
          <cell r="G108" t="str">
            <v>Jusçara</v>
          </cell>
          <cell r="H108">
            <v>20</v>
          </cell>
          <cell r="I108" t="str">
            <v>Mass.[N/NE] 2002 - Demais Bloqueios </v>
          </cell>
          <cell r="J108">
            <v>998</v>
          </cell>
        </row>
        <row r="109">
          <cell r="A109" t="str">
            <v>2002N - NORTE                          10</v>
          </cell>
          <cell r="B109" t="str">
            <v>REGIONAL N/NE</v>
          </cell>
          <cell r="C109">
            <v>47</v>
          </cell>
          <cell r="D109" t="str">
            <v xml:space="preserve">N - NORTE                          </v>
          </cell>
          <cell r="G109" t="str">
            <v>Jusçara</v>
          </cell>
          <cell r="H109">
            <v>10</v>
          </cell>
          <cell r="I109" t="str">
            <v>Mass.[N/NE] 2002 - Bloqueio 714</v>
          </cell>
          <cell r="J109">
            <v>999</v>
          </cell>
        </row>
        <row r="110">
          <cell r="A110" t="str">
            <v>2024N - NORTE                          24</v>
          </cell>
          <cell r="B110" t="str">
            <v>REGIONAL N/NE</v>
          </cell>
          <cell r="C110">
            <v>47</v>
          </cell>
          <cell r="D110" t="str">
            <v xml:space="preserve">N - NORTE                          </v>
          </cell>
          <cell r="G110" t="str">
            <v>Jusçara</v>
          </cell>
          <cell r="H110">
            <v>24</v>
          </cell>
          <cell r="I110" t="str">
            <v>Mass.[N/NE] 2024 - Demais Bloqueios</v>
          </cell>
          <cell r="J110">
            <v>1018</v>
          </cell>
        </row>
        <row r="111">
          <cell r="A111" t="str">
            <v>2024N - NORTE                          22</v>
          </cell>
          <cell r="B111" t="str">
            <v>REGIONAL N/NE</v>
          </cell>
          <cell r="C111">
            <v>47</v>
          </cell>
          <cell r="D111" t="str">
            <v xml:space="preserve">N - NORTE                          </v>
          </cell>
          <cell r="G111" t="str">
            <v>Jusçara</v>
          </cell>
          <cell r="H111">
            <v>22</v>
          </cell>
          <cell r="I111" t="str">
            <v>Mass.[N/NE] 2024 - Bloqueio 714</v>
          </cell>
          <cell r="J111">
            <v>1019</v>
          </cell>
        </row>
        <row r="112">
          <cell r="A112" t="str">
            <v>2024N - NORTE                          15</v>
          </cell>
          <cell r="B112" t="str">
            <v>REGIONAL N/NE</v>
          </cell>
          <cell r="C112">
            <v>47</v>
          </cell>
          <cell r="D112" t="str">
            <v xml:space="preserve">N - NORTE                          </v>
          </cell>
          <cell r="G112" t="str">
            <v>Jusçara</v>
          </cell>
          <cell r="H112">
            <v>15</v>
          </cell>
          <cell r="I112" t="str">
            <v>Mass.[N/NE] 2024 - Bloqueio 888</v>
          </cell>
          <cell r="J112">
            <v>1020</v>
          </cell>
        </row>
        <row r="113">
          <cell r="A113" t="str">
            <v>2002N/NE - ATNP                        20</v>
          </cell>
          <cell r="B113" t="str">
            <v>REGIONAL N/NE</v>
          </cell>
          <cell r="C113">
            <v>174</v>
          </cell>
          <cell r="D113" t="str">
            <v xml:space="preserve">N/NE - ATNP                        </v>
          </cell>
          <cell r="G113" t="str">
            <v>Jusçara</v>
          </cell>
          <cell r="H113">
            <v>20</v>
          </cell>
          <cell r="I113" t="str">
            <v>Mass.[N/NE] 2002 - Demais Bloqueios </v>
          </cell>
          <cell r="J113">
            <v>998</v>
          </cell>
        </row>
        <row r="114">
          <cell r="A114" t="str">
            <v>2002N/NE - ATNP                        10</v>
          </cell>
          <cell r="B114" t="str">
            <v>REGIONAL N/NE</v>
          </cell>
          <cell r="C114">
            <v>174</v>
          </cell>
          <cell r="D114" t="str">
            <v xml:space="preserve">N/NE - ATNP                        </v>
          </cell>
          <cell r="G114" t="str">
            <v>Jusçara</v>
          </cell>
          <cell r="H114">
            <v>10</v>
          </cell>
          <cell r="I114" t="str">
            <v>Mass.[N/NE] 2002 - Bloqueio 714</v>
          </cell>
          <cell r="J114">
            <v>999</v>
          </cell>
        </row>
        <row r="115">
          <cell r="A115" t="str">
            <v>2024N/NE - ATNP                        24</v>
          </cell>
          <cell r="B115" t="str">
            <v>REGIONAL N/NE</v>
          </cell>
          <cell r="C115">
            <v>174</v>
          </cell>
          <cell r="D115" t="str">
            <v xml:space="preserve">N/NE - ATNP                        </v>
          </cell>
          <cell r="G115" t="str">
            <v>Jusçara</v>
          </cell>
          <cell r="H115">
            <v>24</v>
          </cell>
          <cell r="I115" t="str">
            <v>Mass.[N/NE] 2024 - Demais Bloqueios</v>
          </cell>
          <cell r="J115">
            <v>1018</v>
          </cell>
        </row>
        <row r="116">
          <cell r="A116" t="str">
            <v>2024N/NE - ATNP                        22</v>
          </cell>
          <cell r="B116" t="str">
            <v>REGIONAL N/NE</v>
          </cell>
          <cell r="C116">
            <v>174</v>
          </cell>
          <cell r="D116" t="str">
            <v xml:space="preserve">N/NE - ATNP                        </v>
          </cell>
          <cell r="G116" t="str">
            <v>Jusçara</v>
          </cell>
          <cell r="H116">
            <v>22</v>
          </cell>
          <cell r="I116" t="str">
            <v>Mass.[N/NE] 2024 - Bloqueio 714</v>
          </cell>
          <cell r="J116">
            <v>1019</v>
          </cell>
        </row>
        <row r="117">
          <cell r="A117" t="str">
            <v>2024N/NE - ATNP                        15</v>
          </cell>
          <cell r="B117" t="str">
            <v>REGIONAL N/NE</v>
          </cell>
          <cell r="C117">
            <v>174</v>
          </cell>
          <cell r="D117" t="str">
            <v xml:space="preserve">N/NE - ATNP                        </v>
          </cell>
          <cell r="G117" t="str">
            <v>Jusçara</v>
          </cell>
          <cell r="H117">
            <v>15</v>
          </cell>
          <cell r="I117" t="str">
            <v>Mass.[N/NE] 2024 - Bloqueio 888</v>
          </cell>
          <cell r="J117">
            <v>1020</v>
          </cell>
        </row>
        <row r="118">
          <cell r="A118" t="str">
            <v>2002N/NE - ATNP                        10</v>
          </cell>
          <cell r="B118" t="str">
            <v>REGIONAL RJ/ES</v>
          </cell>
          <cell r="C118">
            <v>174</v>
          </cell>
          <cell r="D118" t="str">
            <v xml:space="preserve">N/NE - ATNP                        </v>
          </cell>
          <cell r="G118" t="str">
            <v>Jusçara</v>
          </cell>
          <cell r="H118">
            <v>10</v>
          </cell>
          <cell r="I118" t="str">
            <v>Mass.[ES/RJ] 2002 - Bloqueio 714</v>
          </cell>
          <cell r="J118">
            <v>1011</v>
          </cell>
        </row>
        <row r="119">
          <cell r="A119" t="str">
            <v>2024N/NE - ATNP                        22</v>
          </cell>
          <cell r="B119" t="str">
            <v>REGIONAL RJ/ES</v>
          </cell>
          <cell r="C119">
            <v>174</v>
          </cell>
          <cell r="D119" t="str">
            <v xml:space="preserve">N/NE - ATNP                        </v>
          </cell>
          <cell r="G119" t="str">
            <v>Adriana</v>
          </cell>
          <cell r="H119">
            <v>22</v>
          </cell>
          <cell r="I119" t="str">
            <v>Mass.[ES/RJ] 2024 -Bloqueio 714</v>
          </cell>
          <cell r="J119">
            <v>1037</v>
          </cell>
        </row>
        <row r="120">
          <cell r="A120" t="str">
            <v>2002NE - ARACAJU/MACEIO                20</v>
          </cell>
          <cell r="B120" t="str">
            <v>REGIONAL N/NE</v>
          </cell>
          <cell r="C120">
            <v>352</v>
          </cell>
          <cell r="D120" t="str">
            <v xml:space="preserve">NE - ARACAJU/MACEIO                </v>
          </cell>
          <cell r="G120" t="str">
            <v>Jusçara</v>
          </cell>
          <cell r="H120">
            <v>20</v>
          </cell>
          <cell r="I120" t="str">
            <v>Mass.[N/NE] 2002 - Demais Bloqueios </v>
          </cell>
          <cell r="J120">
            <v>998</v>
          </cell>
        </row>
        <row r="121">
          <cell r="A121" t="str">
            <v>2002NE - ARACAJU/MACEIO                10</v>
          </cell>
          <cell r="B121" t="str">
            <v>REGIONAL N/NE</v>
          </cell>
          <cell r="C121">
            <v>352</v>
          </cell>
          <cell r="D121" t="str">
            <v xml:space="preserve">NE - ARACAJU/MACEIO                </v>
          </cell>
          <cell r="G121" t="str">
            <v>Jusçara</v>
          </cell>
          <cell r="H121">
            <v>10</v>
          </cell>
          <cell r="I121" t="str">
            <v>Mass.[N/NE] 2002 - Bloqueio 714</v>
          </cell>
          <cell r="J121">
            <v>999</v>
          </cell>
        </row>
        <row r="122">
          <cell r="A122" t="str">
            <v>2024NE - ARACAJU/MACEIO                24</v>
          </cell>
          <cell r="B122" t="str">
            <v>REGIONAL N/NE</v>
          </cell>
          <cell r="C122">
            <v>352</v>
          </cell>
          <cell r="D122" t="str">
            <v xml:space="preserve">NE - ARACAJU/MACEIO                </v>
          </cell>
          <cell r="G122" t="str">
            <v>Jusçara</v>
          </cell>
          <cell r="H122">
            <v>24</v>
          </cell>
          <cell r="I122" t="str">
            <v>Mass.[N/NE] 2024 - Demais Bloqueios</v>
          </cell>
          <cell r="J122">
            <v>1018</v>
          </cell>
        </row>
        <row r="123">
          <cell r="A123" t="str">
            <v>2024NE - ARACAJU/MACEIO                22</v>
          </cell>
          <cell r="B123" t="str">
            <v>REGIONAL N/NE</v>
          </cell>
          <cell r="C123">
            <v>352</v>
          </cell>
          <cell r="D123" t="str">
            <v xml:space="preserve">NE - ARACAJU/MACEIO                </v>
          </cell>
          <cell r="G123" t="str">
            <v>Jusçara</v>
          </cell>
          <cell r="H123">
            <v>22</v>
          </cell>
          <cell r="I123" t="str">
            <v>Mass.[N/NE] 2024 - Bloqueio 714</v>
          </cell>
          <cell r="J123">
            <v>1019</v>
          </cell>
        </row>
        <row r="124">
          <cell r="A124" t="str">
            <v>2024NE - ARACAJU/MACEIO                15</v>
          </cell>
          <cell r="B124" t="str">
            <v>REGIONAL N/NE</v>
          </cell>
          <cell r="C124">
            <v>352</v>
          </cell>
          <cell r="D124" t="str">
            <v xml:space="preserve">NE - ARACAJU/MACEIO                </v>
          </cell>
          <cell r="G124" t="str">
            <v>Jusçara</v>
          </cell>
          <cell r="H124">
            <v>15</v>
          </cell>
          <cell r="I124" t="str">
            <v>Mass.[N/NE] 2024 - Bloqueio 888</v>
          </cell>
          <cell r="J124">
            <v>1020</v>
          </cell>
        </row>
        <row r="125">
          <cell r="A125" t="str">
            <v>2024NE - ARACAJU/MACEIO                24</v>
          </cell>
          <cell r="B125" t="str">
            <v>REGIONAL RJ/ES</v>
          </cell>
          <cell r="C125">
            <v>352</v>
          </cell>
          <cell r="D125" t="str">
            <v xml:space="preserve">NE - ARACAJU/MACEIO                </v>
          </cell>
          <cell r="G125" t="str">
            <v>Adriana</v>
          </cell>
          <cell r="H125">
            <v>24</v>
          </cell>
          <cell r="I125" t="str">
            <v>Mass.[ES/RJ] 2024 - Demais Bloqueios</v>
          </cell>
          <cell r="J125">
            <v>1036</v>
          </cell>
        </row>
        <row r="126">
          <cell r="A126" t="str">
            <v>2002NE - FORTALEZA/ASSESSORIA          20</v>
          </cell>
          <cell r="B126" t="str">
            <v>REGIONAL N/NE</v>
          </cell>
          <cell r="C126">
            <v>43</v>
          </cell>
          <cell r="D126" t="str">
            <v xml:space="preserve">NE - FORTALEZA/ASSESSORIA          </v>
          </cell>
          <cell r="G126" t="str">
            <v>Jusçara</v>
          </cell>
          <cell r="H126">
            <v>20</v>
          </cell>
          <cell r="I126" t="str">
            <v>Mass.[N/NE] 2002 - Demais Bloqueios </v>
          </cell>
          <cell r="J126">
            <v>998</v>
          </cell>
        </row>
        <row r="127">
          <cell r="A127" t="str">
            <v>2002NE - FORTALEZA/ASSESSORIA          10</v>
          </cell>
          <cell r="B127" t="str">
            <v>REGIONAL N/NE</v>
          </cell>
          <cell r="C127">
            <v>43</v>
          </cell>
          <cell r="D127" t="str">
            <v xml:space="preserve">NE - FORTALEZA/ASSESSORIA          </v>
          </cell>
          <cell r="G127" t="str">
            <v>Jusçara</v>
          </cell>
          <cell r="H127">
            <v>10</v>
          </cell>
          <cell r="I127" t="str">
            <v>Mass.[N/NE] 2002 - Bloqueio 714</v>
          </cell>
          <cell r="J127">
            <v>999</v>
          </cell>
        </row>
        <row r="128">
          <cell r="A128" t="str">
            <v>2024NE - FORTALEZA/ASSESSORIA          24</v>
          </cell>
          <cell r="B128" t="str">
            <v>REGIONAL N/NE</v>
          </cell>
          <cell r="C128">
            <v>43</v>
          </cell>
          <cell r="D128" t="str">
            <v xml:space="preserve">NE - FORTALEZA/ASSESSORIA          </v>
          </cell>
          <cell r="G128" t="str">
            <v>Jusçara</v>
          </cell>
          <cell r="H128">
            <v>24</v>
          </cell>
          <cell r="I128" t="str">
            <v>Mass.[N/NE] 2024 - Demais Bloqueios</v>
          </cell>
          <cell r="J128">
            <v>1018</v>
          </cell>
        </row>
        <row r="129">
          <cell r="A129" t="str">
            <v>2024NE - FORTALEZA/ASSESSORIA          22</v>
          </cell>
          <cell r="B129" t="str">
            <v>REGIONAL N/NE</v>
          </cell>
          <cell r="C129">
            <v>43</v>
          </cell>
          <cell r="D129" t="str">
            <v xml:space="preserve">NE - FORTALEZA/ASSESSORIA          </v>
          </cell>
          <cell r="G129" t="str">
            <v>Jusçara</v>
          </cell>
          <cell r="H129">
            <v>22</v>
          </cell>
          <cell r="I129" t="str">
            <v>Mass.[N/NE] 2024 - Bloqueio 714</v>
          </cell>
          <cell r="J129">
            <v>1019</v>
          </cell>
        </row>
        <row r="130">
          <cell r="A130" t="str">
            <v>2024NE - FORTALEZA/ASSESSORIA          15</v>
          </cell>
          <cell r="B130" t="str">
            <v>REGIONAL N/NE</v>
          </cell>
          <cell r="C130">
            <v>43</v>
          </cell>
          <cell r="D130" t="str">
            <v xml:space="preserve">NE - FORTALEZA/ASSESSORIA          </v>
          </cell>
          <cell r="G130" t="str">
            <v>Jusçara</v>
          </cell>
          <cell r="H130">
            <v>15</v>
          </cell>
          <cell r="I130" t="str">
            <v>Mass.[N/NE] 2024 - Bloqueio 888</v>
          </cell>
          <cell r="J130">
            <v>1020</v>
          </cell>
        </row>
        <row r="131">
          <cell r="A131" t="str">
            <v>2002NE - FORTALEZA/ASSESSORIA          20</v>
          </cell>
          <cell r="B131" t="str">
            <v>REGIONAL RJ/ES</v>
          </cell>
          <cell r="C131">
            <v>43</v>
          </cell>
          <cell r="D131" t="str">
            <v xml:space="preserve">NE - FORTALEZA/ASSESSORIA          </v>
          </cell>
          <cell r="G131" t="str">
            <v>Jusçara</v>
          </cell>
          <cell r="H131">
            <v>20</v>
          </cell>
          <cell r="I131" t="str">
            <v>Mass.[ES/RJ] 2002 - Demais Bloqueios</v>
          </cell>
          <cell r="J131">
            <v>1010</v>
          </cell>
        </row>
        <row r="132">
          <cell r="A132" t="str">
            <v>2002NE - FORTALEZA/ASSESSORIA          10</v>
          </cell>
          <cell r="B132" t="str">
            <v>REGIONAL RJ/ES</v>
          </cell>
          <cell r="C132">
            <v>43</v>
          </cell>
          <cell r="D132" t="str">
            <v xml:space="preserve">NE - FORTALEZA/ASSESSORIA          </v>
          </cell>
          <cell r="G132" t="str">
            <v>Jusçara</v>
          </cell>
          <cell r="H132">
            <v>10</v>
          </cell>
          <cell r="I132" t="str">
            <v>Mass.[ES/RJ] 2002 - Bloqueio 714</v>
          </cell>
          <cell r="J132">
            <v>1011</v>
          </cell>
        </row>
        <row r="133">
          <cell r="A133" t="str">
            <v>2024NE - FORTALEZA/ASSESSORIA          24</v>
          </cell>
          <cell r="B133" t="str">
            <v>REGIONAL RJ/ES</v>
          </cell>
          <cell r="C133">
            <v>43</v>
          </cell>
          <cell r="D133" t="str">
            <v xml:space="preserve">NE - FORTALEZA/ASSESSORIA          </v>
          </cell>
          <cell r="G133" t="str">
            <v>Adriana</v>
          </cell>
          <cell r="H133">
            <v>24</v>
          </cell>
          <cell r="I133" t="str">
            <v>Mass.[ES/RJ] 2024 - Demais Bloqueios</v>
          </cell>
          <cell r="J133">
            <v>1036</v>
          </cell>
        </row>
        <row r="134">
          <cell r="A134" t="str">
            <v>2002NE - NATAL/JOAO PESSOA             20</v>
          </cell>
          <cell r="B134" t="str">
            <v>REGIONAL N/NE</v>
          </cell>
          <cell r="C134">
            <v>236</v>
          </cell>
          <cell r="D134" t="str">
            <v xml:space="preserve">NE - NATAL/JOAO PESSOA             </v>
          </cell>
          <cell r="G134" t="str">
            <v>Jusçara</v>
          </cell>
          <cell r="H134">
            <v>20</v>
          </cell>
          <cell r="I134" t="str">
            <v>Mass.[N/NE] 2002 - Demais Bloqueios </v>
          </cell>
          <cell r="J134">
            <v>998</v>
          </cell>
        </row>
        <row r="135">
          <cell r="A135" t="str">
            <v>2002NE - NATAL/JOAO PESSOA             10</v>
          </cell>
          <cell r="B135" t="str">
            <v>REGIONAL N/NE</v>
          </cell>
          <cell r="C135">
            <v>236</v>
          </cell>
          <cell r="D135" t="str">
            <v xml:space="preserve">NE - NATAL/JOAO PESSOA             </v>
          </cell>
          <cell r="G135" t="str">
            <v>Jusçara</v>
          </cell>
          <cell r="H135">
            <v>10</v>
          </cell>
          <cell r="I135" t="str">
            <v>Mass.[N/NE] 2002 - Bloqueio 714</v>
          </cell>
          <cell r="J135">
            <v>999</v>
          </cell>
        </row>
        <row r="136">
          <cell r="A136" t="str">
            <v>2024NE - NATAL/JOAO PESSOA             24</v>
          </cell>
          <cell r="B136" t="str">
            <v>REGIONAL N/NE</v>
          </cell>
          <cell r="C136">
            <v>236</v>
          </cell>
          <cell r="D136" t="str">
            <v xml:space="preserve">NE - NATAL/JOAO PESSOA             </v>
          </cell>
          <cell r="G136" t="str">
            <v>Jusçara</v>
          </cell>
          <cell r="H136">
            <v>24</v>
          </cell>
          <cell r="I136" t="str">
            <v>Mass.[N/NE] 2024 - Demais Bloqueios</v>
          </cell>
          <cell r="J136">
            <v>1018</v>
          </cell>
        </row>
        <row r="137">
          <cell r="A137" t="str">
            <v>2024NE - NATAL/JOAO PESSOA             22</v>
          </cell>
          <cell r="B137" t="str">
            <v>REGIONAL N/NE</v>
          </cell>
          <cell r="C137">
            <v>236</v>
          </cell>
          <cell r="D137" t="str">
            <v xml:space="preserve">NE - NATAL/JOAO PESSOA             </v>
          </cell>
          <cell r="G137" t="str">
            <v>Jusçara</v>
          </cell>
          <cell r="H137">
            <v>22</v>
          </cell>
          <cell r="I137" t="str">
            <v>Mass.[N/NE] 2024 - Bloqueio 714</v>
          </cell>
          <cell r="J137">
            <v>1019</v>
          </cell>
        </row>
        <row r="138">
          <cell r="A138" t="str">
            <v>2024NE - NATAL/JOAO PESSOA             15</v>
          </cell>
          <cell r="B138" t="str">
            <v>REGIONAL N/NE</v>
          </cell>
          <cell r="C138">
            <v>236</v>
          </cell>
          <cell r="D138" t="str">
            <v xml:space="preserve">NE - NATAL/JOAO PESSOA             </v>
          </cell>
          <cell r="G138" t="str">
            <v>Jusçara</v>
          </cell>
          <cell r="H138">
            <v>15</v>
          </cell>
          <cell r="I138" t="str">
            <v>Mass.[N/NE] 2024 - Bloqueio 888</v>
          </cell>
          <cell r="J138">
            <v>1020</v>
          </cell>
        </row>
        <row r="139">
          <cell r="A139" t="str">
            <v>2002NE - NATAL/JOAO PESSOA             20</v>
          </cell>
          <cell r="B139" t="str">
            <v>REGIONAL RJ/ES</v>
          </cell>
          <cell r="C139">
            <v>236</v>
          </cell>
          <cell r="D139" t="str">
            <v xml:space="preserve">NE - NATAL/JOAO PESSOA             </v>
          </cell>
          <cell r="G139" t="str">
            <v>Jusçara</v>
          </cell>
          <cell r="H139">
            <v>20</v>
          </cell>
          <cell r="I139" t="str">
            <v>Mass.[ES/RJ] 2002 - Demais Bloqueios</v>
          </cell>
          <cell r="J139">
            <v>1010</v>
          </cell>
        </row>
        <row r="140">
          <cell r="A140" t="str">
            <v>2002NE - NATAL/JOAO PESSOA             10</v>
          </cell>
          <cell r="B140" t="str">
            <v>REGIONAL RJ/ES</v>
          </cell>
          <cell r="C140">
            <v>236</v>
          </cell>
          <cell r="D140" t="str">
            <v xml:space="preserve">NE - NATAL/JOAO PESSOA             </v>
          </cell>
          <cell r="G140" t="str">
            <v>Jusçara</v>
          </cell>
          <cell r="H140">
            <v>10</v>
          </cell>
          <cell r="I140" t="str">
            <v>Mass.[ES/RJ] 2002 - Bloqueio 714</v>
          </cell>
          <cell r="J140">
            <v>1011</v>
          </cell>
        </row>
        <row r="141">
          <cell r="A141" t="str">
            <v>2002NE - RECIFE                        20</v>
          </cell>
          <cell r="B141" t="str">
            <v>REGIONAL N/NE</v>
          </cell>
          <cell r="C141">
            <v>34</v>
          </cell>
          <cell r="D141" t="str">
            <v xml:space="preserve">NE - RECIFE                        </v>
          </cell>
          <cell r="G141" t="str">
            <v>Jusçara</v>
          </cell>
          <cell r="H141">
            <v>20</v>
          </cell>
          <cell r="I141" t="str">
            <v>Mass.[N/NE] 2002 - Demais Bloqueios </v>
          </cell>
          <cell r="J141">
            <v>998</v>
          </cell>
        </row>
        <row r="142">
          <cell r="A142" t="str">
            <v>2002NE - RECIFE                        10</v>
          </cell>
          <cell r="B142" t="str">
            <v>REGIONAL N/NE</v>
          </cell>
          <cell r="C142">
            <v>34</v>
          </cell>
          <cell r="D142" t="str">
            <v xml:space="preserve">NE - RECIFE                        </v>
          </cell>
          <cell r="G142" t="str">
            <v>Jusçara</v>
          </cell>
          <cell r="H142">
            <v>10</v>
          </cell>
          <cell r="I142" t="str">
            <v>Mass.[N/NE] 2002 - Bloqueio 714</v>
          </cell>
          <cell r="J142">
            <v>999</v>
          </cell>
        </row>
        <row r="143">
          <cell r="A143" t="str">
            <v>2024NE - RECIFE                        24</v>
          </cell>
          <cell r="B143" t="str">
            <v>REGIONAL N/NE</v>
          </cell>
          <cell r="C143">
            <v>34</v>
          </cell>
          <cell r="D143" t="str">
            <v xml:space="preserve">NE - RECIFE                        </v>
          </cell>
          <cell r="G143" t="str">
            <v>Jusçara</v>
          </cell>
          <cell r="H143">
            <v>24</v>
          </cell>
          <cell r="I143" t="str">
            <v>Mass.[N/NE] 2024 - Demais Bloqueios</v>
          </cell>
          <cell r="J143">
            <v>1018</v>
          </cell>
        </row>
        <row r="144">
          <cell r="A144" t="str">
            <v>2024NE - RECIFE                        22</v>
          </cell>
          <cell r="B144" t="str">
            <v>REGIONAL N/NE</v>
          </cell>
          <cell r="C144">
            <v>34</v>
          </cell>
          <cell r="D144" t="str">
            <v xml:space="preserve">NE - RECIFE                        </v>
          </cell>
          <cell r="G144" t="str">
            <v>Jusçara</v>
          </cell>
          <cell r="H144">
            <v>22</v>
          </cell>
          <cell r="I144" t="str">
            <v>Mass.[N/NE] 2024 - Bloqueio 714</v>
          </cell>
          <cell r="J144">
            <v>1019</v>
          </cell>
        </row>
        <row r="145">
          <cell r="A145" t="str">
            <v>2024NE - RECIFE                        15</v>
          </cell>
          <cell r="B145" t="str">
            <v>REGIONAL N/NE</v>
          </cell>
          <cell r="C145">
            <v>34</v>
          </cell>
          <cell r="D145" t="str">
            <v xml:space="preserve">NE - RECIFE                        </v>
          </cell>
          <cell r="G145" t="str">
            <v>Jusçara</v>
          </cell>
          <cell r="H145">
            <v>15</v>
          </cell>
          <cell r="I145" t="str">
            <v>Mass.[N/NE] 2024 - Bloqueio 888</v>
          </cell>
          <cell r="J145">
            <v>1020</v>
          </cell>
        </row>
        <row r="146">
          <cell r="A146" t="str">
            <v>2002NE - RECIFE                        20</v>
          </cell>
          <cell r="B146" t="str">
            <v>REGIONAL RJ/ES</v>
          </cell>
          <cell r="C146">
            <v>34</v>
          </cell>
          <cell r="D146" t="str">
            <v xml:space="preserve">NE - RECIFE                        </v>
          </cell>
          <cell r="G146" t="str">
            <v>Jusçara</v>
          </cell>
          <cell r="H146">
            <v>20</v>
          </cell>
          <cell r="I146" t="str">
            <v>Mass.[ES/RJ] 2002 - Demais Bloqueios</v>
          </cell>
          <cell r="J146">
            <v>1010</v>
          </cell>
        </row>
        <row r="147">
          <cell r="A147" t="str">
            <v>2002NE - SALVADOR                      20</v>
          </cell>
          <cell r="B147" t="str">
            <v>REGIONAL N/NE</v>
          </cell>
          <cell r="C147">
            <v>44</v>
          </cell>
          <cell r="D147" t="str">
            <v xml:space="preserve">NE - SALVADOR                      </v>
          </cell>
          <cell r="G147" t="str">
            <v>Jusçara</v>
          </cell>
          <cell r="H147">
            <v>20</v>
          </cell>
          <cell r="I147" t="str">
            <v>Mass.[N/NE] 2002 - Demais Bloqueios </v>
          </cell>
          <cell r="J147">
            <v>998</v>
          </cell>
        </row>
        <row r="148">
          <cell r="A148" t="str">
            <v>2002NE - SALVADOR                      10</v>
          </cell>
          <cell r="B148" t="str">
            <v>REGIONAL N/NE</v>
          </cell>
          <cell r="C148">
            <v>44</v>
          </cell>
          <cell r="D148" t="str">
            <v xml:space="preserve">NE - SALVADOR                      </v>
          </cell>
          <cell r="G148" t="str">
            <v>Jusçara</v>
          </cell>
          <cell r="H148">
            <v>10</v>
          </cell>
          <cell r="I148" t="str">
            <v>Mass.[N/NE] 2002 - Bloqueio 714</v>
          </cell>
          <cell r="J148">
            <v>999</v>
          </cell>
        </row>
        <row r="149">
          <cell r="A149" t="str">
            <v>2024NE - SALVADOR                      24</v>
          </cell>
          <cell r="B149" t="str">
            <v>REGIONAL N/NE</v>
          </cell>
          <cell r="C149">
            <v>44</v>
          </cell>
          <cell r="D149" t="str">
            <v xml:space="preserve">NE - SALVADOR                      </v>
          </cell>
          <cell r="G149" t="str">
            <v>Jusçara</v>
          </cell>
          <cell r="H149">
            <v>24</v>
          </cell>
          <cell r="I149" t="str">
            <v>Mass.[N/NE] 2024 - Demais Bloqueios</v>
          </cell>
          <cell r="J149">
            <v>1018</v>
          </cell>
        </row>
        <row r="150">
          <cell r="A150" t="str">
            <v>2024NE - SALVADOR                      22</v>
          </cell>
          <cell r="B150" t="str">
            <v>REGIONAL N/NE</v>
          </cell>
          <cell r="C150">
            <v>44</v>
          </cell>
          <cell r="D150" t="str">
            <v xml:space="preserve">NE - SALVADOR                      </v>
          </cell>
          <cell r="G150" t="str">
            <v>Jusçara</v>
          </cell>
          <cell r="H150">
            <v>22</v>
          </cell>
          <cell r="I150" t="str">
            <v>Mass.[N/NE] 2024 - Bloqueio 714</v>
          </cell>
          <cell r="J150">
            <v>1019</v>
          </cell>
        </row>
        <row r="151">
          <cell r="A151" t="str">
            <v>2024NE - SALVADOR                      15</v>
          </cell>
          <cell r="B151" t="str">
            <v>REGIONAL N/NE</v>
          </cell>
          <cell r="C151">
            <v>44</v>
          </cell>
          <cell r="D151" t="str">
            <v xml:space="preserve">NE - SALVADOR                      </v>
          </cell>
          <cell r="G151" t="str">
            <v>Jusçara</v>
          </cell>
          <cell r="H151">
            <v>15</v>
          </cell>
          <cell r="I151" t="str">
            <v>Mass.[N/NE] 2024 - Bloqueio 888</v>
          </cell>
          <cell r="J151">
            <v>1020</v>
          </cell>
        </row>
        <row r="152">
          <cell r="A152" t="str">
            <v>2002NE - SALVADOR                      10</v>
          </cell>
          <cell r="B152" t="str">
            <v>REGIONAL RJ/ES</v>
          </cell>
          <cell r="C152">
            <v>44</v>
          </cell>
          <cell r="D152" t="str">
            <v xml:space="preserve">NE - SALVADOR                      </v>
          </cell>
          <cell r="G152" t="str">
            <v>Jusçara</v>
          </cell>
          <cell r="H152">
            <v>10</v>
          </cell>
          <cell r="I152" t="str">
            <v>Mass.[ES/RJ] 2002 - Bloqueio 714</v>
          </cell>
          <cell r="J152">
            <v>1011</v>
          </cell>
        </row>
        <row r="153">
          <cell r="A153" t="str">
            <v>2024NE - SALVADOR                      15</v>
          </cell>
          <cell r="B153" t="str">
            <v>REGIONAL RJ/ES</v>
          </cell>
          <cell r="C153">
            <v>44</v>
          </cell>
          <cell r="D153" t="str">
            <v xml:space="preserve">NE - SALVADOR                      </v>
          </cell>
          <cell r="G153" t="str">
            <v>Adriana</v>
          </cell>
          <cell r="H153">
            <v>15</v>
          </cell>
          <cell r="I153" t="str">
            <v>Mass.[ES/RJ] 2024 -Bloqueio 888</v>
          </cell>
          <cell r="J153">
            <v>1038</v>
          </cell>
        </row>
        <row r="154">
          <cell r="A154" t="str">
            <v>2002NE - TERESINA/SAO LUIS             20</v>
          </cell>
          <cell r="B154" t="str">
            <v>REGIONAL N/NE</v>
          </cell>
          <cell r="C154">
            <v>350</v>
          </cell>
          <cell r="D154" t="str">
            <v xml:space="preserve">NE - TERESINA/SAO LUIS             </v>
          </cell>
          <cell r="G154" t="str">
            <v>Jusçara</v>
          </cell>
          <cell r="H154">
            <v>20</v>
          </cell>
          <cell r="I154" t="str">
            <v>Mass.[N/NE] 2002 - Demais Bloqueios </v>
          </cell>
          <cell r="J154">
            <v>998</v>
          </cell>
        </row>
        <row r="155">
          <cell r="A155" t="str">
            <v>2002NE - TERESINA/SAO LUIS             10</v>
          </cell>
          <cell r="B155" t="str">
            <v>REGIONAL N/NE</v>
          </cell>
          <cell r="C155">
            <v>350</v>
          </cell>
          <cell r="D155" t="str">
            <v xml:space="preserve">NE - TERESINA/SAO LUIS             </v>
          </cell>
          <cell r="G155" t="str">
            <v>Jusçara</v>
          </cell>
          <cell r="H155">
            <v>10</v>
          </cell>
          <cell r="I155" t="str">
            <v>Mass.[N/NE] 2002 - Bloqueio 714</v>
          </cell>
          <cell r="J155">
            <v>999</v>
          </cell>
        </row>
        <row r="156">
          <cell r="A156" t="str">
            <v>2024NE - TERESINA/SAO LUIS             24</v>
          </cell>
          <cell r="B156" t="str">
            <v>REGIONAL N/NE</v>
          </cell>
          <cell r="C156">
            <v>350</v>
          </cell>
          <cell r="D156" t="str">
            <v xml:space="preserve">NE - TERESINA/SAO LUIS             </v>
          </cell>
          <cell r="G156" t="str">
            <v>Jusçara</v>
          </cell>
          <cell r="H156">
            <v>24</v>
          </cell>
          <cell r="I156" t="str">
            <v>Mass.[N/NE] 2024 - Demais Bloqueios</v>
          </cell>
          <cell r="J156">
            <v>1018</v>
          </cell>
        </row>
        <row r="157">
          <cell r="A157" t="str">
            <v>2024NE - TERESINA/SAO LUIS             22</v>
          </cell>
          <cell r="B157" t="str">
            <v>REGIONAL N/NE</v>
          </cell>
          <cell r="C157">
            <v>350</v>
          </cell>
          <cell r="D157" t="str">
            <v xml:space="preserve">NE - TERESINA/SAO LUIS             </v>
          </cell>
          <cell r="G157" t="str">
            <v>Jusçara</v>
          </cell>
          <cell r="H157">
            <v>22</v>
          </cell>
          <cell r="I157" t="str">
            <v>Mass.[N/NE] 2024 - Bloqueio 714</v>
          </cell>
          <cell r="J157">
            <v>1019</v>
          </cell>
        </row>
        <row r="158">
          <cell r="A158" t="str">
            <v>2024NE - TERESINA/SAO LUIS             15</v>
          </cell>
          <cell r="B158" t="str">
            <v>REGIONAL N/NE</v>
          </cell>
          <cell r="C158">
            <v>350</v>
          </cell>
          <cell r="D158" t="str">
            <v xml:space="preserve">NE - TERESINA/SAO LUIS             </v>
          </cell>
          <cell r="G158" t="str">
            <v>Jusçara</v>
          </cell>
          <cell r="H158">
            <v>15</v>
          </cell>
          <cell r="I158" t="str">
            <v>Mass.[N/NE] 2024 - Bloqueio 888</v>
          </cell>
          <cell r="J158">
            <v>1020</v>
          </cell>
        </row>
        <row r="159">
          <cell r="A159" t="str">
            <v>2024NE - TERESINA/SAO LUIS             22</v>
          </cell>
          <cell r="B159" t="str">
            <v>REGIONAL RJ/ES</v>
          </cell>
          <cell r="C159">
            <v>350</v>
          </cell>
          <cell r="D159" t="str">
            <v xml:space="preserve">NE - TERESINA/SAO LUIS             </v>
          </cell>
          <cell r="G159" t="str">
            <v>Adriana</v>
          </cell>
          <cell r="H159">
            <v>22</v>
          </cell>
          <cell r="I159" t="str">
            <v>Mass.[ES/RJ] 2024 -Bloqueio 714</v>
          </cell>
          <cell r="J159">
            <v>1037</v>
          </cell>
        </row>
        <row r="160">
          <cell r="A160" t="str">
            <v>2024PARCERIAS CO/MG/NE                 24</v>
          </cell>
          <cell r="B160" t="str">
            <v>REGIONAL CORPORATE E PARCERIAS</v>
          </cell>
          <cell r="C160">
            <v>315</v>
          </cell>
          <cell r="D160" t="str">
            <v xml:space="preserve">PARCERIAS CO/MG/NE                 </v>
          </cell>
          <cell r="G160" t="str">
            <v>Patrícia</v>
          </cell>
          <cell r="H160">
            <v>24</v>
          </cell>
          <cell r="I160" t="str">
            <v>Mass.[PARC] 2024 - Demais Bloqueios</v>
          </cell>
          <cell r="J160">
            <v>1033</v>
          </cell>
        </row>
        <row r="161">
          <cell r="A161" t="str">
            <v>2024PARCERIAS CO/MG/NE                 22</v>
          </cell>
          <cell r="B161" t="str">
            <v>REGIONAL CORPORATE E PARCERIAS</v>
          </cell>
          <cell r="C161">
            <v>315</v>
          </cell>
          <cell r="D161" t="str">
            <v xml:space="preserve">PARCERIAS CO/MG/NE                 </v>
          </cell>
          <cell r="G161" t="str">
            <v>Patrícia</v>
          </cell>
          <cell r="H161">
            <v>22</v>
          </cell>
          <cell r="I161" t="str">
            <v>Mass.[PARC] 2024 -Bloqueio 714</v>
          </cell>
          <cell r="J161">
            <v>1034</v>
          </cell>
        </row>
        <row r="162">
          <cell r="A162" t="str">
            <v>2024PARCERIAS CO/MG/NE                 15</v>
          </cell>
          <cell r="B162" t="str">
            <v>REGIONAL CORPORATE E PARCERIAS</v>
          </cell>
          <cell r="C162">
            <v>315</v>
          </cell>
          <cell r="D162" t="str">
            <v xml:space="preserve">PARCERIAS CO/MG/NE                 </v>
          </cell>
          <cell r="G162" t="str">
            <v>Patrícia</v>
          </cell>
          <cell r="H162">
            <v>15</v>
          </cell>
          <cell r="I162" t="str">
            <v>Mass.[PARC] 2024 -Bloqueio 888</v>
          </cell>
          <cell r="J162">
            <v>1035</v>
          </cell>
        </row>
        <row r="163">
          <cell r="A163" t="str">
            <v>2002PARCERIAS CO/MG/NE                 20</v>
          </cell>
          <cell r="B163" t="str">
            <v>REGIONAL CORPORATE E PARCERIAS</v>
          </cell>
          <cell r="C163">
            <v>315</v>
          </cell>
          <cell r="D163" t="str">
            <v xml:space="preserve">PARCERIAS CO/MG/NE                 </v>
          </cell>
          <cell r="G163" t="str">
            <v>Fagner</v>
          </cell>
          <cell r="H163">
            <v>20</v>
          </cell>
          <cell r="I163" t="str">
            <v>Mass.[PARC] 2002 - Demais Bloqueios</v>
          </cell>
          <cell r="J163">
            <v>1008</v>
          </cell>
        </row>
        <row r="164">
          <cell r="A164" t="str">
            <v>2002PARCERIAS CO/MG/NE                 10</v>
          </cell>
          <cell r="B164" t="str">
            <v>REGIONAL CORPORATE E PARCERIAS</v>
          </cell>
          <cell r="C164">
            <v>315</v>
          </cell>
          <cell r="D164" t="str">
            <v xml:space="preserve">PARCERIAS CO/MG/NE                 </v>
          </cell>
          <cell r="G164" t="str">
            <v>Fagner</v>
          </cell>
          <cell r="H164">
            <v>10</v>
          </cell>
          <cell r="I164" t="str">
            <v>Mass.[PARC] 2002 - Bloqueio 714</v>
          </cell>
          <cell r="J164">
            <v>1009</v>
          </cell>
        </row>
        <row r="165">
          <cell r="A165" t="str">
            <v>2024PARCERIAS SP/RJ/ES                 24</v>
          </cell>
          <cell r="B165" t="str">
            <v>REGIONAL CORPORATE E PARCERIAS</v>
          </cell>
          <cell r="C165">
            <v>153</v>
          </cell>
          <cell r="D165" t="str">
            <v xml:space="preserve">PARCERIAS SP/RJ/ES                 </v>
          </cell>
          <cell r="G165" t="str">
            <v>Patrícia</v>
          </cell>
          <cell r="H165">
            <v>24</v>
          </cell>
          <cell r="I165" t="str">
            <v>Mass.[PARC] 2024 - Demais Bloqueios</v>
          </cell>
          <cell r="J165">
            <v>1033</v>
          </cell>
        </row>
        <row r="166">
          <cell r="A166" t="str">
            <v>2024PARCERIAS SP/RJ/ES                 22</v>
          </cell>
          <cell r="B166" t="str">
            <v>REGIONAL CORPORATE E PARCERIAS</v>
          </cell>
          <cell r="C166">
            <v>153</v>
          </cell>
          <cell r="D166" t="str">
            <v xml:space="preserve">PARCERIAS SP/RJ/ES                 </v>
          </cell>
          <cell r="G166" t="str">
            <v>Patrícia</v>
          </cell>
          <cell r="H166">
            <v>22</v>
          </cell>
          <cell r="I166" t="str">
            <v>Mass.[PARC] 2024 -Bloqueio 714</v>
          </cell>
          <cell r="J166">
            <v>1034</v>
          </cell>
        </row>
        <row r="167">
          <cell r="A167" t="str">
            <v>2024PARCERIAS SP/RJ/ES                 15</v>
          </cell>
          <cell r="B167" t="str">
            <v>REGIONAL CORPORATE E PARCERIAS</v>
          </cell>
          <cell r="C167">
            <v>153</v>
          </cell>
          <cell r="D167" t="str">
            <v xml:space="preserve">PARCERIAS SP/RJ/ES                 </v>
          </cell>
          <cell r="G167" t="str">
            <v>Patrícia</v>
          </cell>
          <cell r="H167">
            <v>15</v>
          </cell>
          <cell r="I167" t="str">
            <v>Mass.[PARC] 2024 -Bloqueio 888</v>
          </cell>
          <cell r="J167">
            <v>1035</v>
          </cell>
        </row>
        <row r="168">
          <cell r="A168" t="str">
            <v>2002PARCERIAS SP/RJ/ES                 20</v>
          </cell>
          <cell r="B168" t="str">
            <v>REGIONAL CORPORATE E PARCERIAS</v>
          </cell>
          <cell r="C168">
            <v>153</v>
          </cell>
          <cell r="D168" t="str">
            <v xml:space="preserve">PARCERIAS SP/RJ/ES                 </v>
          </cell>
          <cell r="G168" t="str">
            <v>Fagner</v>
          </cell>
          <cell r="H168">
            <v>20</v>
          </cell>
          <cell r="I168" t="str">
            <v>Mass.[PARC] 2002 - Demais Bloqueios</v>
          </cell>
          <cell r="J168">
            <v>1008</v>
          </cell>
        </row>
        <row r="169">
          <cell r="A169" t="str">
            <v>2002PARCERIAS SP/RJ/ES                 10</v>
          </cell>
          <cell r="B169" t="str">
            <v>REGIONAL CORPORATE E PARCERIAS</v>
          </cell>
          <cell r="C169">
            <v>153</v>
          </cell>
          <cell r="D169" t="str">
            <v xml:space="preserve">PARCERIAS SP/RJ/ES                 </v>
          </cell>
          <cell r="G169" t="str">
            <v>Fagner</v>
          </cell>
          <cell r="H169">
            <v>10</v>
          </cell>
          <cell r="I169" t="str">
            <v>Mass.[PARC] 2002 - Bloqueio 714</v>
          </cell>
          <cell r="J169">
            <v>1009</v>
          </cell>
        </row>
        <row r="170">
          <cell r="A170" t="str">
            <v>2024PARCERIAS SUL                      24</v>
          </cell>
          <cell r="B170" t="str">
            <v>REGIONAL CORPORATE E PARCERIAS</v>
          </cell>
          <cell r="C170">
            <v>509</v>
          </cell>
          <cell r="D170" t="str">
            <v xml:space="preserve">PARCERIAS SUL                      </v>
          </cell>
          <cell r="G170" t="str">
            <v>Patrícia</v>
          </cell>
          <cell r="H170">
            <v>24</v>
          </cell>
          <cell r="I170" t="str">
            <v>Mass.[PARC] 2024 - Demais Bloqueios</v>
          </cell>
          <cell r="J170">
            <v>1033</v>
          </cell>
        </row>
        <row r="171">
          <cell r="A171" t="str">
            <v>2024PARCERIAS SUL                      22</v>
          </cell>
          <cell r="B171" t="str">
            <v>REGIONAL CORPORATE E PARCERIAS</v>
          </cell>
          <cell r="C171">
            <v>509</v>
          </cell>
          <cell r="D171" t="str">
            <v xml:space="preserve">PARCERIAS SUL                      </v>
          </cell>
          <cell r="G171" t="str">
            <v>Patrícia</v>
          </cell>
          <cell r="H171">
            <v>22</v>
          </cell>
          <cell r="I171" t="str">
            <v>Mass.[PARC] 2024 -Bloqueio 714</v>
          </cell>
          <cell r="J171">
            <v>1034</v>
          </cell>
        </row>
        <row r="172">
          <cell r="A172" t="str">
            <v>2024PARCERIAS SUL                      15</v>
          </cell>
          <cell r="B172" t="str">
            <v>REGIONAL CORPORATE E PARCERIAS</v>
          </cell>
          <cell r="C172">
            <v>509</v>
          </cell>
          <cell r="D172" t="str">
            <v xml:space="preserve">PARCERIAS SUL                      </v>
          </cell>
          <cell r="G172" t="str">
            <v>Patrícia</v>
          </cell>
          <cell r="H172">
            <v>15</v>
          </cell>
          <cell r="I172" t="str">
            <v>Mass.[PARC] 2024 -Bloqueio 888</v>
          </cell>
          <cell r="J172">
            <v>1035</v>
          </cell>
        </row>
        <row r="173">
          <cell r="A173" t="str">
            <v>2002PARCERIAS SUL                      20</v>
          </cell>
          <cell r="B173" t="str">
            <v>REGIONAL CORPORATE E PARCERIAS</v>
          </cell>
          <cell r="C173">
            <v>509</v>
          </cell>
          <cell r="D173" t="str">
            <v xml:space="preserve">PARCERIAS SUL                      </v>
          </cell>
          <cell r="G173" t="str">
            <v>Fagner</v>
          </cell>
          <cell r="H173">
            <v>20</v>
          </cell>
          <cell r="I173" t="str">
            <v>Mass.[PARC] 2002 - Demais Bloqueios</v>
          </cell>
          <cell r="J173">
            <v>1008</v>
          </cell>
        </row>
        <row r="174">
          <cell r="A174" t="str">
            <v>2002PARCERIAS SUL                      10</v>
          </cell>
          <cell r="B174" t="str">
            <v>REGIONAL CORPORATE E PARCERIAS</v>
          </cell>
          <cell r="C174">
            <v>509</v>
          </cell>
          <cell r="D174" t="str">
            <v xml:space="preserve">PARCERIAS SUL                      </v>
          </cell>
          <cell r="G174" t="str">
            <v>Fagner</v>
          </cell>
          <cell r="H174">
            <v>10</v>
          </cell>
          <cell r="I174" t="str">
            <v>Mass.[PARC] 2002 - Bloqueio 714</v>
          </cell>
          <cell r="J174">
            <v>1009</v>
          </cell>
        </row>
        <row r="175">
          <cell r="A175" t="str">
            <v>2002RJ - ASSESSORIAS                   20</v>
          </cell>
          <cell r="B175" t="str">
            <v>REGIONAL RJ/ES</v>
          </cell>
          <cell r="C175">
            <v>298</v>
          </cell>
          <cell r="D175" t="str">
            <v xml:space="preserve">RJ - ASSESSORIAS                   </v>
          </cell>
          <cell r="G175" t="str">
            <v>Jusçara</v>
          </cell>
          <cell r="H175">
            <v>20</v>
          </cell>
          <cell r="I175" t="str">
            <v>Mass.[ES/RJ] 2002 - Demais Bloqueios</v>
          </cell>
          <cell r="J175">
            <v>1010</v>
          </cell>
        </row>
        <row r="176">
          <cell r="A176" t="str">
            <v>2002RJ - ASSESSORIAS                   10</v>
          </cell>
          <cell r="B176" t="str">
            <v>REGIONAL RJ/ES</v>
          </cell>
          <cell r="C176">
            <v>298</v>
          </cell>
          <cell r="D176" t="str">
            <v xml:space="preserve">RJ - ASSESSORIAS                   </v>
          </cell>
          <cell r="G176" t="str">
            <v>Jusçara</v>
          </cell>
          <cell r="H176">
            <v>10</v>
          </cell>
          <cell r="I176" t="str">
            <v>Mass.[ES/RJ] 2002 - Bloqueio 714</v>
          </cell>
          <cell r="J176">
            <v>1011</v>
          </cell>
        </row>
        <row r="177">
          <cell r="A177" t="str">
            <v>2024RJ - ASSESSORIAS                   24</v>
          </cell>
          <cell r="B177" t="str">
            <v>REGIONAL RJ/ES</v>
          </cell>
          <cell r="C177">
            <v>298</v>
          </cell>
          <cell r="D177" t="str">
            <v xml:space="preserve">RJ - ASSESSORIAS                   </v>
          </cell>
          <cell r="G177" t="str">
            <v>Adriana</v>
          </cell>
          <cell r="H177">
            <v>24</v>
          </cell>
          <cell r="I177" t="str">
            <v>Mass.[ES/RJ] 2024 - Demais Bloqueios</v>
          </cell>
          <cell r="J177">
            <v>1036</v>
          </cell>
        </row>
        <row r="178">
          <cell r="A178" t="str">
            <v>2024RJ - ASSESSORIAS                   22</v>
          </cell>
          <cell r="B178" t="str">
            <v>REGIONAL RJ/ES</v>
          </cell>
          <cell r="C178">
            <v>298</v>
          </cell>
          <cell r="D178" t="str">
            <v xml:space="preserve">RJ - ASSESSORIAS                   </v>
          </cell>
          <cell r="G178" t="str">
            <v>Adriana</v>
          </cell>
          <cell r="H178">
            <v>22</v>
          </cell>
          <cell r="I178" t="str">
            <v>Mass.[ES/RJ] 2024 -Bloqueio 714</v>
          </cell>
          <cell r="J178">
            <v>1037</v>
          </cell>
        </row>
        <row r="179">
          <cell r="A179" t="str">
            <v>2024RJ - ASSESSORIAS                   15</v>
          </cell>
          <cell r="B179" t="str">
            <v>REGIONAL RJ/ES</v>
          </cell>
          <cell r="C179">
            <v>298</v>
          </cell>
          <cell r="D179" t="str">
            <v xml:space="preserve">RJ - ASSESSORIAS                   </v>
          </cell>
          <cell r="G179" t="str">
            <v>Adriana</v>
          </cell>
          <cell r="H179">
            <v>15</v>
          </cell>
          <cell r="I179" t="str">
            <v>Mass.[ES/RJ] 2024 -Bloqueio 888</v>
          </cell>
          <cell r="J179">
            <v>1038</v>
          </cell>
        </row>
        <row r="180">
          <cell r="A180" t="str">
            <v>2002RJ - ATNP                          20</v>
          </cell>
          <cell r="B180" t="str">
            <v>REGIONAL RJ/ES</v>
          </cell>
          <cell r="C180">
            <v>182</v>
          </cell>
          <cell r="D180" t="str">
            <v xml:space="preserve">RJ - ATNP                          </v>
          </cell>
          <cell r="G180" t="str">
            <v>Jusçara</v>
          </cell>
          <cell r="H180">
            <v>20</v>
          </cell>
          <cell r="I180" t="str">
            <v>Mass.[ES/RJ] 2002 - Demais Bloqueios</v>
          </cell>
          <cell r="J180">
            <v>1010</v>
          </cell>
        </row>
        <row r="181">
          <cell r="A181" t="str">
            <v>2002RJ - ATNP                          10</v>
          </cell>
          <cell r="B181" t="str">
            <v>REGIONAL RJ/ES</v>
          </cell>
          <cell r="C181">
            <v>182</v>
          </cell>
          <cell r="D181" t="str">
            <v xml:space="preserve">RJ - ATNP                          </v>
          </cell>
          <cell r="G181" t="str">
            <v>Jusçara</v>
          </cell>
          <cell r="H181">
            <v>10</v>
          </cell>
          <cell r="I181" t="str">
            <v>Mass.[ES/RJ] 2002 - Bloqueio 714</v>
          </cell>
          <cell r="J181">
            <v>1011</v>
          </cell>
        </row>
        <row r="182">
          <cell r="A182" t="str">
            <v>2024RJ - ATNP                          24</v>
          </cell>
          <cell r="B182" t="str">
            <v>REGIONAL RJ/ES</v>
          </cell>
          <cell r="C182">
            <v>182</v>
          </cell>
          <cell r="D182" t="str">
            <v xml:space="preserve">RJ - ATNP                          </v>
          </cell>
          <cell r="G182" t="str">
            <v>Adriana</v>
          </cell>
          <cell r="H182">
            <v>24</v>
          </cell>
          <cell r="I182" t="str">
            <v>Mass.[ES/RJ] 2024 - Demais Bloqueios</v>
          </cell>
          <cell r="J182">
            <v>1036</v>
          </cell>
        </row>
        <row r="183">
          <cell r="A183" t="str">
            <v>2024RJ - ATNP                          22</v>
          </cell>
          <cell r="B183" t="str">
            <v>REGIONAL RJ/ES</v>
          </cell>
          <cell r="C183">
            <v>182</v>
          </cell>
          <cell r="D183" t="str">
            <v xml:space="preserve">RJ - ATNP                          </v>
          </cell>
          <cell r="G183" t="str">
            <v>Adriana</v>
          </cell>
          <cell r="H183">
            <v>22</v>
          </cell>
          <cell r="I183" t="str">
            <v>Mass.[ES/RJ] 2024 -Bloqueio 714</v>
          </cell>
          <cell r="J183">
            <v>1037</v>
          </cell>
        </row>
        <row r="184">
          <cell r="A184" t="str">
            <v>2024RJ - ATNP                          15</v>
          </cell>
          <cell r="B184" t="str">
            <v>REGIONAL RJ/ES</v>
          </cell>
          <cell r="C184">
            <v>182</v>
          </cell>
          <cell r="D184" t="str">
            <v xml:space="preserve">RJ - ATNP                          </v>
          </cell>
          <cell r="G184" t="str">
            <v>Adriana</v>
          </cell>
          <cell r="H184">
            <v>15</v>
          </cell>
          <cell r="I184" t="str">
            <v>Mass.[ES/RJ] 2024 -Bloqueio 888</v>
          </cell>
          <cell r="J184">
            <v>1038</v>
          </cell>
        </row>
        <row r="185">
          <cell r="A185" t="str">
            <v>2002RJ - BARRA                         20</v>
          </cell>
          <cell r="B185" t="str">
            <v>REGIONAL RJ/ES</v>
          </cell>
          <cell r="C185">
            <v>24</v>
          </cell>
          <cell r="D185" t="str">
            <v xml:space="preserve">RJ - BARRA                         </v>
          </cell>
          <cell r="G185" t="str">
            <v>Jusçara</v>
          </cell>
          <cell r="H185">
            <v>20</v>
          </cell>
          <cell r="I185" t="str">
            <v>Mass.[ES/RJ] 2002 - Demais Bloqueios</v>
          </cell>
          <cell r="J185">
            <v>1010</v>
          </cell>
        </row>
        <row r="186">
          <cell r="A186" t="str">
            <v>2002RJ - BARRA                         10</v>
          </cell>
          <cell r="B186" t="str">
            <v>REGIONAL RJ/ES</v>
          </cell>
          <cell r="C186">
            <v>24</v>
          </cell>
          <cell r="D186" t="str">
            <v xml:space="preserve">RJ - BARRA                         </v>
          </cell>
          <cell r="G186" t="str">
            <v>Jusçara</v>
          </cell>
          <cell r="H186">
            <v>10</v>
          </cell>
          <cell r="I186" t="str">
            <v>Mass.[ES/RJ] 2002 - Bloqueio 714</v>
          </cell>
          <cell r="J186">
            <v>1011</v>
          </cell>
        </row>
        <row r="187">
          <cell r="A187" t="str">
            <v>2024RJ - BARRA                         24</v>
          </cell>
          <cell r="B187" t="str">
            <v>REGIONAL RJ/ES</v>
          </cell>
          <cell r="C187">
            <v>24</v>
          </cell>
          <cell r="D187" t="str">
            <v xml:space="preserve">RJ - BARRA                         </v>
          </cell>
          <cell r="G187" t="str">
            <v>Adriana</v>
          </cell>
          <cell r="H187">
            <v>24</v>
          </cell>
          <cell r="I187" t="str">
            <v>Mass.[ES/RJ] 2024 - Demais Bloqueios</v>
          </cell>
          <cell r="J187">
            <v>1036</v>
          </cell>
        </row>
        <row r="188">
          <cell r="A188" t="str">
            <v>2024RJ - BARRA                         22</v>
          </cell>
          <cell r="B188" t="str">
            <v>REGIONAL RJ/ES</v>
          </cell>
          <cell r="C188">
            <v>24</v>
          </cell>
          <cell r="D188" t="str">
            <v xml:space="preserve">RJ - BARRA                         </v>
          </cell>
          <cell r="G188" t="str">
            <v>Adriana</v>
          </cell>
          <cell r="H188">
            <v>22</v>
          </cell>
          <cell r="I188" t="str">
            <v>Mass.[ES/RJ] 2024 -Bloqueio 714</v>
          </cell>
          <cell r="J188">
            <v>1037</v>
          </cell>
        </row>
        <row r="189">
          <cell r="A189" t="str">
            <v>2024RJ - BARRA                         15</v>
          </cell>
          <cell r="B189" t="str">
            <v>REGIONAL RJ/ES</v>
          </cell>
          <cell r="C189">
            <v>24</v>
          </cell>
          <cell r="D189" t="str">
            <v xml:space="preserve">RJ - BARRA                         </v>
          </cell>
          <cell r="G189" t="str">
            <v>Adriana</v>
          </cell>
          <cell r="H189">
            <v>15</v>
          </cell>
          <cell r="I189" t="str">
            <v>Mass.[ES/RJ] 2024 -Bloqueio 888</v>
          </cell>
          <cell r="J189">
            <v>1038</v>
          </cell>
        </row>
        <row r="190">
          <cell r="A190" t="str">
            <v>2024RJ - INTERIOR                      15</v>
          </cell>
          <cell r="B190" t="str">
            <v>REGIONAL RJ/ES</v>
          </cell>
          <cell r="C190">
            <v>224</v>
          </cell>
          <cell r="D190" t="str">
            <v xml:space="preserve">RJ - INTERIOR                      </v>
          </cell>
          <cell r="G190" t="str">
            <v>Adriana</v>
          </cell>
          <cell r="H190">
            <v>15</v>
          </cell>
          <cell r="I190" t="str">
            <v>Mass.[ES/RJ] 2024 -Bloqueio 888</v>
          </cell>
          <cell r="J190">
            <v>1038</v>
          </cell>
        </row>
        <row r="191">
          <cell r="A191" t="str">
            <v>2002RJ - NITEROI                       20</v>
          </cell>
          <cell r="B191" t="str">
            <v>REGIONAL RJ/ES</v>
          </cell>
          <cell r="C191">
            <v>148</v>
          </cell>
          <cell r="D191" t="str">
            <v xml:space="preserve">RJ - NITEROI                       </v>
          </cell>
          <cell r="G191" t="str">
            <v>Jusçara</v>
          </cell>
          <cell r="H191">
            <v>20</v>
          </cell>
          <cell r="I191" t="str">
            <v>Mass.[ES/RJ] 2002 - Demais Bloqueios</v>
          </cell>
          <cell r="J191">
            <v>1010</v>
          </cell>
        </row>
        <row r="192">
          <cell r="A192" t="str">
            <v>2002RJ - NITEROI                       10</v>
          </cell>
          <cell r="B192" t="str">
            <v>REGIONAL RJ/ES</v>
          </cell>
          <cell r="C192">
            <v>148</v>
          </cell>
          <cell r="D192" t="str">
            <v xml:space="preserve">RJ - NITEROI                       </v>
          </cell>
          <cell r="G192" t="str">
            <v>Jusçara</v>
          </cell>
          <cell r="H192">
            <v>10</v>
          </cell>
          <cell r="I192" t="str">
            <v>Mass.[ES/RJ] 2002 - Bloqueio 714</v>
          </cell>
          <cell r="J192">
            <v>1011</v>
          </cell>
        </row>
        <row r="193">
          <cell r="A193" t="str">
            <v>2024RJ - NITEROI                       24</v>
          </cell>
          <cell r="B193" t="str">
            <v>REGIONAL RJ/ES</v>
          </cell>
          <cell r="C193">
            <v>148</v>
          </cell>
          <cell r="D193" t="str">
            <v xml:space="preserve">RJ - NITEROI                       </v>
          </cell>
          <cell r="G193" t="str">
            <v>Adriana</v>
          </cell>
          <cell r="H193">
            <v>24</v>
          </cell>
          <cell r="I193" t="str">
            <v>Mass.[ES/RJ] 2024 - Demais Bloqueios</v>
          </cell>
          <cell r="J193">
            <v>1036</v>
          </cell>
        </row>
        <row r="194">
          <cell r="A194" t="str">
            <v>2024RJ - NITEROI                       22</v>
          </cell>
          <cell r="B194" t="str">
            <v>REGIONAL RJ/ES</v>
          </cell>
          <cell r="C194">
            <v>148</v>
          </cell>
          <cell r="D194" t="str">
            <v xml:space="preserve">RJ - NITEROI                       </v>
          </cell>
          <cell r="G194" t="str">
            <v>Adriana</v>
          </cell>
          <cell r="H194">
            <v>22</v>
          </cell>
          <cell r="I194" t="str">
            <v>Mass.[ES/RJ] 2024 -Bloqueio 714</v>
          </cell>
          <cell r="J194">
            <v>1037</v>
          </cell>
        </row>
        <row r="195">
          <cell r="A195" t="str">
            <v>2024RJ - NITEROI                       15</v>
          </cell>
          <cell r="B195" t="str">
            <v>REGIONAL RJ/ES</v>
          </cell>
          <cell r="C195">
            <v>148</v>
          </cell>
          <cell r="D195" t="str">
            <v xml:space="preserve">RJ - NITEROI                       </v>
          </cell>
          <cell r="G195" t="str">
            <v>Adriana</v>
          </cell>
          <cell r="H195">
            <v>15</v>
          </cell>
          <cell r="I195" t="str">
            <v>Mass.[ES/RJ] 2024 -Bloqueio 888</v>
          </cell>
          <cell r="J195">
            <v>1038</v>
          </cell>
        </row>
        <row r="196">
          <cell r="A196" t="str">
            <v>2002RJ - RIO                           20</v>
          </cell>
          <cell r="B196" t="str">
            <v>REGIONAL RJ/ES</v>
          </cell>
          <cell r="C196">
            <v>21</v>
          </cell>
          <cell r="D196" t="str">
            <v xml:space="preserve">RJ - RIO                           </v>
          </cell>
          <cell r="G196" t="str">
            <v>Jusçara</v>
          </cell>
          <cell r="H196">
            <v>20</v>
          </cell>
          <cell r="I196" t="str">
            <v>Mass.[ES/RJ] 2002 - Demais Bloqueios</v>
          </cell>
          <cell r="J196">
            <v>1010</v>
          </cell>
        </row>
        <row r="197">
          <cell r="A197" t="str">
            <v>2002RJ - RIO                           10</v>
          </cell>
          <cell r="B197" t="str">
            <v>REGIONAL RJ/ES</v>
          </cell>
          <cell r="C197">
            <v>21</v>
          </cell>
          <cell r="D197" t="str">
            <v xml:space="preserve">RJ - RIO                           </v>
          </cell>
          <cell r="G197" t="str">
            <v>Jusçara</v>
          </cell>
          <cell r="H197">
            <v>10</v>
          </cell>
          <cell r="I197" t="str">
            <v>Mass.[ES/RJ] 2002 - Bloqueio 714</v>
          </cell>
          <cell r="J197">
            <v>1011</v>
          </cell>
        </row>
        <row r="198">
          <cell r="A198" t="str">
            <v>2024RJ - RIO                           24</v>
          </cell>
          <cell r="B198" t="str">
            <v>REGIONAL RJ/ES</v>
          </cell>
          <cell r="C198">
            <v>21</v>
          </cell>
          <cell r="D198" t="str">
            <v xml:space="preserve">RJ - RIO                           </v>
          </cell>
          <cell r="G198" t="str">
            <v>Adriana</v>
          </cell>
          <cell r="H198">
            <v>24</v>
          </cell>
          <cell r="I198" t="str">
            <v>Mass.[ES/RJ] 2024 - Demais Bloqueios</v>
          </cell>
          <cell r="J198">
            <v>1036</v>
          </cell>
        </row>
        <row r="199">
          <cell r="A199" t="str">
            <v>2024RJ - RIO                           22</v>
          </cell>
          <cell r="B199" t="str">
            <v>REGIONAL RJ/ES</v>
          </cell>
          <cell r="C199">
            <v>21</v>
          </cell>
          <cell r="D199" t="str">
            <v xml:space="preserve">RJ - RIO                           </v>
          </cell>
          <cell r="G199" t="str">
            <v>Adriana</v>
          </cell>
          <cell r="H199">
            <v>22</v>
          </cell>
          <cell r="I199" t="str">
            <v>Mass.[ES/RJ] 2024 -Bloqueio 714</v>
          </cell>
          <cell r="J199">
            <v>1037</v>
          </cell>
        </row>
        <row r="200">
          <cell r="A200" t="str">
            <v>2024RJ - RIO                           15</v>
          </cell>
          <cell r="B200" t="str">
            <v>REGIONAL RJ/ES</v>
          </cell>
          <cell r="C200">
            <v>21</v>
          </cell>
          <cell r="D200" t="str">
            <v xml:space="preserve">RJ - RIO                           </v>
          </cell>
          <cell r="G200" t="str">
            <v>Adriana</v>
          </cell>
          <cell r="H200">
            <v>15</v>
          </cell>
          <cell r="I200" t="str">
            <v>Mass.[ES/RJ] 2024 -Bloqueio 888</v>
          </cell>
          <cell r="J200">
            <v>1038</v>
          </cell>
        </row>
        <row r="201">
          <cell r="A201" t="str">
            <v>2002RUN-OFF - SUL                      10</v>
          </cell>
          <cell r="B201" t="str">
            <v>REGIONAL SUL 02</v>
          </cell>
          <cell r="C201">
            <v>183</v>
          </cell>
          <cell r="D201" t="str">
            <v xml:space="preserve">RUN-OFF - SUL                      </v>
          </cell>
          <cell r="G201" t="str">
            <v>Fagner</v>
          </cell>
          <cell r="H201">
            <v>10</v>
          </cell>
          <cell r="I201" t="str">
            <v>Mass.[Sul02] 2002 - Bloqueio 714</v>
          </cell>
          <cell r="J201">
            <v>1007</v>
          </cell>
        </row>
        <row r="202">
          <cell r="A202" t="str">
            <v>2002RUN-OFF - SUL                      20</v>
          </cell>
          <cell r="B202" t="str">
            <v>REGIONAL SUL 02</v>
          </cell>
          <cell r="C202">
            <v>183</v>
          </cell>
          <cell r="D202" t="str">
            <v xml:space="preserve">RUN-OFF - SUL                      </v>
          </cell>
          <cell r="G202" t="str">
            <v>Fagner</v>
          </cell>
          <cell r="H202">
            <v>20</v>
          </cell>
          <cell r="I202" t="str">
            <v>Mass.[Sul02] 2002 - Demais Bloqueios</v>
          </cell>
          <cell r="J202">
            <v>1006</v>
          </cell>
        </row>
        <row r="203">
          <cell r="A203" t="str">
            <v>2024RUN-OFF - SUL                      22</v>
          </cell>
          <cell r="B203" t="str">
            <v>REGIONAL SUL 02</v>
          </cell>
          <cell r="C203">
            <v>183</v>
          </cell>
          <cell r="D203" t="str">
            <v xml:space="preserve">RUN-OFF - SUL                      </v>
          </cell>
          <cell r="G203" t="str">
            <v>Antônio Marcos</v>
          </cell>
          <cell r="H203">
            <v>22</v>
          </cell>
          <cell r="I203" t="str">
            <v>Mass.[Sul02] 2024 -Bloqueio 714</v>
          </cell>
          <cell r="J203">
            <v>1031</v>
          </cell>
        </row>
        <row r="204">
          <cell r="A204" t="str">
            <v>2024RUN-OFF - SUL                      24</v>
          </cell>
          <cell r="B204" t="str">
            <v>REGIONAL SUL 02</v>
          </cell>
          <cell r="C204">
            <v>183</v>
          </cell>
          <cell r="D204" t="str">
            <v xml:space="preserve">RUN-OFF - SUL                      </v>
          </cell>
          <cell r="G204" t="str">
            <v>Antônio Marcos</v>
          </cell>
          <cell r="H204">
            <v>24</v>
          </cell>
          <cell r="I204" t="str">
            <v>Mass.[Sul02] 2024 - Demais Bloqueios</v>
          </cell>
          <cell r="J204">
            <v>1030</v>
          </cell>
        </row>
        <row r="205">
          <cell r="A205" t="str">
            <v>2024RUN-OFF - SUL                      15</v>
          </cell>
          <cell r="B205" t="str">
            <v>REGIONAL SUL 02</v>
          </cell>
          <cell r="C205">
            <v>183</v>
          </cell>
          <cell r="D205" t="str">
            <v xml:space="preserve">RUN-OFF - SUL                      </v>
          </cell>
          <cell r="G205" t="str">
            <v>Antônio Marcos</v>
          </cell>
          <cell r="H205">
            <v>15</v>
          </cell>
          <cell r="I205" t="str">
            <v>Mass.[Sul02] 2024 -Bloqueio 888</v>
          </cell>
          <cell r="J205">
            <v>1032</v>
          </cell>
        </row>
        <row r="206">
          <cell r="A206" t="str">
            <v>2002SP - ABC/SANTOS                    20</v>
          </cell>
          <cell r="B206" t="str">
            <v>REGIONAL SÃO PAULO</v>
          </cell>
          <cell r="C206">
            <v>190</v>
          </cell>
          <cell r="D206" t="str">
            <v xml:space="preserve">SP - ABC/SANTOS                    </v>
          </cell>
          <cell r="G206" t="str">
            <v>Fagner</v>
          </cell>
          <cell r="H206">
            <v>20</v>
          </cell>
          <cell r="I206" t="str">
            <v>Mass.[SP] 2002 - Demais Bloqueios  </v>
          </cell>
          <cell r="J206">
            <v>994</v>
          </cell>
        </row>
        <row r="207">
          <cell r="A207" t="str">
            <v>2002SP - ABC/SANTOS                    10</v>
          </cell>
          <cell r="B207" t="str">
            <v>REGIONAL SÃO PAULO</v>
          </cell>
          <cell r="C207">
            <v>190</v>
          </cell>
          <cell r="D207" t="str">
            <v xml:space="preserve">SP - ABC/SANTOS                    </v>
          </cell>
          <cell r="G207" t="str">
            <v>Fagner</v>
          </cell>
          <cell r="H207">
            <v>10</v>
          </cell>
          <cell r="I207" t="str">
            <v xml:space="preserve">Mass.[SP] 2002 - Bloqueio 714 </v>
          </cell>
          <cell r="J207">
            <v>995</v>
          </cell>
        </row>
        <row r="208">
          <cell r="A208" t="str">
            <v>2024SP - ABC/SANTOS                    24</v>
          </cell>
          <cell r="B208" t="str">
            <v>REGIONAL SÃO PAULO</v>
          </cell>
          <cell r="C208">
            <v>190</v>
          </cell>
          <cell r="D208" t="str">
            <v xml:space="preserve">SP - ABC/SANTOS                    </v>
          </cell>
          <cell r="G208" t="str">
            <v>Thiago</v>
          </cell>
          <cell r="H208">
            <v>24</v>
          </cell>
          <cell r="I208" t="str">
            <v xml:space="preserve">Mass.[SP] 2024 - Demais Bloqueios  </v>
          </cell>
          <cell r="J208">
            <v>1012</v>
          </cell>
        </row>
        <row r="209">
          <cell r="A209" t="str">
            <v>2024SP - ABC/SANTOS                    22</v>
          </cell>
          <cell r="B209" t="str">
            <v>REGIONAL SÃO PAULO</v>
          </cell>
          <cell r="C209">
            <v>190</v>
          </cell>
          <cell r="D209" t="str">
            <v xml:space="preserve">SP - ABC/SANTOS                    </v>
          </cell>
          <cell r="G209" t="str">
            <v>Thiago</v>
          </cell>
          <cell r="H209">
            <v>22</v>
          </cell>
          <cell r="I209" t="str">
            <v>Mass.[SP] 2024 - Bloqueio 714</v>
          </cell>
          <cell r="J209">
            <v>1013</v>
          </cell>
        </row>
        <row r="210">
          <cell r="A210" t="str">
            <v>2024SP - ABC/SANTOS                    15</v>
          </cell>
          <cell r="B210" t="str">
            <v>REGIONAL SÃO PAULO</v>
          </cell>
          <cell r="C210">
            <v>190</v>
          </cell>
          <cell r="D210" t="str">
            <v xml:space="preserve">SP - ABC/SANTOS                    </v>
          </cell>
          <cell r="G210" t="str">
            <v>Thiago</v>
          </cell>
          <cell r="H210">
            <v>15</v>
          </cell>
          <cell r="I210" t="str">
            <v>Mass.[SP] 2024 - Bloqueio 888</v>
          </cell>
          <cell r="J210">
            <v>1014</v>
          </cell>
        </row>
        <row r="211">
          <cell r="A211" t="str">
            <v>2002SP - ASSESSORIAS                   20</v>
          </cell>
          <cell r="B211" t="str">
            <v>REGIONAL SÃO PAULO</v>
          </cell>
          <cell r="C211">
            <v>203</v>
          </cell>
          <cell r="D211" t="str">
            <v xml:space="preserve">SP - ASSESSORIAS                   </v>
          </cell>
          <cell r="G211" t="str">
            <v>Fagner</v>
          </cell>
          <cell r="H211">
            <v>20</v>
          </cell>
          <cell r="I211" t="str">
            <v>Mass.[SP] 2002 - Demais Bloqueios  </v>
          </cell>
          <cell r="J211">
            <v>994</v>
          </cell>
        </row>
        <row r="212">
          <cell r="A212" t="str">
            <v>2002SP - ASSESSORIAS                   10</v>
          </cell>
          <cell r="B212" t="str">
            <v>REGIONAL SÃO PAULO</v>
          </cell>
          <cell r="C212">
            <v>203</v>
          </cell>
          <cell r="D212" t="str">
            <v xml:space="preserve">SP - ASSESSORIAS                   </v>
          </cell>
          <cell r="G212" t="str">
            <v>Fagner</v>
          </cell>
          <cell r="H212">
            <v>10</v>
          </cell>
          <cell r="I212" t="str">
            <v xml:space="preserve">Mass.[SP] 2002 - Bloqueio 714 </v>
          </cell>
          <cell r="J212">
            <v>995</v>
          </cell>
        </row>
        <row r="213">
          <cell r="A213" t="str">
            <v>2024SP - ASSESSORIAS                   24</v>
          </cell>
          <cell r="B213" t="str">
            <v>REGIONAL SÃO PAULO</v>
          </cell>
          <cell r="C213">
            <v>203</v>
          </cell>
          <cell r="D213" t="str">
            <v xml:space="preserve">SP - ASSESSORIAS                   </v>
          </cell>
          <cell r="G213" t="str">
            <v>Thiago</v>
          </cell>
          <cell r="H213">
            <v>24</v>
          </cell>
          <cell r="I213" t="str">
            <v xml:space="preserve">Mass.[SP] 2024 - Demais Bloqueios  </v>
          </cell>
          <cell r="J213">
            <v>1012</v>
          </cell>
        </row>
        <row r="214">
          <cell r="A214" t="str">
            <v>2024SP - ASSESSORIAS                   22</v>
          </cell>
          <cell r="B214" t="str">
            <v>REGIONAL SÃO PAULO</v>
          </cell>
          <cell r="C214">
            <v>203</v>
          </cell>
          <cell r="D214" t="str">
            <v xml:space="preserve">SP - ASSESSORIAS                   </v>
          </cell>
          <cell r="G214" t="str">
            <v>Thiago</v>
          </cell>
          <cell r="H214">
            <v>22</v>
          </cell>
          <cell r="I214" t="str">
            <v>Mass.[SP] 2024 - Bloqueio 714</v>
          </cell>
          <cell r="J214">
            <v>1013</v>
          </cell>
        </row>
        <row r="215">
          <cell r="A215" t="str">
            <v>2024SP - ASSESSORIAS                   15</v>
          </cell>
          <cell r="B215" t="str">
            <v>REGIONAL SÃO PAULO</v>
          </cell>
          <cell r="C215">
            <v>203</v>
          </cell>
          <cell r="D215" t="str">
            <v xml:space="preserve">SP - ASSESSORIAS                   </v>
          </cell>
          <cell r="G215" t="str">
            <v>Thiago</v>
          </cell>
          <cell r="H215">
            <v>15</v>
          </cell>
          <cell r="I215" t="str">
            <v>Mass.[SP] 2024 - Bloqueio 888</v>
          </cell>
          <cell r="J215">
            <v>1014</v>
          </cell>
        </row>
        <row r="216">
          <cell r="A216" t="str">
            <v>2002SP - ATNP 1                        20</v>
          </cell>
          <cell r="B216" t="str">
            <v>REGIONAL SÃO PAULO</v>
          </cell>
          <cell r="C216">
            <v>305</v>
          </cell>
          <cell r="D216" t="str">
            <v xml:space="preserve">SP - ATNP 1                        </v>
          </cell>
          <cell r="G216" t="str">
            <v>Fagner</v>
          </cell>
          <cell r="H216">
            <v>20</v>
          </cell>
          <cell r="I216" t="str">
            <v>Mass.[SP] 2002 - Demais Bloqueios  </v>
          </cell>
          <cell r="J216">
            <v>994</v>
          </cell>
        </row>
        <row r="217">
          <cell r="A217" t="str">
            <v>2002SP - ATNP 1                        10</v>
          </cell>
          <cell r="B217" t="str">
            <v>REGIONAL SÃO PAULO</v>
          </cell>
          <cell r="C217">
            <v>305</v>
          </cell>
          <cell r="D217" t="str">
            <v xml:space="preserve">SP - ATNP 1                        </v>
          </cell>
          <cell r="G217" t="str">
            <v>Fagner</v>
          </cell>
          <cell r="H217">
            <v>10</v>
          </cell>
          <cell r="I217" t="str">
            <v xml:space="preserve">Mass.[SP] 2002 - Bloqueio 714 </v>
          </cell>
          <cell r="J217">
            <v>995</v>
          </cell>
        </row>
        <row r="218">
          <cell r="A218" t="str">
            <v>2024SP - ATNP 1                        24</v>
          </cell>
          <cell r="B218" t="str">
            <v>REGIONAL SÃO PAULO</v>
          </cell>
          <cell r="C218">
            <v>305</v>
          </cell>
          <cell r="D218" t="str">
            <v xml:space="preserve">SP - ATNP 1                        </v>
          </cell>
          <cell r="G218" t="str">
            <v>Thiago</v>
          </cell>
          <cell r="H218">
            <v>24</v>
          </cell>
          <cell r="I218" t="str">
            <v xml:space="preserve">Mass.[SP] 2024 - Demais Bloqueios  </v>
          </cell>
          <cell r="J218">
            <v>1012</v>
          </cell>
        </row>
        <row r="219">
          <cell r="A219" t="str">
            <v>2024SP - ATNP 1                        22</v>
          </cell>
          <cell r="B219" t="str">
            <v>REGIONAL SÃO PAULO</v>
          </cell>
          <cell r="C219">
            <v>305</v>
          </cell>
          <cell r="D219" t="str">
            <v xml:space="preserve">SP - ATNP 1                        </v>
          </cell>
          <cell r="G219" t="str">
            <v>Thiago</v>
          </cell>
          <cell r="H219">
            <v>22</v>
          </cell>
          <cell r="I219" t="str">
            <v>Mass.[SP] 2024 - Bloqueio 714</v>
          </cell>
          <cell r="J219">
            <v>1013</v>
          </cell>
        </row>
        <row r="220">
          <cell r="A220" t="str">
            <v>2024SP - ATNP 1                        15</v>
          </cell>
          <cell r="B220" t="str">
            <v>REGIONAL SÃO PAULO</v>
          </cell>
          <cell r="C220">
            <v>305</v>
          </cell>
          <cell r="D220" t="str">
            <v xml:space="preserve">SP - ATNP 1                        </v>
          </cell>
          <cell r="G220" t="str">
            <v>Thiago</v>
          </cell>
          <cell r="H220">
            <v>15</v>
          </cell>
          <cell r="I220" t="str">
            <v>Mass.[SP] 2024 - Bloqueio 888</v>
          </cell>
          <cell r="J220">
            <v>1014</v>
          </cell>
        </row>
        <row r="221">
          <cell r="A221" t="str">
            <v>2002SP - ATNP 2                        20</v>
          </cell>
          <cell r="B221" t="str">
            <v>REGIONAL SÃO PAULO</v>
          </cell>
          <cell r="C221">
            <v>102</v>
          </cell>
          <cell r="D221" t="str">
            <v xml:space="preserve">SP - ATNP 2                        </v>
          </cell>
          <cell r="G221" t="str">
            <v>Fagner</v>
          </cell>
          <cell r="H221">
            <v>20</v>
          </cell>
          <cell r="I221" t="str">
            <v>Mass.[SP] 2002 - Demais Bloqueios  </v>
          </cell>
          <cell r="J221">
            <v>994</v>
          </cell>
        </row>
        <row r="222">
          <cell r="A222" t="str">
            <v>2002SP - ATNP 2                        10</v>
          </cell>
          <cell r="B222" t="str">
            <v>REGIONAL SÃO PAULO</v>
          </cell>
          <cell r="C222">
            <v>102</v>
          </cell>
          <cell r="D222" t="str">
            <v xml:space="preserve">SP - ATNP 2                        </v>
          </cell>
          <cell r="G222" t="str">
            <v>Fagner</v>
          </cell>
          <cell r="H222">
            <v>10</v>
          </cell>
          <cell r="I222" t="str">
            <v xml:space="preserve">Mass.[SP] 2002 - Bloqueio 714 </v>
          </cell>
          <cell r="J222">
            <v>995</v>
          </cell>
        </row>
        <row r="223">
          <cell r="A223" t="str">
            <v>2024SP - ATNP 2                        24</v>
          </cell>
          <cell r="B223" t="str">
            <v>REGIONAL SÃO PAULO</v>
          </cell>
          <cell r="C223">
            <v>102</v>
          </cell>
          <cell r="D223" t="str">
            <v xml:space="preserve">SP - ATNP 2                        </v>
          </cell>
          <cell r="G223" t="str">
            <v>Thiago</v>
          </cell>
          <cell r="H223">
            <v>24</v>
          </cell>
          <cell r="I223" t="str">
            <v xml:space="preserve">Mass.[SP] 2024 - Demais Bloqueios  </v>
          </cell>
          <cell r="J223">
            <v>1012</v>
          </cell>
        </row>
        <row r="224">
          <cell r="A224" t="str">
            <v>2024SP - ATNP 2                        22</v>
          </cell>
          <cell r="B224" t="str">
            <v>REGIONAL SÃO PAULO</v>
          </cell>
          <cell r="C224">
            <v>102</v>
          </cell>
          <cell r="D224" t="str">
            <v xml:space="preserve">SP - ATNP 2                        </v>
          </cell>
          <cell r="G224" t="str">
            <v>Thiago</v>
          </cell>
          <cell r="H224">
            <v>22</v>
          </cell>
          <cell r="I224" t="str">
            <v>Mass.[SP] 2024 - Bloqueio 714</v>
          </cell>
          <cell r="J224">
            <v>1013</v>
          </cell>
        </row>
        <row r="225">
          <cell r="A225" t="str">
            <v>2024SP - ATNP 2                        15</v>
          </cell>
          <cell r="B225" t="str">
            <v>REGIONAL SÃO PAULO</v>
          </cell>
          <cell r="C225">
            <v>102</v>
          </cell>
          <cell r="D225" t="str">
            <v xml:space="preserve">SP - ATNP 2                        </v>
          </cell>
          <cell r="G225" t="str">
            <v>Thiago</v>
          </cell>
          <cell r="H225">
            <v>15</v>
          </cell>
          <cell r="I225" t="str">
            <v>Mass.[SP] 2024 - Bloqueio 888</v>
          </cell>
          <cell r="J225">
            <v>1014</v>
          </cell>
        </row>
        <row r="226">
          <cell r="A226" t="str">
            <v>2002SP - CENTRO                        20</v>
          </cell>
          <cell r="B226" t="str">
            <v>REGIONAL SÃO PAULO</v>
          </cell>
          <cell r="C226">
            <v>106</v>
          </cell>
          <cell r="D226" t="str">
            <v xml:space="preserve">SP - CENTRO                        </v>
          </cell>
          <cell r="G226" t="str">
            <v>Fagner</v>
          </cell>
          <cell r="H226">
            <v>20</v>
          </cell>
          <cell r="I226" t="str">
            <v>Mass.[SP] 2002 - Demais Bloqueios  </v>
          </cell>
          <cell r="J226">
            <v>994</v>
          </cell>
        </row>
        <row r="227">
          <cell r="A227" t="str">
            <v>2002SP - CENTRO                        10</v>
          </cell>
          <cell r="B227" t="str">
            <v>REGIONAL SÃO PAULO</v>
          </cell>
          <cell r="C227">
            <v>106</v>
          </cell>
          <cell r="D227" t="str">
            <v xml:space="preserve">SP - CENTRO                        </v>
          </cell>
          <cell r="G227" t="str">
            <v>Fagner</v>
          </cell>
          <cell r="H227">
            <v>10</v>
          </cell>
          <cell r="I227" t="str">
            <v xml:space="preserve">Mass.[SP] 2002 - Bloqueio 714 </v>
          </cell>
          <cell r="J227">
            <v>995</v>
          </cell>
        </row>
        <row r="228">
          <cell r="A228" t="str">
            <v>2024SP - CENTRO                        24</v>
          </cell>
          <cell r="B228" t="str">
            <v>REGIONAL SÃO PAULO</v>
          </cell>
          <cell r="C228">
            <v>106</v>
          </cell>
          <cell r="D228" t="str">
            <v xml:space="preserve">SP - CENTRO                        </v>
          </cell>
          <cell r="G228" t="str">
            <v>Thiago</v>
          </cell>
          <cell r="H228">
            <v>24</v>
          </cell>
          <cell r="I228" t="str">
            <v xml:space="preserve">Mass.[SP] 2024 - Demais Bloqueios  </v>
          </cell>
          <cell r="J228">
            <v>1012</v>
          </cell>
        </row>
        <row r="229">
          <cell r="A229" t="str">
            <v>2024SP - CENTRO                        22</v>
          </cell>
          <cell r="B229" t="str">
            <v>REGIONAL SÃO PAULO</v>
          </cell>
          <cell r="C229">
            <v>106</v>
          </cell>
          <cell r="D229" t="str">
            <v xml:space="preserve">SP - CENTRO                        </v>
          </cell>
          <cell r="G229" t="str">
            <v>Thiago</v>
          </cell>
          <cell r="H229">
            <v>22</v>
          </cell>
          <cell r="I229" t="str">
            <v>Mass.[SP] 2024 - Bloqueio 714</v>
          </cell>
          <cell r="J229">
            <v>1013</v>
          </cell>
        </row>
        <row r="230">
          <cell r="A230" t="str">
            <v>2024SP - CENTRO                        15</v>
          </cell>
          <cell r="B230" t="str">
            <v>REGIONAL SÃO PAULO</v>
          </cell>
          <cell r="C230">
            <v>106</v>
          </cell>
          <cell r="D230" t="str">
            <v xml:space="preserve">SP - CENTRO                        </v>
          </cell>
          <cell r="G230" t="str">
            <v>Thiago</v>
          </cell>
          <cell r="H230">
            <v>15</v>
          </cell>
          <cell r="I230" t="str">
            <v>Mass.[SP] 2024 - Bloqueio 888</v>
          </cell>
          <cell r="J230">
            <v>1014</v>
          </cell>
        </row>
        <row r="231">
          <cell r="A231" t="str">
            <v>2002SP - CENTRO                        20</v>
          </cell>
          <cell r="B231" t="str">
            <v>REGIONAL SÃO PAULO</v>
          </cell>
          <cell r="C231">
            <v>106</v>
          </cell>
          <cell r="D231" t="str">
            <v xml:space="preserve">SP - CENTRO                        </v>
          </cell>
          <cell r="G231" t="str">
            <v>Fagner</v>
          </cell>
          <cell r="H231">
            <v>20</v>
          </cell>
          <cell r="I231" t="str">
            <v>Mass.[COR SP/RJ] 2002 -  Demais Bloqueios </v>
          </cell>
          <cell r="J231">
            <v>1002</v>
          </cell>
        </row>
        <row r="232">
          <cell r="A232" t="str">
            <v>2002SP - CENTRO                        10</v>
          </cell>
          <cell r="B232" t="str">
            <v>REGIONAL SÃO PAULO</v>
          </cell>
          <cell r="C232">
            <v>106</v>
          </cell>
          <cell r="D232" t="str">
            <v xml:space="preserve">SP - CENTRO                        </v>
          </cell>
          <cell r="G232" t="str">
            <v>Fagner</v>
          </cell>
          <cell r="H232">
            <v>10</v>
          </cell>
          <cell r="I232" t="str">
            <v>Mass.[COR SP/RJ] 2002 - Bloqueio 714</v>
          </cell>
          <cell r="J232">
            <v>1003</v>
          </cell>
        </row>
        <row r="233">
          <cell r="A233" t="str">
            <v>2024SP - CENTRO                        24</v>
          </cell>
          <cell r="B233" t="str">
            <v>REGIONAL SÃO PAULO</v>
          </cell>
          <cell r="C233">
            <v>106</v>
          </cell>
          <cell r="D233" t="str">
            <v xml:space="preserve">SP - CENTRO                        </v>
          </cell>
          <cell r="G233" t="str">
            <v>Thiago</v>
          </cell>
          <cell r="H233">
            <v>24</v>
          </cell>
          <cell r="I233" t="str">
            <v>Mass.[COR SP/RJ] 2024 - Demais Bloqueios</v>
          </cell>
          <cell r="J233">
            <v>1024</v>
          </cell>
        </row>
        <row r="234">
          <cell r="A234" t="str">
            <v>2024SP - CENTRO                        22</v>
          </cell>
          <cell r="B234" t="str">
            <v>REGIONAL SÃO PAULO</v>
          </cell>
          <cell r="C234">
            <v>106</v>
          </cell>
          <cell r="D234" t="str">
            <v xml:space="preserve">SP - CENTRO                        </v>
          </cell>
          <cell r="G234" t="str">
            <v>Thiago</v>
          </cell>
          <cell r="H234">
            <v>22</v>
          </cell>
          <cell r="I234" t="str">
            <v>Mass.[COR SP/RJ] 2024 - Bloqueio 714</v>
          </cell>
          <cell r="J234">
            <v>1025</v>
          </cell>
        </row>
        <row r="235">
          <cell r="A235" t="str">
            <v>2024SP - CENTRO                        15</v>
          </cell>
          <cell r="B235" t="str">
            <v>REGIONAL SÃO PAULO</v>
          </cell>
          <cell r="C235">
            <v>106</v>
          </cell>
          <cell r="D235" t="str">
            <v xml:space="preserve">SP - CENTRO                        </v>
          </cell>
          <cell r="G235" t="str">
            <v>Thiago</v>
          </cell>
          <cell r="H235">
            <v>15</v>
          </cell>
          <cell r="I235" t="str">
            <v>Mass.[COR SP/RJ] 2024 - Bloqueio 888</v>
          </cell>
          <cell r="J235">
            <v>1026</v>
          </cell>
        </row>
        <row r="236">
          <cell r="A236" t="str">
            <v>2002SP - MORUMBI                       20</v>
          </cell>
          <cell r="B236" t="str">
            <v>REGIONAL SÃO PAULO</v>
          </cell>
          <cell r="C236">
            <v>189</v>
          </cell>
          <cell r="D236" t="str">
            <v xml:space="preserve">SP - MORUMBI                       </v>
          </cell>
          <cell r="G236" t="str">
            <v>Fagner</v>
          </cell>
          <cell r="H236">
            <v>20</v>
          </cell>
          <cell r="I236" t="str">
            <v>Mass.[SP] 2002 - Demais Bloqueios  </v>
          </cell>
          <cell r="J236">
            <v>994</v>
          </cell>
        </row>
        <row r="237">
          <cell r="A237" t="str">
            <v>2002SP - MORUMBI                       10</v>
          </cell>
          <cell r="B237" t="str">
            <v>REGIONAL SÃO PAULO</v>
          </cell>
          <cell r="C237">
            <v>189</v>
          </cell>
          <cell r="D237" t="str">
            <v xml:space="preserve">SP - MORUMBI                       </v>
          </cell>
          <cell r="G237" t="str">
            <v>Fagner</v>
          </cell>
          <cell r="H237">
            <v>10</v>
          </cell>
          <cell r="I237" t="str">
            <v xml:space="preserve">Mass.[SP] 2002 - Bloqueio 714 </v>
          </cell>
          <cell r="J237">
            <v>995</v>
          </cell>
        </row>
        <row r="238">
          <cell r="A238" t="str">
            <v>2024SP - MORUMBI                       24</v>
          </cell>
          <cell r="B238" t="str">
            <v>REGIONAL SÃO PAULO</v>
          </cell>
          <cell r="C238">
            <v>189</v>
          </cell>
          <cell r="D238" t="str">
            <v xml:space="preserve">SP - MORUMBI                       </v>
          </cell>
          <cell r="G238" t="str">
            <v>Thiago</v>
          </cell>
          <cell r="H238">
            <v>24</v>
          </cell>
          <cell r="I238" t="str">
            <v xml:space="preserve">Mass.[SP] 2024 - Demais Bloqueios  </v>
          </cell>
          <cell r="J238">
            <v>1012</v>
          </cell>
        </row>
        <row r="239">
          <cell r="A239" t="str">
            <v>2024SP - MORUMBI                       22</v>
          </cell>
          <cell r="B239" t="str">
            <v>REGIONAL SÃO PAULO</v>
          </cell>
          <cell r="C239">
            <v>189</v>
          </cell>
          <cell r="D239" t="str">
            <v xml:space="preserve">SP - MORUMBI                       </v>
          </cell>
          <cell r="G239" t="str">
            <v>Thiago</v>
          </cell>
          <cell r="H239">
            <v>22</v>
          </cell>
          <cell r="I239" t="str">
            <v>Mass.[SP] 2024 - Bloqueio 714</v>
          </cell>
          <cell r="J239">
            <v>1013</v>
          </cell>
        </row>
        <row r="240">
          <cell r="A240" t="str">
            <v>2024SP - MORUMBI                       15</v>
          </cell>
          <cell r="B240" t="str">
            <v>REGIONAL SÃO PAULO</v>
          </cell>
          <cell r="C240">
            <v>189</v>
          </cell>
          <cell r="D240" t="str">
            <v xml:space="preserve">SP - MORUMBI                       </v>
          </cell>
          <cell r="G240" t="str">
            <v>Thiago</v>
          </cell>
          <cell r="H240">
            <v>15</v>
          </cell>
          <cell r="I240" t="str">
            <v>Mass.[SP] 2024 - Bloqueio 888</v>
          </cell>
          <cell r="J240">
            <v>1014</v>
          </cell>
        </row>
        <row r="241">
          <cell r="A241" t="str">
            <v>2002SP - PAULISTA                      20</v>
          </cell>
          <cell r="B241" t="str">
            <v>REGIONAL SÃO PAULO</v>
          </cell>
          <cell r="C241">
            <v>36</v>
          </cell>
          <cell r="D241" t="str">
            <v xml:space="preserve">SP - PAULISTA                      </v>
          </cell>
          <cell r="G241" t="str">
            <v>Fagner</v>
          </cell>
          <cell r="H241">
            <v>20</v>
          </cell>
          <cell r="I241" t="str">
            <v>Mass.[SP] 2002 - Demais Bloqueios  </v>
          </cell>
          <cell r="J241">
            <v>994</v>
          </cell>
        </row>
        <row r="242">
          <cell r="A242" t="str">
            <v>2002SP - PAULISTA                      10</v>
          </cell>
          <cell r="B242" t="str">
            <v>REGIONAL SÃO PAULO</v>
          </cell>
          <cell r="C242">
            <v>36</v>
          </cell>
          <cell r="D242" t="str">
            <v xml:space="preserve">SP - PAULISTA                      </v>
          </cell>
          <cell r="G242" t="str">
            <v>Fagner</v>
          </cell>
          <cell r="H242">
            <v>10</v>
          </cell>
          <cell r="I242" t="str">
            <v xml:space="preserve">Mass.[SP] 2002 - Bloqueio 714 </v>
          </cell>
          <cell r="J242">
            <v>995</v>
          </cell>
        </row>
        <row r="243">
          <cell r="A243" t="str">
            <v>2024SP - PAULISTA                      24</v>
          </cell>
          <cell r="B243" t="str">
            <v>REGIONAL SÃO PAULO</v>
          </cell>
          <cell r="C243">
            <v>36</v>
          </cell>
          <cell r="D243" t="str">
            <v xml:space="preserve">SP - PAULISTA                      </v>
          </cell>
          <cell r="G243" t="str">
            <v>Thiago</v>
          </cell>
          <cell r="H243">
            <v>24</v>
          </cell>
          <cell r="I243" t="str">
            <v xml:space="preserve">Mass.[SP] 2024 - Demais Bloqueios  </v>
          </cell>
          <cell r="J243">
            <v>1012</v>
          </cell>
        </row>
        <row r="244">
          <cell r="A244" t="str">
            <v>2024SP - PAULISTA                      22</v>
          </cell>
          <cell r="B244" t="str">
            <v>REGIONAL SÃO PAULO</v>
          </cell>
          <cell r="C244">
            <v>36</v>
          </cell>
          <cell r="D244" t="str">
            <v xml:space="preserve">SP - PAULISTA                      </v>
          </cell>
          <cell r="G244" t="str">
            <v>Thiago</v>
          </cell>
          <cell r="H244">
            <v>22</v>
          </cell>
          <cell r="I244" t="str">
            <v>Mass.[SP] 2024 - Bloqueio 714</v>
          </cell>
          <cell r="J244">
            <v>1013</v>
          </cell>
        </row>
        <row r="245">
          <cell r="A245" t="str">
            <v>2024SP - PAULISTA                      15</v>
          </cell>
          <cell r="B245" t="str">
            <v>REGIONAL SÃO PAULO</v>
          </cell>
          <cell r="C245">
            <v>36</v>
          </cell>
          <cell r="D245" t="str">
            <v xml:space="preserve">SP - PAULISTA                      </v>
          </cell>
          <cell r="G245" t="str">
            <v>Thiago</v>
          </cell>
          <cell r="H245">
            <v>15</v>
          </cell>
          <cell r="I245" t="str">
            <v>Mass.[SP] 2024 - Bloqueio 888</v>
          </cell>
          <cell r="J245">
            <v>1014</v>
          </cell>
        </row>
        <row r="246">
          <cell r="A246" t="str">
            <v>2002SP - TATUAPE                       20</v>
          </cell>
          <cell r="B246" t="str">
            <v>REGIONAL SÃO PAULO</v>
          </cell>
          <cell r="C246">
            <v>186</v>
          </cell>
          <cell r="D246" t="str">
            <v xml:space="preserve">SP - TATUAPE                       </v>
          </cell>
          <cell r="G246" t="str">
            <v>Fagner</v>
          </cell>
          <cell r="H246">
            <v>20</v>
          </cell>
          <cell r="I246" t="str">
            <v>Mass.[SP] 2002 - Demais Bloqueios  </v>
          </cell>
          <cell r="J246">
            <v>994</v>
          </cell>
        </row>
        <row r="247">
          <cell r="A247" t="str">
            <v>2002SP - TATUAPE                       10</v>
          </cell>
          <cell r="B247" t="str">
            <v>REGIONAL SÃO PAULO</v>
          </cell>
          <cell r="C247">
            <v>186</v>
          </cell>
          <cell r="D247" t="str">
            <v xml:space="preserve">SP - TATUAPE                       </v>
          </cell>
          <cell r="G247" t="str">
            <v>Fagner</v>
          </cell>
          <cell r="H247">
            <v>10</v>
          </cell>
          <cell r="I247" t="str">
            <v xml:space="preserve">Mass.[SP] 2002 - Bloqueio 714 </v>
          </cell>
          <cell r="J247">
            <v>995</v>
          </cell>
        </row>
        <row r="248">
          <cell r="A248" t="str">
            <v>2024SP - TATUAPE                       24</v>
          </cell>
          <cell r="B248" t="str">
            <v>REGIONAL SÃO PAULO</v>
          </cell>
          <cell r="C248">
            <v>186</v>
          </cell>
          <cell r="D248" t="str">
            <v xml:space="preserve">SP - TATUAPE                       </v>
          </cell>
          <cell r="G248" t="str">
            <v>Thiago</v>
          </cell>
          <cell r="H248">
            <v>24</v>
          </cell>
          <cell r="I248" t="str">
            <v xml:space="preserve">Mass.[SP] 2024 - Demais Bloqueios  </v>
          </cell>
          <cell r="J248">
            <v>1012</v>
          </cell>
        </row>
        <row r="249">
          <cell r="A249" t="str">
            <v>2024SP - TATUAPE                       22</v>
          </cell>
          <cell r="B249" t="str">
            <v>REGIONAL SÃO PAULO</v>
          </cell>
          <cell r="C249">
            <v>186</v>
          </cell>
          <cell r="D249" t="str">
            <v xml:space="preserve">SP - TATUAPE                       </v>
          </cell>
          <cell r="G249" t="str">
            <v>Thiago</v>
          </cell>
          <cell r="H249">
            <v>22</v>
          </cell>
          <cell r="I249" t="str">
            <v>Mass.[SP] 2024 - Bloqueio 714</v>
          </cell>
          <cell r="J249">
            <v>1013</v>
          </cell>
        </row>
        <row r="250">
          <cell r="A250" t="str">
            <v>2024SP - TATUAPE                       15</v>
          </cell>
          <cell r="B250" t="str">
            <v>REGIONAL SÃO PAULO</v>
          </cell>
          <cell r="C250">
            <v>186</v>
          </cell>
          <cell r="D250" t="str">
            <v xml:space="preserve">SP - TATUAPE                       </v>
          </cell>
          <cell r="G250" t="str">
            <v>Thiago</v>
          </cell>
          <cell r="H250">
            <v>15</v>
          </cell>
          <cell r="I250" t="str">
            <v>Mass.[SP] 2024 - Bloqueio 888</v>
          </cell>
          <cell r="J250">
            <v>1014</v>
          </cell>
        </row>
        <row r="251">
          <cell r="A251" t="str">
            <v>2002SUL - ATNP 1                       10</v>
          </cell>
          <cell r="B251" t="str">
            <v>REGIONAL SUL 02</v>
          </cell>
          <cell r="C251">
            <v>172</v>
          </cell>
          <cell r="D251" t="str">
            <v xml:space="preserve">SUL - ATNP 1                       </v>
          </cell>
          <cell r="G251" t="str">
            <v>Fagner</v>
          </cell>
          <cell r="H251">
            <v>10</v>
          </cell>
          <cell r="I251" t="str">
            <v>Mass.[Sul02] 2002 - Bloqueio 714</v>
          </cell>
          <cell r="J251">
            <v>1007</v>
          </cell>
        </row>
        <row r="252">
          <cell r="A252" t="str">
            <v>2002SUL - ATNP 1                       20</v>
          </cell>
          <cell r="B252" t="str">
            <v>REGIONAL SUL 02</v>
          </cell>
          <cell r="C252">
            <v>172</v>
          </cell>
          <cell r="D252" t="str">
            <v xml:space="preserve">SUL - ATNP 1                       </v>
          </cell>
          <cell r="G252" t="str">
            <v>Fagner</v>
          </cell>
          <cell r="H252">
            <v>20</v>
          </cell>
          <cell r="I252" t="str">
            <v>Mass.[Sul02] 2002 - Demais Bloqueios</v>
          </cell>
          <cell r="J252">
            <v>1006</v>
          </cell>
        </row>
        <row r="253">
          <cell r="A253" t="str">
            <v>2024SUL - ATNP 1                       22</v>
          </cell>
          <cell r="B253" t="str">
            <v>REGIONAL SUL 02</v>
          </cell>
          <cell r="C253">
            <v>172</v>
          </cell>
          <cell r="D253" t="str">
            <v xml:space="preserve">SUL - ATNP 1                       </v>
          </cell>
          <cell r="G253" t="str">
            <v>Antônio Marcos</v>
          </cell>
          <cell r="H253">
            <v>22</v>
          </cell>
          <cell r="I253" t="str">
            <v>Mass.[Sul02] 2024 -Bloqueio 714</v>
          </cell>
          <cell r="J253">
            <v>1031</v>
          </cell>
        </row>
        <row r="254">
          <cell r="A254" t="str">
            <v>2024SUL - ATNP 1                       24</v>
          </cell>
          <cell r="B254" t="str">
            <v>REGIONAL SUL 02</v>
          </cell>
          <cell r="C254">
            <v>172</v>
          </cell>
          <cell r="D254" t="str">
            <v xml:space="preserve">SUL - ATNP 1                       </v>
          </cell>
          <cell r="G254" t="str">
            <v>Antônio Marcos</v>
          </cell>
          <cell r="H254">
            <v>24</v>
          </cell>
          <cell r="I254" t="str">
            <v>Mass.[Sul02] 2024 - Demais Bloqueios</v>
          </cell>
          <cell r="J254">
            <v>1030</v>
          </cell>
        </row>
        <row r="255">
          <cell r="A255" t="str">
            <v>2024SUL - ATNP 1                       15</v>
          </cell>
          <cell r="B255" t="str">
            <v>REGIONAL SUL 02</v>
          </cell>
          <cell r="C255">
            <v>172</v>
          </cell>
          <cell r="D255" t="str">
            <v xml:space="preserve">SUL - ATNP 1                       </v>
          </cell>
          <cell r="G255" t="str">
            <v>Antônio Marcos</v>
          </cell>
          <cell r="H255">
            <v>15</v>
          </cell>
          <cell r="I255" t="str">
            <v>Mass.[Sul02] 2024 -Bloqueio 888</v>
          </cell>
          <cell r="J255">
            <v>1032</v>
          </cell>
        </row>
        <row r="256">
          <cell r="A256" t="str">
            <v>2002SUL - ATNP 1                       10</v>
          </cell>
          <cell r="B256" t="str">
            <v>REGIONAL SUL 02</v>
          </cell>
          <cell r="C256">
            <v>172</v>
          </cell>
          <cell r="D256" t="str">
            <v xml:space="preserve">SUL - ATNP 1                       </v>
          </cell>
          <cell r="G256" t="str">
            <v>Fagner</v>
          </cell>
          <cell r="H256">
            <v>10</v>
          </cell>
          <cell r="I256" t="str">
            <v>Mass.[Sul02] 2002 - Bloqueio 714</v>
          </cell>
          <cell r="J256">
            <v>1007</v>
          </cell>
        </row>
        <row r="257">
          <cell r="A257" t="str">
            <v>2002SUL - ATNP 1                       20</v>
          </cell>
          <cell r="B257" t="str">
            <v>REGIONAL SUL 02</v>
          </cell>
          <cell r="C257">
            <v>172</v>
          </cell>
          <cell r="D257" t="str">
            <v xml:space="preserve">SUL - ATNP 1                       </v>
          </cell>
          <cell r="G257" t="str">
            <v>Fagner</v>
          </cell>
          <cell r="H257">
            <v>20</v>
          </cell>
          <cell r="I257" t="str">
            <v>Mass.[Sul02] 2002 - Demais Bloqueios</v>
          </cell>
          <cell r="J257">
            <v>1006</v>
          </cell>
        </row>
        <row r="258">
          <cell r="A258" t="str">
            <v>2024SUL - ATNP 1                       22</v>
          </cell>
          <cell r="B258" t="str">
            <v>REGIONAL SUL 02</v>
          </cell>
          <cell r="C258">
            <v>172</v>
          </cell>
          <cell r="D258" t="str">
            <v xml:space="preserve">SUL - ATNP 1                       </v>
          </cell>
          <cell r="G258" t="str">
            <v>Antônio Marcos</v>
          </cell>
          <cell r="H258">
            <v>22</v>
          </cell>
          <cell r="I258" t="str">
            <v>Mass.[Sul02] 2024 -Bloqueio 714</v>
          </cell>
          <cell r="J258">
            <v>1031</v>
          </cell>
        </row>
        <row r="259">
          <cell r="A259" t="str">
            <v>2024SUL - ATNP 1                       24</v>
          </cell>
          <cell r="B259" t="str">
            <v>REGIONAL SUL 02</v>
          </cell>
          <cell r="C259">
            <v>172</v>
          </cell>
          <cell r="D259" t="str">
            <v xml:space="preserve">SUL - ATNP 1                       </v>
          </cell>
          <cell r="G259" t="str">
            <v>Antônio Marcos</v>
          </cell>
          <cell r="H259">
            <v>24</v>
          </cell>
          <cell r="I259" t="str">
            <v>Mass.[Sul02] 2024 - Demais Bloqueios</v>
          </cell>
          <cell r="J259">
            <v>1030</v>
          </cell>
        </row>
        <row r="260">
          <cell r="A260" t="str">
            <v>2024SUL - ATNP 1                       15</v>
          </cell>
          <cell r="B260" t="str">
            <v>REGIONAL SUL 02</v>
          </cell>
          <cell r="C260">
            <v>172</v>
          </cell>
          <cell r="D260" t="str">
            <v xml:space="preserve">SUL - ATNP 1                       </v>
          </cell>
          <cell r="G260" t="str">
            <v>Antônio Marcos</v>
          </cell>
          <cell r="H260">
            <v>15</v>
          </cell>
          <cell r="I260" t="str">
            <v>Mass.[Sul02] 2024 -Bloqueio 888</v>
          </cell>
          <cell r="J260">
            <v>1032</v>
          </cell>
        </row>
        <row r="261">
          <cell r="A261" t="str">
            <v>2002SUL - ATNP 2                       10</v>
          </cell>
          <cell r="B261" t="str">
            <v>REGIONAL SUL 02</v>
          </cell>
          <cell r="C261">
            <v>107</v>
          </cell>
          <cell r="D261" t="str">
            <v xml:space="preserve">SUL - ATNP 2                       </v>
          </cell>
          <cell r="G261" t="str">
            <v>Fagner</v>
          </cell>
          <cell r="H261">
            <v>10</v>
          </cell>
          <cell r="I261" t="str">
            <v>Mass.[Sul02] 2002 - Bloqueio 714</v>
          </cell>
          <cell r="J261">
            <v>1007</v>
          </cell>
        </row>
        <row r="262">
          <cell r="A262" t="str">
            <v>2002SUL - ATNP 2                       20</v>
          </cell>
          <cell r="B262" t="str">
            <v>REGIONAL SUL 02</v>
          </cell>
          <cell r="C262">
            <v>107</v>
          </cell>
          <cell r="D262" t="str">
            <v xml:space="preserve">SUL - ATNP 2                       </v>
          </cell>
          <cell r="G262" t="str">
            <v>Fagner</v>
          </cell>
          <cell r="H262">
            <v>20</v>
          </cell>
          <cell r="I262" t="str">
            <v>Mass.[Sul02] 2002 - Demais Bloqueios</v>
          </cell>
          <cell r="J262">
            <v>1006</v>
          </cell>
        </row>
        <row r="263">
          <cell r="A263" t="str">
            <v>2024SUL - ATNP 2                       22</v>
          </cell>
          <cell r="B263" t="str">
            <v>REGIONAL SUL 02</v>
          </cell>
          <cell r="C263">
            <v>107</v>
          </cell>
          <cell r="D263" t="str">
            <v xml:space="preserve">SUL - ATNP 2                       </v>
          </cell>
          <cell r="G263" t="str">
            <v>Antônio Marcos</v>
          </cell>
          <cell r="H263">
            <v>22</v>
          </cell>
          <cell r="I263" t="str">
            <v>Mass.[Sul02] 2024 -Bloqueio 714</v>
          </cell>
          <cell r="J263">
            <v>1031</v>
          </cell>
        </row>
        <row r="264">
          <cell r="A264" t="str">
            <v>2024SUL - ATNP 2                       24</v>
          </cell>
          <cell r="B264" t="str">
            <v>REGIONAL SUL 02</v>
          </cell>
          <cell r="C264">
            <v>107</v>
          </cell>
          <cell r="D264" t="str">
            <v xml:space="preserve">SUL - ATNP 2                       </v>
          </cell>
          <cell r="G264" t="str">
            <v>Antônio Marcos</v>
          </cell>
          <cell r="H264">
            <v>24</v>
          </cell>
          <cell r="I264" t="str">
            <v>Mass.[Sul02] 2024 - Demais Bloqueios</v>
          </cell>
          <cell r="J264">
            <v>1030</v>
          </cell>
        </row>
        <row r="265">
          <cell r="A265" t="str">
            <v>2024SUL - ATNP 2                       15</v>
          </cell>
          <cell r="B265" t="str">
            <v>REGIONAL SUL 02</v>
          </cell>
          <cell r="C265">
            <v>107</v>
          </cell>
          <cell r="D265" t="str">
            <v xml:space="preserve">SUL - ATNP 2                       </v>
          </cell>
          <cell r="G265" t="str">
            <v>Antônio Marcos</v>
          </cell>
          <cell r="H265">
            <v>15</v>
          </cell>
          <cell r="I265" t="str">
            <v>Mass.[Sul02] 2024 -Bloqueio 888</v>
          </cell>
          <cell r="J265">
            <v>1032</v>
          </cell>
        </row>
        <row r="266">
          <cell r="A266" t="str">
            <v>2002SUL - BLUMENAU                     10</v>
          </cell>
          <cell r="B266" t="str">
            <v>REGIONAL SUL 01</v>
          </cell>
          <cell r="C266">
            <v>23</v>
          </cell>
          <cell r="D266" t="str">
            <v xml:space="preserve">SUL - BLUMENAU                     </v>
          </cell>
          <cell r="G266" t="str">
            <v>Fagner</v>
          </cell>
          <cell r="H266">
            <v>10</v>
          </cell>
          <cell r="I266" t="str">
            <v>Mass.[Sul02] 2002 - Bloqueio 714</v>
          </cell>
          <cell r="J266">
            <v>1005</v>
          </cell>
        </row>
        <row r="267">
          <cell r="A267" t="str">
            <v>2002SUL - BLUMENAU                     20</v>
          </cell>
          <cell r="B267" t="str">
            <v>REGIONAL SUL 01</v>
          </cell>
          <cell r="C267">
            <v>23</v>
          </cell>
          <cell r="D267" t="str">
            <v xml:space="preserve">SUL - BLUMENAU                     </v>
          </cell>
          <cell r="G267" t="str">
            <v>Fagner</v>
          </cell>
          <cell r="H267">
            <v>20</v>
          </cell>
          <cell r="I267" t="str">
            <v>Mass.[Sul02] 2002 - Demais Bloqueios</v>
          </cell>
          <cell r="J267">
            <v>1004</v>
          </cell>
        </row>
        <row r="268">
          <cell r="A268" t="str">
            <v>2024SUL - BLUMENAU                     22</v>
          </cell>
          <cell r="B268" t="str">
            <v>REGIONAL SUL 01</v>
          </cell>
          <cell r="C268">
            <v>23</v>
          </cell>
          <cell r="D268" t="str">
            <v xml:space="preserve">SUL - BLUMENAU                     </v>
          </cell>
          <cell r="G268" t="str">
            <v>Antônio Marcos</v>
          </cell>
          <cell r="H268">
            <v>22</v>
          </cell>
          <cell r="I268" t="str">
            <v>Mass.[Sul02] 2024 -Bloqueio 714</v>
          </cell>
          <cell r="J268">
            <v>1028</v>
          </cell>
        </row>
        <row r="269">
          <cell r="A269" t="str">
            <v>2024SUL - BLUMENAU                     24</v>
          </cell>
          <cell r="B269" t="str">
            <v>REGIONAL SUL 01</v>
          </cell>
          <cell r="C269">
            <v>23</v>
          </cell>
          <cell r="D269" t="str">
            <v xml:space="preserve">SUL - BLUMENAU                     </v>
          </cell>
          <cell r="G269" t="str">
            <v>Antônio Marcos</v>
          </cell>
          <cell r="H269">
            <v>24</v>
          </cell>
          <cell r="I269" t="str">
            <v>Mass.[Sul02] 2024 - Demais Bloqueios</v>
          </cell>
          <cell r="J269">
            <v>1027</v>
          </cell>
        </row>
        <row r="270">
          <cell r="A270" t="str">
            <v>2024SUL - BLUMENAU                     15</v>
          </cell>
          <cell r="B270" t="str">
            <v>REGIONAL SUL 01</v>
          </cell>
          <cell r="C270">
            <v>23</v>
          </cell>
          <cell r="D270" t="str">
            <v xml:space="preserve">SUL - BLUMENAU                     </v>
          </cell>
          <cell r="G270" t="str">
            <v>Antônio Marcos</v>
          </cell>
          <cell r="H270">
            <v>15</v>
          </cell>
          <cell r="I270" t="str">
            <v>Mass.[Sul02] 2024 -Bloqueio 888</v>
          </cell>
          <cell r="J270">
            <v>1029</v>
          </cell>
        </row>
        <row r="271">
          <cell r="A271" t="str">
            <v>2002SUL - CASCAVEL                     10</v>
          </cell>
          <cell r="B271" t="str">
            <v>REGIONAL SUL 01</v>
          </cell>
          <cell r="C271">
            <v>230</v>
          </cell>
          <cell r="D271" t="str">
            <v xml:space="preserve">SUL - CASCAVEL                     </v>
          </cell>
          <cell r="G271" t="str">
            <v>Fagner</v>
          </cell>
          <cell r="H271">
            <v>10</v>
          </cell>
          <cell r="I271" t="str">
            <v>Mass.[Sul02] 2002 - Bloqueio 714</v>
          </cell>
          <cell r="J271">
            <v>1005</v>
          </cell>
        </row>
        <row r="272">
          <cell r="A272" t="str">
            <v>2002SUL - CASCAVEL                     20</v>
          </cell>
          <cell r="B272" t="str">
            <v>REGIONAL SUL 01</v>
          </cell>
          <cell r="C272">
            <v>230</v>
          </cell>
          <cell r="D272" t="str">
            <v xml:space="preserve">SUL - CASCAVEL                     </v>
          </cell>
          <cell r="G272" t="str">
            <v>Fagner</v>
          </cell>
          <cell r="H272">
            <v>20</v>
          </cell>
          <cell r="I272" t="str">
            <v>Mass.[Sul02] 2002 - Demais Bloqueios</v>
          </cell>
          <cell r="J272">
            <v>1004</v>
          </cell>
        </row>
        <row r="273">
          <cell r="A273" t="str">
            <v>2024SUL - CASCAVEL                     22</v>
          </cell>
          <cell r="B273" t="str">
            <v>REGIONAL SUL 01</v>
          </cell>
          <cell r="C273">
            <v>230</v>
          </cell>
          <cell r="D273" t="str">
            <v xml:space="preserve">SUL - CASCAVEL                     </v>
          </cell>
          <cell r="G273" t="str">
            <v>Antônio Marcos</v>
          </cell>
          <cell r="H273">
            <v>22</v>
          </cell>
          <cell r="I273" t="str">
            <v>Mass.[Sul02] 2024 -Bloqueio 714</v>
          </cell>
          <cell r="J273">
            <v>1028</v>
          </cell>
        </row>
        <row r="274">
          <cell r="A274" t="str">
            <v>2024SUL - CASCAVEL                     24</v>
          </cell>
          <cell r="B274" t="str">
            <v>REGIONAL SUL 01</v>
          </cell>
          <cell r="C274">
            <v>230</v>
          </cell>
          <cell r="D274" t="str">
            <v xml:space="preserve">SUL - CASCAVEL                     </v>
          </cell>
          <cell r="G274" t="str">
            <v>Antônio Marcos</v>
          </cell>
          <cell r="H274">
            <v>24</v>
          </cell>
          <cell r="I274" t="str">
            <v>Mass.[Sul02] 2024 - Demais Bloqueios</v>
          </cell>
          <cell r="J274">
            <v>1027</v>
          </cell>
        </row>
        <row r="275">
          <cell r="A275" t="str">
            <v>2024SUL - CASCAVEL                     15</v>
          </cell>
          <cell r="B275" t="str">
            <v>REGIONAL SUL 01</v>
          </cell>
          <cell r="C275">
            <v>230</v>
          </cell>
          <cell r="D275" t="str">
            <v xml:space="preserve">SUL - CASCAVEL                     </v>
          </cell>
          <cell r="G275" t="str">
            <v>Antônio Marcos</v>
          </cell>
          <cell r="H275">
            <v>15</v>
          </cell>
          <cell r="I275" t="str">
            <v>Mass.[Sul02] 2024 -Bloqueio 888</v>
          </cell>
          <cell r="J275">
            <v>1029</v>
          </cell>
        </row>
        <row r="276">
          <cell r="A276" t="str">
            <v>2002SUL - CAXIAS DO SUL                10</v>
          </cell>
          <cell r="B276" t="str">
            <v>REGIONAL SUL 02</v>
          </cell>
          <cell r="C276">
            <v>118</v>
          </cell>
          <cell r="D276" t="str">
            <v xml:space="preserve">SUL - CAXIAS DO SUL                </v>
          </cell>
          <cell r="G276" t="str">
            <v>Fagner</v>
          </cell>
          <cell r="H276">
            <v>10</v>
          </cell>
          <cell r="I276" t="str">
            <v>Mass.[Sul02] 2002 - Bloqueio 714</v>
          </cell>
          <cell r="J276">
            <v>1007</v>
          </cell>
        </row>
        <row r="277">
          <cell r="A277" t="str">
            <v>2002SUL - CAXIAS DO SUL                20</v>
          </cell>
          <cell r="B277" t="str">
            <v>REGIONAL SUL 02</v>
          </cell>
          <cell r="C277">
            <v>118</v>
          </cell>
          <cell r="D277" t="str">
            <v xml:space="preserve">SUL - CAXIAS DO SUL                </v>
          </cell>
          <cell r="G277" t="str">
            <v>Fagner</v>
          </cell>
          <cell r="H277">
            <v>20</v>
          </cell>
          <cell r="I277" t="str">
            <v>Mass.[Sul02] 2002 - Demais Bloqueios</v>
          </cell>
          <cell r="J277">
            <v>1006</v>
          </cell>
        </row>
        <row r="278">
          <cell r="A278" t="str">
            <v>2024SUL - CAXIAS DO SUL                22</v>
          </cell>
          <cell r="B278" t="str">
            <v>REGIONAL SUL 02</v>
          </cell>
          <cell r="C278">
            <v>118</v>
          </cell>
          <cell r="D278" t="str">
            <v xml:space="preserve">SUL - CAXIAS DO SUL                </v>
          </cell>
          <cell r="G278" t="str">
            <v>Antônio Marcos</v>
          </cell>
          <cell r="H278">
            <v>22</v>
          </cell>
          <cell r="I278" t="str">
            <v>Mass.[Sul02] 2024 -Bloqueio 714</v>
          </cell>
          <cell r="J278">
            <v>1031</v>
          </cell>
        </row>
        <row r="279">
          <cell r="A279" t="str">
            <v>2024SUL - CAXIAS DO SUL                24</v>
          </cell>
          <cell r="B279" t="str">
            <v>REGIONAL SUL 02</v>
          </cell>
          <cell r="C279">
            <v>118</v>
          </cell>
          <cell r="D279" t="str">
            <v xml:space="preserve">SUL - CAXIAS DO SUL                </v>
          </cell>
          <cell r="G279" t="str">
            <v>Antônio Marcos</v>
          </cell>
          <cell r="H279">
            <v>24</v>
          </cell>
          <cell r="I279" t="str">
            <v>Mass.[Sul02] 2024 - Demais Bloqueios</v>
          </cell>
          <cell r="J279">
            <v>1030</v>
          </cell>
        </row>
        <row r="280">
          <cell r="A280" t="str">
            <v>2024SUL - CAXIAS DO SUL                15</v>
          </cell>
          <cell r="B280" t="str">
            <v>REGIONAL SUL 02</v>
          </cell>
          <cell r="C280">
            <v>118</v>
          </cell>
          <cell r="D280" t="str">
            <v xml:space="preserve">SUL - CAXIAS DO SUL                </v>
          </cell>
          <cell r="G280" t="str">
            <v>Antônio Marcos</v>
          </cell>
          <cell r="H280">
            <v>15</v>
          </cell>
          <cell r="I280" t="str">
            <v>Mass.[Sul02] 2024 -Bloqueio 888</v>
          </cell>
          <cell r="J280">
            <v>1032</v>
          </cell>
        </row>
        <row r="281">
          <cell r="A281" t="str">
            <v>2002SUL - CHAPECO                      10</v>
          </cell>
          <cell r="B281" t="str">
            <v>REGIONAL SUL 01</v>
          </cell>
          <cell r="C281">
            <v>132</v>
          </cell>
          <cell r="D281" t="str">
            <v xml:space="preserve">SUL - CHAPECO                      </v>
          </cell>
          <cell r="G281" t="str">
            <v>Fagner</v>
          </cell>
          <cell r="H281">
            <v>10</v>
          </cell>
          <cell r="I281" t="str">
            <v>Mass.[Sul02] 2002 - Bloqueio 714</v>
          </cell>
          <cell r="J281">
            <v>1005</v>
          </cell>
        </row>
        <row r="282">
          <cell r="A282" t="str">
            <v>2002SUL - CHAPECO                      20</v>
          </cell>
          <cell r="B282" t="str">
            <v>REGIONAL SUL 01</v>
          </cell>
          <cell r="C282">
            <v>132</v>
          </cell>
          <cell r="D282" t="str">
            <v xml:space="preserve">SUL - CHAPECO                      </v>
          </cell>
          <cell r="G282" t="str">
            <v>Fagner</v>
          </cell>
          <cell r="H282">
            <v>20</v>
          </cell>
          <cell r="I282" t="str">
            <v>Mass.[Sul02] 2002 - Demais Bloqueios</v>
          </cell>
          <cell r="J282">
            <v>1004</v>
          </cell>
        </row>
        <row r="283">
          <cell r="A283" t="str">
            <v>2024SUL - CHAPECO                      22</v>
          </cell>
          <cell r="B283" t="str">
            <v>REGIONAL SUL 01</v>
          </cell>
          <cell r="C283">
            <v>132</v>
          </cell>
          <cell r="D283" t="str">
            <v xml:space="preserve">SUL - CHAPECO                      </v>
          </cell>
          <cell r="G283" t="str">
            <v>Antônio Marcos</v>
          </cell>
          <cell r="H283">
            <v>22</v>
          </cell>
          <cell r="I283" t="str">
            <v>Mass.[Sul02] 2024 -Bloqueio 714</v>
          </cell>
          <cell r="J283">
            <v>1028</v>
          </cell>
        </row>
        <row r="284">
          <cell r="A284" t="str">
            <v>2024SUL - CHAPECO                      24</v>
          </cell>
          <cell r="B284" t="str">
            <v>REGIONAL SUL 01</v>
          </cell>
          <cell r="C284">
            <v>132</v>
          </cell>
          <cell r="D284" t="str">
            <v xml:space="preserve">SUL - CHAPECO                      </v>
          </cell>
          <cell r="G284" t="str">
            <v>Antônio Marcos</v>
          </cell>
          <cell r="H284">
            <v>24</v>
          </cell>
          <cell r="I284" t="str">
            <v>Mass.[Sul02] 2024 - Demais Bloqueios</v>
          </cell>
          <cell r="J284">
            <v>1027</v>
          </cell>
        </row>
        <row r="285">
          <cell r="A285" t="str">
            <v>2024SUL - CHAPECO                      15</v>
          </cell>
          <cell r="B285" t="str">
            <v>REGIONAL SUL 01</v>
          </cell>
          <cell r="C285">
            <v>132</v>
          </cell>
          <cell r="D285" t="str">
            <v xml:space="preserve">SUL - CHAPECO                      </v>
          </cell>
          <cell r="G285" t="str">
            <v>Antônio Marcos</v>
          </cell>
          <cell r="H285">
            <v>15</v>
          </cell>
          <cell r="I285" t="str">
            <v>Mass.[Sul02] 2024 -Bloqueio 888</v>
          </cell>
          <cell r="J285">
            <v>1029</v>
          </cell>
        </row>
        <row r="286">
          <cell r="A286" t="str">
            <v>2002SUL - CURITIBA                     10</v>
          </cell>
          <cell r="B286" t="str">
            <v>REGIONAL SUL 02</v>
          </cell>
          <cell r="C286">
            <v>42</v>
          </cell>
          <cell r="D286" t="str">
            <v xml:space="preserve">SUL - CURITIBA                     </v>
          </cell>
          <cell r="G286" t="str">
            <v>Fagner</v>
          </cell>
          <cell r="H286">
            <v>10</v>
          </cell>
          <cell r="I286" t="str">
            <v>Mass.[Sul02] 2002 - Bloqueio 714</v>
          </cell>
          <cell r="J286">
            <v>1007</v>
          </cell>
        </row>
        <row r="287">
          <cell r="A287" t="str">
            <v>2002SUL - CURITIBA                     20</v>
          </cell>
          <cell r="B287" t="str">
            <v>REGIONAL SUL 02</v>
          </cell>
          <cell r="C287">
            <v>42</v>
          </cell>
          <cell r="D287" t="str">
            <v xml:space="preserve">SUL - CURITIBA                     </v>
          </cell>
          <cell r="G287" t="str">
            <v>Fagner</v>
          </cell>
          <cell r="H287">
            <v>20</v>
          </cell>
          <cell r="I287" t="str">
            <v>Mass.[Sul02] 2002 - Demais Bloqueios</v>
          </cell>
          <cell r="J287">
            <v>1006</v>
          </cell>
        </row>
        <row r="288">
          <cell r="A288" t="str">
            <v>2024SUL - CURITIBA                     22</v>
          </cell>
          <cell r="B288" t="str">
            <v>REGIONAL SUL 02</v>
          </cell>
          <cell r="C288">
            <v>42</v>
          </cell>
          <cell r="D288" t="str">
            <v xml:space="preserve">SUL - CURITIBA                     </v>
          </cell>
          <cell r="G288" t="str">
            <v>Antônio Marcos</v>
          </cell>
          <cell r="H288">
            <v>22</v>
          </cell>
          <cell r="I288" t="str">
            <v>Mass.[Sul02] 2024 -Bloqueio 714</v>
          </cell>
          <cell r="J288">
            <v>1031</v>
          </cell>
        </row>
        <row r="289">
          <cell r="A289" t="str">
            <v>2024SUL - CURITIBA                     24</v>
          </cell>
          <cell r="B289" t="str">
            <v>REGIONAL SUL 02</v>
          </cell>
          <cell r="C289">
            <v>42</v>
          </cell>
          <cell r="D289" t="str">
            <v xml:space="preserve">SUL - CURITIBA                     </v>
          </cell>
          <cell r="G289" t="str">
            <v>Antônio Marcos</v>
          </cell>
          <cell r="H289">
            <v>24</v>
          </cell>
          <cell r="I289" t="str">
            <v>Mass.[Sul02] 2024 - Demais Bloqueios</v>
          </cell>
          <cell r="J289">
            <v>1030</v>
          </cell>
        </row>
        <row r="290">
          <cell r="A290" t="str">
            <v>2024SUL - CURITIBA                     15</v>
          </cell>
          <cell r="B290" t="str">
            <v>REGIONAL SUL 02</v>
          </cell>
          <cell r="C290">
            <v>42</v>
          </cell>
          <cell r="D290" t="str">
            <v xml:space="preserve">SUL - CURITIBA                     </v>
          </cell>
          <cell r="G290" t="str">
            <v>Antônio Marcos</v>
          </cell>
          <cell r="H290">
            <v>15</v>
          </cell>
          <cell r="I290" t="str">
            <v>Mass.[Sul02] 2024 -Bloqueio 888</v>
          </cell>
          <cell r="J290">
            <v>1032</v>
          </cell>
        </row>
        <row r="291">
          <cell r="A291" t="str">
            <v>2002SUL - FLORIANOPOLIS                10</v>
          </cell>
          <cell r="B291" t="str">
            <v>REGIONAL SUL 01</v>
          </cell>
          <cell r="C291">
            <v>71</v>
          </cell>
          <cell r="D291" t="str">
            <v xml:space="preserve">SUL - FLORIANOPOLIS                </v>
          </cell>
          <cell r="G291" t="str">
            <v>Fagner</v>
          </cell>
          <cell r="H291">
            <v>10</v>
          </cell>
          <cell r="I291" t="str">
            <v>Mass.[Sul01] 2002 - Bloqueio 714</v>
          </cell>
          <cell r="J291">
            <v>1005</v>
          </cell>
        </row>
        <row r="292">
          <cell r="A292" t="str">
            <v>2002SUL - FLORIANOPOLIS                20</v>
          </cell>
          <cell r="B292" t="str">
            <v>REGIONAL SUL 01</v>
          </cell>
          <cell r="C292">
            <v>71</v>
          </cell>
          <cell r="D292" t="str">
            <v xml:space="preserve">SUL - FLORIANOPOLIS                </v>
          </cell>
          <cell r="G292" t="str">
            <v>Fagner</v>
          </cell>
          <cell r="H292">
            <v>20</v>
          </cell>
          <cell r="I292" t="str">
            <v>Mass.[Sul01] 2002 - Demais Bloqueios </v>
          </cell>
          <cell r="J292">
            <v>1004</v>
          </cell>
        </row>
        <row r="293">
          <cell r="A293" t="str">
            <v>2024SUL - FLORIANOPOLIS                22</v>
          </cell>
          <cell r="B293" t="str">
            <v>REGIONAL SUL 01</v>
          </cell>
          <cell r="C293">
            <v>71</v>
          </cell>
          <cell r="D293" t="str">
            <v xml:space="preserve">SUL - FLORIANOPOLIS                </v>
          </cell>
          <cell r="G293" t="str">
            <v>Antônio Marcos</v>
          </cell>
          <cell r="H293">
            <v>22</v>
          </cell>
          <cell r="I293" t="str">
            <v>Mass.[Sul01] 2024 -Bloqueio 714</v>
          </cell>
          <cell r="J293">
            <v>1028</v>
          </cell>
        </row>
        <row r="294">
          <cell r="A294" t="str">
            <v>2024SUL - FLORIANOPOLIS                24</v>
          </cell>
          <cell r="B294" t="str">
            <v>REGIONAL SUL 01</v>
          </cell>
          <cell r="C294">
            <v>71</v>
          </cell>
          <cell r="D294" t="str">
            <v xml:space="preserve">SUL - FLORIANOPOLIS                </v>
          </cell>
          <cell r="G294" t="str">
            <v>Antônio Marcos</v>
          </cell>
          <cell r="H294">
            <v>24</v>
          </cell>
          <cell r="I294" t="str">
            <v>Mass.[Sul01] 2024 - Demais Bloqueios</v>
          </cell>
          <cell r="J294">
            <v>1027</v>
          </cell>
        </row>
        <row r="295">
          <cell r="A295" t="str">
            <v>2024SUL - FLORIANOPOLIS                15</v>
          </cell>
          <cell r="B295" t="str">
            <v>REGIONAL SUL 01</v>
          </cell>
          <cell r="C295">
            <v>71</v>
          </cell>
          <cell r="D295" t="str">
            <v xml:space="preserve">SUL - FLORIANOPOLIS                </v>
          </cell>
          <cell r="G295" t="str">
            <v>Antônio Marcos</v>
          </cell>
          <cell r="H295">
            <v>15</v>
          </cell>
          <cell r="I295" t="str">
            <v>Mass.[Sul01] 2024 - Bloqueio 888</v>
          </cell>
          <cell r="J295">
            <v>1029</v>
          </cell>
        </row>
        <row r="296">
          <cell r="A296" t="str">
            <v>2002SUL - LONDRINA/MARINGA             10</v>
          </cell>
          <cell r="B296" t="str">
            <v>REGIONAL SUL 01</v>
          </cell>
          <cell r="C296">
            <v>32</v>
          </cell>
          <cell r="D296" t="str">
            <v xml:space="preserve">SUL - LONDRINA/MARINGA             </v>
          </cell>
          <cell r="G296" t="str">
            <v>Fagner</v>
          </cell>
          <cell r="H296">
            <v>10</v>
          </cell>
          <cell r="I296" t="str">
            <v>Mass.[Sul01] 2002 - Bloqueio 714</v>
          </cell>
          <cell r="J296">
            <v>1005</v>
          </cell>
        </row>
        <row r="297">
          <cell r="A297" t="str">
            <v>2002SUL - LONDRINA/MARINGA             20</v>
          </cell>
          <cell r="B297" t="str">
            <v>REGIONAL SUL 01</v>
          </cell>
          <cell r="C297">
            <v>32</v>
          </cell>
          <cell r="D297" t="str">
            <v xml:space="preserve">SUL - LONDRINA/MARINGA             </v>
          </cell>
          <cell r="G297" t="str">
            <v>Fagner</v>
          </cell>
          <cell r="H297">
            <v>20</v>
          </cell>
          <cell r="I297" t="str">
            <v>Mass.[Sul01] 2002 - Demais Bloqueios </v>
          </cell>
          <cell r="J297">
            <v>1004</v>
          </cell>
        </row>
        <row r="298">
          <cell r="A298" t="str">
            <v>2024SUL - LONDRINA/MARINGA             22</v>
          </cell>
          <cell r="B298" t="str">
            <v>REGIONAL SUL 01</v>
          </cell>
          <cell r="C298">
            <v>32</v>
          </cell>
          <cell r="D298" t="str">
            <v xml:space="preserve">SUL - LONDRINA/MARINGA             </v>
          </cell>
          <cell r="G298" t="str">
            <v>Antônio Marcos</v>
          </cell>
          <cell r="H298">
            <v>22</v>
          </cell>
          <cell r="I298" t="str">
            <v>Mass.[Sul01] 2024 -Bloqueio 714</v>
          </cell>
          <cell r="J298">
            <v>1028</v>
          </cell>
        </row>
        <row r="299">
          <cell r="A299" t="str">
            <v>2024SUL - LONDRINA/MARINGA             24</v>
          </cell>
          <cell r="B299" t="str">
            <v>REGIONAL SUL 01</v>
          </cell>
          <cell r="C299">
            <v>32</v>
          </cell>
          <cell r="D299" t="str">
            <v xml:space="preserve">SUL - LONDRINA/MARINGA             </v>
          </cell>
          <cell r="G299" t="str">
            <v>Antônio Marcos</v>
          </cell>
          <cell r="H299">
            <v>24</v>
          </cell>
          <cell r="I299" t="str">
            <v>Mass.[Sul01] 2024 - Demais Bloqueios</v>
          </cell>
          <cell r="J299">
            <v>1027</v>
          </cell>
        </row>
        <row r="300">
          <cell r="A300" t="str">
            <v>2024SUL - LONDRINA/MARINGA             15</v>
          </cell>
          <cell r="B300" t="str">
            <v>REGIONAL SUL 01</v>
          </cell>
          <cell r="C300">
            <v>32</v>
          </cell>
          <cell r="D300" t="str">
            <v xml:space="preserve">SUL - LONDRINA/MARINGA             </v>
          </cell>
          <cell r="G300" t="str">
            <v>Antônio Marcos</v>
          </cell>
          <cell r="H300">
            <v>15</v>
          </cell>
          <cell r="I300" t="str">
            <v>Mass.[Sul01] 2024 - Bloqueio 888</v>
          </cell>
          <cell r="J300">
            <v>1029</v>
          </cell>
        </row>
        <row r="301">
          <cell r="A301" t="str">
            <v>2002SUL - PORTO ALEGRE                 10</v>
          </cell>
          <cell r="B301" t="str">
            <v>REGIONAL SUL 02</v>
          </cell>
          <cell r="C301">
            <v>45</v>
          </cell>
          <cell r="D301" t="str">
            <v xml:space="preserve">SUL - PORTO ALEGRE                 </v>
          </cell>
          <cell r="G301" t="str">
            <v>Fagner</v>
          </cell>
          <cell r="H301">
            <v>10</v>
          </cell>
          <cell r="I301" t="str">
            <v>Mass.[Sul01] 2002 - Bloqueio 714</v>
          </cell>
          <cell r="J301">
            <v>1007</v>
          </cell>
        </row>
        <row r="302">
          <cell r="A302" t="str">
            <v>2002SUL - PORTO ALEGRE                 10</v>
          </cell>
          <cell r="B302" t="str">
            <v>REGIONAL SUL 02</v>
          </cell>
          <cell r="C302">
            <v>45</v>
          </cell>
          <cell r="D302" t="str">
            <v xml:space="preserve">SUL - PORTO ALEGRE                 </v>
          </cell>
          <cell r="G302" t="str">
            <v>Fagner</v>
          </cell>
          <cell r="H302">
            <v>10</v>
          </cell>
          <cell r="I302" t="str">
            <v>Mass.[Sul01] 2002 - Bloqueio 714</v>
          </cell>
          <cell r="J302">
            <v>1007</v>
          </cell>
        </row>
        <row r="303">
          <cell r="A303" t="str">
            <v>2002SUL - PORTO ALEGRE                 20</v>
          </cell>
          <cell r="B303" t="str">
            <v>REGIONAL SUL 02</v>
          </cell>
          <cell r="C303">
            <v>45</v>
          </cell>
          <cell r="D303" t="str">
            <v xml:space="preserve">SUL - PORTO ALEGRE                 </v>
          </cell>
          <cell r="G303" t="str">
            <v>Fagner</v>
          </cell>
          <cell r="H303">
            <v>20</v>
          </cell>
          <cell r="I303" t="str">
            <v>Mass.[Sul01] 2002 - Demais Bloqueios </v>
          </cell>
          <cell r="J303">
            <v>1006</v>
          </cell>
        </row>
        <row r="304">
          <cell r="A304" t="str">
            <v>2002SUL - PORTO ALEGRE                 20</v>
          </cell>
          <cell r="B304" t="str">
            <v>REGIONAL SUL 02</v>
          </cell>
          <cell r="C304">
            <v>45</v>
          </cell>
          <cell r="D304" t="str">
            <v xml:space="preserve">SUL - PORTO ALEGRE                 </v>
          </cell>
          <cell r="G304" t="str">
            <v>Fagner</v>
          </cell>
          <cell r="H304">
            <v>20</v>
          </cell>
          <cell r="I304" t="str">
            <v>Mass.[Sul01] 2002 - Demais Bloqueios </v>
          </cell>
          <cell r="J304">
            <v>1006</v>
          </cell>
        </row>
        <row r="305">
          <cell r="A305" t="str">
            <v>2024SUL - PORTO ALEGRE                 22</v>
          </cell>
          <cell r="B305" t="str">
            <v>REGIONAL SUL 02</v>
          </cell>
          <cell r="C305">
            <v>45</v>
          </cell>
          <cell r="D305" t="str">
            <v xml:space="preserve">SUL - PORTO ALEGRE                 </v>
          </cell>
          <cell r="G305" t="str">
            <v>Antônio Marcos</v>
          </cell>
          <cell r="H305">
            <v>22</v>
          </cell>
          <cell r="I305" t="str">
            <v>Mass.[Sul01] 2024 -Bloqueio 714</v>
          </cell>
          <cell r="J305">
            <v>1031</v>
          </cell>
        </row>
        <row r="306">
          <cell r="A306" t="str">
            <v>2024SUL - PORTO ALEGRE                 22</v>
          </cell>
          <cell r="B306" t="str">
            <v>REGIONAL SUL 02</v>
          </cell>
          <cell r="C306">
            <v>45</v>
          </cell>
          <cell r="D306" t="str">
            <v xml:space="preserve">SUL - PORTO ALEGRE                 </v>
          </cell>
          <cell r="G306" t="str">
            <v>Antônio Marcos</v>
          </cell>
          <cell r="H306">
            <v>22</v>
          </cell>
          <cell r="I306" t="str">
            <v>Mass.[Sul01] 2024 -Bloqueio 714</v>
          </cell>
          <cell r="J306">
            <v>1031</v>
          </cell>
        </row>
        <row r="307">
          <cell r="A307" t="str">
            <v>2024SUL - PORTO ALEGRE                 24</v>
          </cell>
          <cell r="B307" t="str">
            <v>REGIONAL SUL 02</v>
          </cell>
          <cell r="C307">
            <v>45</v>
          </cell>
          <cell r="D307" t="str">
            <v xml:space="preserve">SUL - PORTO ALEGRE                 </v>
          </cell>
          <cell r="G307" t="str">
            <v>Antônio Marcos</v>
          </cell>
          <cell r="H307">
            <v>24</v>
          </cell>
          <cell r="I307" t="str">
            <v>Mass.[Sul01] 2024 - Demais Bloqueios</v>
          </cell>
          <cell r="J307">
            <v>1030</v>
          </cell>
        </row>
        <row r="308">
          <cell r="A308" t="str">
            <v>2024SUL - PORTO ALEGRE                 24</v>
          </cell>
          <cell r="B308" t="str">
            <v>REGIONAL SUL 02</v>
          </cell>
          <cell r="C308">
            <v>45</v>
          </cell>
          <cell r="D308" t="str">
            <v xml:space="preserve">SUL - PORTO ALEGRE                 </v>
          </cell>
          <cell r="G308" t="str">
            <v>Antônio Marcos</v>
          </cell>
          <cell r="H308">
            <v>24</v>
          </cell>
          <cell r="I308" t="str">
            <v>Mass.[Sul01] 2024 - Demais Bloqueios</v>
          </cell>
          <cell r="J308">
            <v>1030</v>
          </cell>
        </row>
        <row r="309">
          <cell r="A309" t="str">
            <v>2024SUL - PORTO ALEGRE                 15</v>
          </cell>
          <cell r="B309" t="str">
            <v>REGIONAL SUL 02</v>
          </cell>
          <cell r="C309">
            <v>45</v>
          </cell>
          <cell r="D309" t="str">
            <v xml:space="preserve">SUL - PORTO ALEGRE                 </v>
          </cell>
          <cell r="G309" t="str">
            <v>Antônio Marcos</v>
          </cell>
          <cell r="H309">
            <v>15</v>
          </cell>
          <cell r="I309" t="str">
            <v>Mass.[Sul01] 2024 - Bloqueio 888</v>
          </cell>
          <cell r="J309">
            <v>1032</v>
          </cell>
        </row>
        <row r="310">
          <cell r="A310" t="str">
            <v>2024SUL - PORTO ALEGRE                 15</v>
          </cell>
          <cell r="B310" t="str">
            <v>REGIONAL SUL 02</v>
          </cell>
          <cell r="C310">
            <v>45</v>
          </cell>
          <cell r="D310" t="str">
            <v xml:space="preserve">SUL - PORTO ALEGRE                 </v>
          </cell>
          <cell r="G310" t="str">
            <v>Antônio Marcos</v>
          </cell>
          <cell r="H310">
            <v>15</v>
          </cell>
          <cell r="I310" t="str">
            <v>Mass.[Sul01] 2024 - Bloqueio 888</v>
          </cell>
          <cell r="J310">
            <v>1032</v>
          </cell>
        </row>
        <row r="311">
          <cell r="A311" t="str">
            <v>2002SUL - SANTO ANGELO                 10</v>
          </cell>
          <cell r="B311" t="str">
            <v>REGIONAL SUL 02</v>
          </cell>
          <cell r="C311">
            <v>119</v>
          </cell>
          <cell r="D311" t="str">
            <v xml:space="preserve">SUL - SANTO ANGELO                 </v>
          </cell>
          <cell r="G311" t="str">
            <v>Fagner</v>
          </cell>
          <cell r="H311">
            <v>10</v>
          </cell>
          <cell r="I311" t="str">
            <v>Mass.[Sul01] 2002 - Bloqueio 714</v>
          </cell>
          <cell r="J311">
            <v>1007</v>
          </cell>
        </row>
        <row r="312">
          <cell r="A312" t="str">
            <v>2002SUL - SANTO ANGELO                 20</v>
          </cell>
          <cell r="B312" t="str">
            <v>REGIONAL SUL 02</v>
          </cell>
          <cell r="C312">
            <v>119</v>
          </cell>
          <cell r="D312" t="str">
            <v xml:space="preserve">SUL - SANTO ANGELO                 </v>
          </cell>
          <cell r="G312" t="str">
            <v>Fagner</v>
          </cell>
          <cell r="H312">
            <v>20</v>
          </cell>
          <cell r="I312" t="str">
            <v>Mass.[Sul01] 2002 - Demais Bloqueios </v>
          </cell>
          <cell r="J312">
            <v>1006</v>
          </cell>
        </row>
        <row r="313">
          <cell r="A313" t="str">
            <v>2024SUL - SANTO ANGELO                 22</v>
          </cell>
          <cell r="B313" t="str">
            <v>REGIONAL SUL 02</v>
          </cell>
          <cell r="C313">
            <v>119</v>
          </cell>
          <cell r="D313" t="str">
            <v xml:space="preserve">SUL - SANTO ANGELO                 </v>
          </cell>
          <cell r="G313" t="str">
            <v>Antônio Marcos</v>
          </cell>
          <cell r="H313">
            <v>22</v>
          </cell>
          <cell r="I313" t="str">
            <v>Mass.[Sul01] 2024 -Bloqueio 714</v>
          </cell>
          <cell r="J313">
            <v>1031</v>
          </cell>
        </row>
        <row r="314">
          <cell r="A314" t="str">
            <v>2024SUL - SANTO ANGELO                 24</v>
          </cell>
          <cell r="B314" t="str">
            <v>REGIONAL SUL 02</v>
          </cell>
          <cell r="C314">
            <v>119</v>
          </cell>
          <cell r="D314" t="str">
            <v xml:space="preserve">SUL - SANTO ANGELO                 </v>
          </cell>
          <cell r="G314" t="str">
            <v>Antônio Marcos</v>
          </cell>
          <cell r="H314">
            <v>24</v>
          </cell>
          <cell r="I314" t="str">
            <v>Mass.[Sul01] 2024 - Demais Bloqueios</v>
          </cell>
          <cell r="J314">
            <v>1030</v>
          </cell>
        </row>
        <row r="315">
          <cell r="A315" t="str">
            <v>2024SUL - SANTO ANGELO                 15</v>
          </cell>
          <cell r="B315" t="str">
            <v>REGIONAL SUL 02</v>
          </cell>
          <cell r="C315">
            <v>119</v>
          </cell>
          <cell r="D315" t="str">
            <v xml:space="preserve">SUL - SANTO ANGELO                 </v>
          </cell>
          <cell r="G315" t="str">
            <v>Antônio Marcos</v>
          </cell>
          <cell r="H315">
            <v>15</v>
          </cell>
          <cell r="I315" t="str">
            <v>Mass.[Sul01] 2024 - Bloqueio 888</v>
          </cell>
          <cell r="J315">
            <v>1032</v>
          </cell>
        </row>
        <row r="316">
          <cell r="A316" t="str">
            <v>2024RUN-OFF - CO/MG                    24</v>
          </cell>
          <cell r="B316" t="str">
            <v>REGIONAL CO/MG</v>
          </cell>
          <cell r="C316">
            <v>193</v>
          </cell>
          <cell r="D316" t="str">
            <v xml:space="preserve">RUN-OFF - CO/MG                    </v>
          </cell>
          <cell r="G316" t="str">
            <v>Adriana</v>
          </cell>
          <cell r="H316">
            <v>24</v>
          </cell>
          <cell r="I316" t="str">
            <v xml:space="preserve">Mass.[MG/GO] 2024 - Demais Bloqueios </v>
          </cell>
          <cell r="J316">
            <v>1015</v>
          </cell>
        </row>
        <row r="317">
          <cell r="A317" t="str">
            <v>2024RUN-OFF - CO/MG                    22</v>
          </cell>
          <cell r="B317" t="str">
            <v>REGIONAL CO/MG</v>
          </cell>
          <cell r="C317">
            <v>193</v>
          </cell>
          <cell r="D317" t="str">
            <v xml:space="preserve">RUN-OFF - CO/MG                    </v>
          </cell>
          <cell r="G317" t="str">
            <v>Adriana</v>
          </cell>
          <cell r="H317">
            <v>22</v>
          </cell>
          <cell r="I317" t="str">
            <v>Mass.[MG/GO] 2024 - Bloqueio 714</v>
          </cell>
          <cell r="J317">
            <v>1016</v>
          </cell>
        </row>
        <row r="318">
          <cell r="A318" t="str">
            <v>2024RUN-OFF - CO/MG                    15</v>
          </cell>
          <cell r="B318" t="str">
            <v>REGIONAL CO/MG</v>
          </cell>
          <cell r="C318">
            <v>193</v>
          </cell>
          <cell r="D318" t="str">
            <v xml:space="preserve">RUN-OFF - CO/MG                    </v>
          </cell>
          <cell r="E318"/>
          <cell r="G318" t="str">
            <v>Adriana</v>
          </cell>
          <cell r="H318">
            <v>15</v>
          </cell>
          <cell r="I318" t="str">
            <v>Mass.[MG/GO] 2024 - Bloqueio 888</v>
          </cell>
          <cell r="J318">
            <v>1017</v>
          </cell>
        </row>
        <row r="319">
          <cell r="A319" t="str">
            <v>2002RUN-OFF - CO/MG                    20</v>
          </cell>
          <cell r="B319" t="str">
            <v>REGIONAL CO/MG</v>
          </cell>
          <cell r="C319">
            <v>193</v>
          </cell>
          <cell r="D319" t="str">
            <v xml:space="preserve">RUN-OFF - CO/MG                    </v>
          </cell>
          <cell r="G319" t="str">
            <v>Jusçara</v>
          </cell>
          <cell r="H319">
            <v>20</v>
          </cell>
          <cell r="I319" t="str">
            <v>Mass.[MG/GO] 2002 - Demais Bloqueios  </v>
          </cell>
          <cell r="J319">
            <v>996</v>
          </cell>
        </row>
        <row r="320">
          <cell r="A320" t="str">
            <v>2002RUN-OFF - CO/MG                    10</v>
          </cell>
          <cell r="B320" t="str">
            <v>REGIONAL CO/MG</v>
          </cell>
          <cell r="C320">
            <v>193</v>
          </cell>
          <cell r="D320" t="str">
            <v xml:space="preserve">RUN-OFF - CO/MG                    </v>
          </cell>
          <cell r="G320" t="str">
            <v>Jusçara</v>
          </cell>
          <cell r="H320">
            <v>10</v>
          </cell>
          <cell r="I320" t="str">
            <v>Mass.[MG/GO] 2002 - Bloqueio 714  </v>
          </cell>
          <cell r="J320">
            <v>997</v>
          </cell>
        </row>
        <row r="321">
          <cell r="A321" t="str">
            <v>2002RUN-OFF - N/NE                     20</v>
          </cell>
          <cell r="B321" t="str">
            <v>REGIONAL N/NE</v>
          </cell>
          <cell r="C321">
            <v>194</v>
          </cell>
          <cell r="D321" t="str">
            <v xml:space="preserve">RUN-OFF - N/NE                     </v>
          </cell>
          <cell r="G321" t="str">
            <v>Jusçara</v>
          </cell>
          <cell r="H321">
            <v>20</v>
          </cell>
          <cell r="I321" t="str">
            <v>Mass.[N/NE] 2002 - Demais Bloqueios </v>
          </cell>
          <cell r="J321">
            <v>998</v>
          </cell>
        </row>
        <row r="322">
          <cell r="A322" t="str">
            <v>2002RUN-OFF - N/NE                     10</v>
          </cell>
          <cell r="B322" t="str">
            <v>REGIONAL N/NE</v>
          </cell>
          <cell r="C322">
            <v>194</v>
          </cell>
          <cell r="D322" t="str">
            <v xml:space="preserve">RUN-OFF - N/NE                     </v>
          </cell>
          <cell r="G322" t="str">
            <v>Jusçara</v>
          </cell>
          <cell r="H322">
            <v>10</v>
          </cell>
          <cell r="I322" t="str">
            <v>Mass.[N/NE] 2002 - Bloqueio 714</v>
          </cell>
          <cell r="J322">
            <v>999</v>
          </cell>
        </row>
        <row r="323">
          <cell r="A323" t="str">
            <v>2024RUN-OFF - N/NE                     24</v>
          </cell>
          <cell r="B323" t="str">
            <v>REGIONAL N/NE</v>
          </cell>
          <cell r="C323">
            <v>194</v>
          </cell>
          <cell r="D323" t="str">
            <v xml:space="preserve">RUN-OFF - N/NE                     </v>
          </cell>
          <cell r="G323" t="str">
            <v>Jusçara</v>
          </cell>
          <cell r="H323">
            <v>24</v>
          </cell>
          <cell r="I323" t="str">
            <v>Mass.[N/NE] 2024 - Demais Bloqueios</v>
          </cell>
          <cell r="J323">
            <v>1018</v>
          </cell>
        </row>
        <row r="324">
          <cell r="A324" t="str">
            <v>2024RUN-OFF - N/NE                     22</v>
          </cell>
          <cell r="B324" t="str">
            <v>REGIONAL N/NE</v>
          </cell>
          <cell r="C324">
            <v>194</v>
          </cell>
          <cell r="D324" t="str">
            <v xml:space="preserve">RUN-OFF - N/NE                     </v>
          </cell>
          <cell r="G324" t="str">
            <v>Jusçara</v>
          </cell>
          <cell r="H324">
            <v>22</v>
          </cell>
          <cell r="I324" t="str">
            <v>Mass.[N/NE] 2024 - Bloqueio 714</v>
          </cell>
          <cell r="J324">
            <v>1019</v>
          </cell>
        </row>
        <row r="325">
          <cell r="A325" t="str">
            <v>2024RUN-OFF - N/NE                     15</v>
          </cell>
          <cell r="B325" t="str">
            <v>REGIONAL N/NE</v>
          </cell>
          <cell r="C325">
            <v>194</v>
          </cell>
          <cell r="D325" t="str">
            <v xml:space="preserve">RUN-OFF - N/NE                     </v>
          </cell>
          <cell r="G325" t="str">
            <v>Jusçara</v>
          </cell>
          <cell r="H325">
            <v>15</v>
          </cell>
          <cell r="I325" t="str">
            <v>Mass.[N/NE] 2024 - Bloqueio 888</v>
          </cell>
          <cell r="J325">
            <v>1020</v>
          </cell>
        </row>
        <row r="326">
          <cell r="A326" t="str">
            <v>2024RUN-OFF - RJ/ES                    15</v>
          </cell>
          <cell r="B326" t="str">
            <v>REGIONAL RJ/ES</v>
          </cell>
          <cell r="C326">
            <v>192</v>
          </cell>
          <cell r="D326" t="str">
            <v xml:space="preserve">RUN-OFF - RJ/ES                    </v>
          </cell>
          <cell r="G326" t="str">
            <v>Adriana</v>
          </cell>
          <cell r="H326">
            <v>15</v>
          </cell>
          <cell r="I326" t="str">
            <v>Mass.[ES/RJ] 2024 -Bloqueio 888</v>
          </cell>
          <cell r="J326">
            <v>1038</v>
          </cell>
        </row>
        <row r="327">
          <cell r="A327" t="str">
            <v>2002RUN-OFF - SP INTERIOR              10</v>
          </cell>
          <cell r="B327" t="str">
            <v>REGIONAL SP INTERIOR</v>
          </cell>
          <cell r="C327">
            <v>191</v>
          </cell>
          <cell r="D327" t="str">
            <v xml:space="preserve">RUN-OFF - SP INTERIOR              </v>
          </cell>
          <cell r="G327" t="str">
            <v>Fagner</v>
          </cell>
          <cell r="H327">
            <v>10</v>
          </cell>
          <cell r="I327" t="str">
            <v>Mass.[INT. SP] 2002 - Bloqueio 714</v>
          </cell>
          <cell r="J327">
            <v>1001</v>
          </cell>
        </row>
        <row r="328">
          <cell r="A328" t="str">
            <v>2002RUN-OFF - SP INTERIOR              20</v>
          </cell>
          <cell r="B328" t="str">
            <v>REGIONAL SP INTERIOR</v>
          </cell>
          <cell r="C328">
            <v>191</v>
          </cell>
          <cell r="D328" t="str">
            <v xml:space="preserve">RUN-OFF - SP INTERIOR              </v>
          </cell>
          <cell r="G328" t="str">
            <v>Fagner</v>
          </cell>
          <cell r="H328">
            <v>20</v>
          </cell>
          <cell r="I328" t="str">
            <v>Mass.[INT. SP] 2002 - Demais Bloqueios </v>
          </cell>
          <cell r="J328">
            <v>1000</v>
          </cell>
        </row>
        <row r="329">
          <cell r="A329" t="str">
            <v>2024RUN-OFF - SP INTERIOR              22</v>
          </cell>
          <cell r="B329" t="str">
            <v>REGIONAL SP INTERIOR</v>
          </cell>
          <cell r="C329">
            <v>191</v>
          </cell>
          <cell r="D329" t="str">
            <v xml:space="preserve">RUN-OFF - SP INTERIOR              </v>
          </cell>
          <cell r="G329" t="str">
            <v>Thiago</v>
          </cell>
          <cell r="H329">
            <v>22</v>
          </cell>
          <cell r="I329" t="str">
            <v>Mass.[INT. SP] 2024 - Bloqueio 714</v>
          </cell>
          <cell r="J329">
            <v>1022</v>
          </cell>
        </row>
        <row r="330">
          <cell r="A330" t="str">
            <v>2024RUN-OFF - SP INTERIOR              24</v>
          </cell>
          <cell r="B330" t="str">
            <v>REGIONAL SP INTERIOR</v>
          </cell>
          <cell r="C330">
            <v>191</v>
          </cell>
          <cell r="D330" t="str">
            <v xml:space="preserve">RUN-OFF - SP INTERIOR              </v>
          </cell>
          <cell r="G330" t="str">
            <v>Thiago</v>
          </cell>
          <cell r="H330">
            <v>24</v>
          </cell>
          <cell r="I330" t="str">
            <v>Mass.[INT. SP] 2024 - Demais Bloqueios</v>
          </cell>
          <cell r="J330">
            <v>1021</v>
          </cell>
        </row>
        <row r="331">
          <cell r="A331" t="str">
            <v>2024RUN-OFF - SP INTERIOR              15</v>
          </cell>
          <cell r="B331" t="str">
            <v>REGIONAL SP INTERIOR</v>
          </cell>
          <cell r="C331">
            <v>191</v>
          </cell>
          <cell r="D331" t="str">
            <v xml:space="preserve">RUN-OFF - SP INTERIOR              </v>
          </cell>
          <cell r="G331" t="str">
            <v>Thiago</v>
          </cell>
          <cell r="H331">
            <v>15</v>
          </cell>
          <cell r="I331" t="str">
            <v>Mass.[INT. SP] 2024 - Bloqueio 888</v>
          </cell>
          <cell r="J331">
            <v>1023</v>
          </cell>
        </row>
        <row r="332">
          <cell r="A332" t="str">
            <v>2002CORPORATE                          20</v>
          </cell>
          <cell r="B332" t="str">
            <v>REGIONAL CORPORATE E PARCERIAS</v>
          </cell>
          <cell r="C332">
            <v>171</v>
          </cell>
          <cell r="D332" t="str">
            <v xml:space="preserve">CORPORATE                          </v>
          </cell>
          <cell r="G332" t="str">
            <v>Fagner</v>
          </cell>
          <cell r="H332">
            <v>20</v>
          </cell>
          <cell r="I332" t="str">
            <v>Mass.[COR SP/RJ] 2002 -  Demais Bloqueios </v>
          </cell>
          <cell r="J332">
            <v>1002</v>
          </cell>
        </row>
        <row r="333">
          <cell r="A333" t="str">
            <v>2002CORPORATE                          10</v>
          </cell>
          <cell r="B333" t="str">
            <v>REGIONAL CORPORATE E PARCERIAS</v>
          </cell>
          <cell r="C333">
            <v>171</v>
          </cell>
          <cell r="D333" t="str">
            <v xml:space="preserve">CORPORATE                          </v>
          </cell>
          <cell r="G333" t="str">
            <v>Fagner</v>
          </cell>
          <cell r="H333">
            <v>10</v>
          </cell>
          <cell r="I333" t="str">
            <v>Mass.[COR SP/RJ] 2002 - Bloqueio 714</v>
          </cell>
          <cell r="J333">
            <v>1003</v>
          </cell>
        </row>
        <row r="334">
          <cell r="A334" t="str">
            <v>2024CORPORATE                          24</v>
          </cell>
          <cell r="B334" t="str">
            <v>REGIONAL CORPORATE E PARCERIAS</v>
          </cell>
          <cell r="C334">
            <v>171</v>
          </cell>
          <cell r="D334" t="str">
            <v xml:space="preserve">CORPORATE                          </v>
          </cell>
          <cell r="G334" t="str">
            <v>Patrícia</v>
          </cell>
          <cell r="H334">
            <v>24</v>
          </cell>
          <cell r="I334" t="str">
            <v>Mass.[COR SP/RJ] 2024 - Demais Bloqueios</v>
          </cell>
          <cell r="J334">
            <v>1024</v>
          </cell>
        </row>
        <row r="335">
          <cell r="A335" t="str">
            <v>2024CORPORATE                          22</v>
          </cell>
          <cell r="B335" t="str">
            <v>REGIONAL CORPORATE E PARCERIAS</v>
          </cell>
          <cell r="C335">
            <v>171</v>
          </cell>
          <cell r="D335" t="str">
            <v xml:space="preserve">CORPORATE                          </v>
          </cell>
          <cell r="G335" t="str">
            <v>Patrícia</v>
          </cell>
          <cell r="H335">
            <v>22</v>
          </cell>
          <cell r="I335" t="str">
            <v>Mass.[COR SP/RJ] 2024 - Bloqueio 714</v>
          </cell>
          <cell r="J335">
            <v>1025</v>
          </cell>
        </row>
        <row r="336">
          <cell r="A336" t="str">
            <v>2024CORPORATE                          15</v>
          </cell>
          <cell r="B336" t="str">
            <v>REGIONAL CORPORATE E PARCERIAS</v>
          </cell>
          <cell r="C336">
            <v>171</v>
          </cell>
          <cell r="D336" t="str">
            <v xml:space="preserve">CORPORATE                          </v>
          </cell>
          <cell r="G336" t="str">
            <v>Patrícia</v>
          </cell>
          <cell r="H336">
            <v>15</v>
          </cell>
          <cell r="I336" t="str">
            <v>Mass.[COR SP/RJ] 2024 - Bloqueio 888</v>
          </cell>
          <cell r="J336">
            <v>1026</v>
          </cell>
        </row>
        <row r="337">
          <cell r="A337" t="str">
            <v>2002RUN-OFF - SAO PAULO                10</v>
          </cell>
          <cell r="B337" t="str">
            <v>REGIONAL SÃO PAULO</v>
          </cell>
          <cell r="C337">
            <v>184</v>
          </cell>
          <cell r="D337" t="str">
            <v xml:space="preserve">RUN-OFF - SAO PAULO                </v>
          </cell>
          <cell r="G337" t="str">
            <v>Fagner</v>
          </cell>
          <cell r="H337">
            <v>10</v>
          </cell>
          <cell r="I337" t="str">
            <v>Mass.[INT. SP] 2002 - Bloqueio 714</v>
          </cell>
          <cell r="J337">
            <v>1001</v>
          </cell>
        </row>
        <row r="338">
          <cell r="A338" t="str">
            <v>2002RUN-OFF - SAO PAULO                20</v>
          </cell>
          <cell r="B338" t="str">
            <v>REGIONAL SÃO PAULO</v>
          </cell>
          <cell r="C338">
            <v>184</v>
          </cell>
          <cell r="D338" t="str">
            <v xml:space="preserve">RUN-OFF - SAO PAULO                </v>
          </cell>
          <cell r="G338" t="str">
            <v>Fagner</v>
          </cell>
          <cell r="H338">
            <v>20</v>
          </cell>
          <cell r="I338" t="str">
            <v>Mass.[INT. SP] 2002 - Demais Bloqueios </v>
          </cell>
          <cell r="J338">
            <v>1000</v>
          </cell>
        </row>
        <row r="339">
          <cell r="A339" t="str">
            <v>2024RUN-OFF - SAO PAULO                22</v>
          </cell>
          <cell r="B339" t="str">
            <v>REGIONAL SÃO PAULO</v>
          </cell>
          <cell r="C339">
            <v>184</v>
          </cell>
          <cell r="D339" t="str">
            <v xml:space="preserve">RUN-OFF - SAO PAULO                </v>
          </cell>
          <cell r="G339" t="str">
            <v>Thiago</v>
          </cell>
          <cell r="H339">
            <v>22</v>
          </cell>
          <cell r="I339" t="str">
            <v>Mass.[INT. SP] 2024 - Bloqueio 714</v>
          </cell>
          <cell r="J339">
            <v>1022</v>
          </cell>
        </row>
        <row r="340">
          <cell r="A340" t="str">
            <v>2024RUN-OFF - SAO PAULO                24</v>
          </cell>
          <cell r="B340" t="str">
            <v>REGIONAL SÃO PAULO</v>
          </cell>
          <cell r="C340">
            <v>184</v>
          </cell>
          <cell r="D340" t="str">
            <v xml:space="preserve">RUN-OFF - SAO PAULO                </v>
          </cell>
          <cell r="G340" t="str">
            <v>Thiago</v>
          </cell>
          <cell r="H340">
            <v>24</v>
          </cell>
          <cell r="I340" t="str">
            <v>Mass.[INT. SP] 2024 - Demais Bloqueios</v>
          </cell>
          <cell r="J340">
            <v>1021</v>
          </cell>
        </row>
        <row r="341">
          <cell r="A341" t="str">
            <v>2024RUN-OFF - SAO PAULO                15</v>
          </cell>
          <cell r="B341" t="str">
            <v>REGIONAL SÃO PAULO</v>
          </cell>
          <cell r="C341">
            <v>184</v>
          </cell>
          <cell r="D341" t="str">
            <v xml:space="preserve">RUN-OFF - SAO PAULO                </v>
          </cell>
          <cell r="G341" t="str">
            <v>Thiago</v>
          </cell>
          <cell r="H341">
            <v>15</v>
          </cell>
          <cell r="I341" t="str">
            <v>Mass.[INT. SP] 2024 - Bloqueio 888</v>
          </cell>
          <cell r="J341">
            <v>1023</v>
          </cell>
        </row>
        <row r="342">
          <cell r="A342" t="str">
            <v>2024PARCERIAS SUL                      24</v>
          </cell>
          <cell r="B342" t="str">
            <v>REGIONAL CORPORATE E PARCERIAS</v>
          </cell>
          <cell r="C342">
            <v>315</v>
          </cell>
          <cell r="D342" t="str">
            <v xml:space="preserve">PARCERIAS SUL                      </v>
          </cell>
          <cell r="G342" t="str">
            <v>Patrícia</v>
          </cell>
          <cell r="H342">
            <v>24</v>
          </cell>
          <cell r="I342" t="str">
            <v>Mass.[PARC] 2024 - Demais Bloqueios</v>
          </cell>
          <cell r="J342">
            <v>1033</v>
          </cell>
        </row>
        <row r="343">
          <cell r="A343" t="str">
            <v>2024PARCERIAS SUL                      22</v>
          </cell>
          <cell r="B343" t="str">
            <v>REGIONAL CORPORATE E PARCERIAS</v>
          </cell>
          <cell r="C343">
            <v>315</v>
          </cell>
          <cell r="D343" t="str">
            <v xml:space="preserve">PARCERIAS SUL                      </v>
          </cell>
          <cell r="G343" t="str">
            <v>Patrícia</v>
          </cell>
          <cell r="H343">
            <v>22</v>
          </cell>
          <cell r="I343" t="str">
            <v>Mass.[PARC] 2024 -Bloqueio 714</v>
          </cell>
          <cell r="J343">
            <v>1034</v>
          </cell>
        </row>
        <row r="344">
          <cell r="A344" t="str">
            <v>2024PARCERIAS SUL                      15</v>
          </cell>
          <cell r="B344" t="str">
            <v>REGIONAL CORPORATE E PARCERIAS</v>
          </cell>
          <cell r="C344">
            <v>315</v>
          </cell>
          <cell r="D344" t="str">
            <v xml:space="preserve">PARCERIAS SUL                      </v>
          </cell>
          <cell r="G344" t="str">
            <v>Patrícia</v>
          </cell>
          <cell r="H344">
            <v>15</v>
          </cell>
          <cell r="I344" t="str">
            <v>Mass.[PARC] 2024 -Bloqueio 888</v>
          </cell>
          <cell r="J344">
            <v>1035</v>
          </cell>
        </row>
        <row r="345">
          <cell r="A345" t="str">
            <v>2002PARCERIAS SUL                      20</v>
          </cell>
          <cell r="B345" t="str">
            <v>REGIONAL CORPORATE E PARCERIAS</v>
          </cell>
          <cell r="C345">
            <v>315</v>
          </cell>
          <cell r="D345" t="str">
            <v xml:space="preserve">PARCERIAS SUL                      </v>
          </cell>
          <cell r="G345" t="str">
            <v>Fagner</v>
          </cell>
          <cell r="H345">
            <v>20</v>
          </cell>
          <cell r="I345" t="str">
            <v>Mass.[PARC] 2002 - Demais Bloqueios</v>
          </cell>
          <cell r="J345">
            <v>1008</v>
          </cell>
        </row>
        <row r="346">
          <cell r="A346" t="str">
            <v>2002PARCERIAS SUL                      10</v>
          </cell>
          <cell r="B346" t="str">
            <v>REGIONAL CORPORATE E PARCERIAS</v>
          </cell>
          <cell r="C346">
            <v>315</v>
          </cell>
          <cell r="D346" t="str">
            <v xml:space="preserve">PARCERIAS SUL                      </v>
          </cell>
          <cell r="G346" t="str">
            <v>Fagner</v>
          </cell>
          <cell r="H346">
            <v>10</v>
          </cell>
          <cell r="I346" t="str">
            <v>Mass.[PARC] 2002 - Bloqueio 714</v>
          </cell>
          <cell r="J346">
            <v>1009</v>
          </cell>
        </row>
        <row r="347">
          <cell r="A347" t="str">
            <v>2024CONCESSIONARIAS                    24</v>
          </cell>
          <cell r="B347" t="str">
            <v>REGIONAL PARCERIAS</v>
          </cell>
          <cell r="C347">
            <v>212</v>
          </cell>
          <cell r="D347" t="str">
            <v xml:space="preserve">CONCESSIONARIAS                    </v>
          </cell>
          <cell r="G347" t="str">
            <v>Patrícia</v>
          </cell>
          <cell r="H347">
            <v>24</v>
          </cell>
          <cell r="I347" t="str">
            <v>Mass.[PARC] 2024 - Demais Bloqueios</v>
          </cell>
          <cell r="J347">
            <v>1033</v>
          </cell>
        </row>
        <row r="348">
          <cell r="A348" t="str">
            <v>2024CONCESSIONARIAS                    22</v>
          </cell>
          <cell r="B348" t="str">
            <v>REGIONAL PARCERIAS</v>
          </cell>
          <cell r="C348">
            <v>212</v>
          </cell>
          <cell r="D348" t="str">
            <v xml:space="preserve">CONCESSIONARIAS                    </v>
          </cell>
          <cell r="G348" t="str">
            <v>Patrícia</v>
          </cell>
          <cell r="H348">
            <v>22</v>
          </cell>
          <cell r="I348" t="str">
            <v>Mass.[PARC] 2024 -Bloqueio 714</v>
          </cell>
          <cell r="J348">
            <v>1034</v>
          </cell>
        </row>
        <row r="349">
          <cell r="A349" t="str">
            <v>2024CONCESSIONARIAS                    15</v>
          </cell>
          <cell r="B349" t="str">
            <v>REGIONAL PARCERIAS</v>
          </cell>
          <cell r="C349">
            <v>212</v>
          </cell>
          <cell r="D349" t="str">
            <v xml:space="preserve">CONCESSIONARIAS                    </v>
          </cell>
          <cell r="G349" t="str">
            <v>Patrícia</v>
          </cell>
          <cell r="H349">
            <v>15</v>
          </cell>
          <cell r="I349" t="str">
            <v>Mass.[PARC] 2024 -Bloqueio 888</v>
          </cell>
          <cell r="J349">
            <v>1035</v>
          </cell>
        </row>
        <row r="350">
          <cell r="A350" t="str">
            <v>2002CONCESSIONARIAS                    20</v>
          </cell>
          <cell r="B350" t="str">
            <v>REGIONAL PARCERIAS</v>
          </cell>
          <cell r="C350">
            <v>212</v>
          </cell>
          <cell r="D350" t="str">
            <v xml:space="preserve">CONCESSIONARIAS                    </v>
          </cell>
          <cell r="G350" t="str">
            <v>Fagner</v>
          </cell>
          <cell r="H350">
            <v>20</v>
          </cell>
          <cell r="I350" t="str">
            <v>Mass.[PARC] 2002 - Demais Bloqueios</v>
          </cell>
          <cell r="J350">
            <v>1008</v>
          </cell>
        </row>
        <row r="351">
          <cell r="A351" t="str">
            <v>2002CONCESSIONARIAS                    10</v>
          </cell>
          <cell r="B351" t="str">
            <v>REGIONAL PARCERIAS</v>
          </cell>
          <cell r="C351">
            <v>212</v>
          </cell>
          <cell r="D351" t="str">
            <v xml:space="preserve">CONCESSIONARIAS                    </v>
          </cell>
          <cell r="G351" t="str">
            <v>Fagner</v>
          </cell>
          <cell r="H351">
            <v>10</v>
          </cell>
          <cell r="I351" t="str">
            <v>Mass.[PARC] 2002 - Bloqueio 714</v>
          </cell>
          <cell r="J351">
            <v>1009</v>
          </cell>
        </row>
        <row r="352">
          <cell r="A352" t="str">
            <v>2002INT - ATNP 2                       10</v>
          </cell>
          <cell r="B352" t="str">
            <v>REGIONAL SP INTERIOR</v>
          </cell>
          <cell r="C352">
            <v>70</v>
          </cell>
          <cell r="D352" t="str">
            <v xml:space="preserve">INT - ATNP 2                       </v>
          </cell>
          <cell r="E352" t="str">
            <v>1G</v>
          </cell>
          <cell r="F352" t="str">
            <v>RODRIGO CASTANHEIRA HALADA</v>
          </cell>
          <cell r="G352" t="str">
            <v>Fagner</v>
          </cell>
          <cell r="H352">
            <v>10</v>
          </cell>
          <cell r="I352" t="str">
            <v>Mass.[INT. SP] 2002 - Bloqueio 714</v>
          </cell>
          <cell r="J352">
            <v>1001</v>
          </cell>
        </row>
        <row r="353">
          <cell r="A353" t="str">
            <v>2002INT - ATNP 2                       20</v>
          </cell>
          <cell r="B353" t="str">
            <v>REGIONAL SP INTERIOR</v>
          </cell>
          <cell r="C353">
            <v>70</v>
          </cell>
          <cell r="D353" t="str">
            <v xml:space="preserve">INT - ATNP 2                       </v>
          </cell>
          <cell r="E353" t="str">
            <v>1J</v>
          </cell>
          <cell r="F353" t="str">
            <v>CARLOS ALBERTO MACEDO</v>
          </cell>
          <cell r="G353" t="str">
            <v>Fagner</v>
          </cell>
          <cell r="H353">
            <v>20</v>
          </cell>
          <cell r="I353" t="str">
            <v>Mass.[INT. SP] 2002 - Demais Bloqueios </v>
          </cell>
          <cell r="J353">
            <v>1000</v>
          </cell>
        </row>
        <row r="354">
          <cell r="A354" t="str">
            <v>2024INT - ATNP 2                       22</v>
          </cell>
          <cell r="B354" t="str">
            <v>REGIONAL SP INTERIOR</v>
          </cell>
          <cell r="C354">
            <v>70</v>
          </cell>
          <cell r="D354" t="str">
            <v xml:space="preserve">INT - ATNP 2                       </v>
          </cell>
          <cell r="E354" t="str">
            <v>4X</v>
          </cell>
          <cell r="F354" t="str">
            <v>ILLYRIA DE GODOY XAVIER</v>
          </cell>
          <cell r="G354" t="str">
            <v>Thiago</v>
          </cell>
          <cell r="H354">
            <v>22</v>
          </cell>
          <cell r="I354" t="str">
            <v>Mass.[INT. SP] 2024 - Bloqueio 714</v>
          </cell>
          <cell r="J354">
            <v>1022</v>
          </cell>
        </row>
        <row r="355">
          <cell r="A355" t="str">
            <v>2024INT - ATNP 2                       24</v>
          </cell>
          <cell r="B355" t="str">
            <v>REGIONAL SP INTERIOR</v>
          </cell>
          <cell r="C355">
            <v>70</v>
          </cell>
          <cell r="D355" t="str">
            <v xml:space="preserve">INT - ATNP 2                       </v>
          </cell>
          <cell r="E355" t="str">
            <v>3Q</v>
          </cell>
          <cell r="F355" t="str">
            <v>GISELE GARCIA</v>
          </cell>
          <cell r="G355" t="str">
            <v>Thiago</v>
          </cell>
          <cell r="H355">
            <v>24</v>
          </cell>
          <cell r="I355" t="str">
            <v>Mass.[INT. SP] 2024 - Demais Bloqueios</v>
          </cell>
          <cell r="J355">
            <v>1021</v>
          </cell>
        </row>
        <row r="356">
          <cell r="A356" t="str">
            <v>2024INT - ATNP 2                       15</v>
          </cell>
          <cell r="B356" t="str">
            <v>REGIONAL SP INTERIOR</v>
          </cell>
          <cell r="C356">
            <v>70</v>
          </cell>
          <cell r="D356" t="str">
            <v xml:space="preserve">INT - ATNP 2                       </v>
          </cell>
          <cell r="E356" t="str">
            <v>3U</v>
          </cell>
          <cell r="F356" t="str">
            <v>MARCELO AMATUZZI N DAS NEVES</v>
          </cell>
          <cell r="G356" t="str">
            <v>Thiago</v>
          </cell>
          <cell r="H356">
            <v>15</v>
          </cell>
          <cell r="I356" t="str">
            <v>Mass.[INT. SP] 2024 - Bloqueio 888</v>
          </cell>
          <cell r="J356">
            <v>1023</v>
          </cell>
        </row>
        <row r="357">
          <cell r="A357" t="str">
            <v>2002RJ - INTERIOR                      20</v>
          </cell>
          <cell r="B357" t="str">
            <v>REGIONAL RJ/ES</v>
          </cell>
          <cell r="C357">
            <v>148</v>
          </cell>
          <cell r="D357" t="str">
            <v xml:space="preserve">RJ - INTERIOR                      </v>
          </cell>
          <cell r="E357"/>
          <cell r="F357"/>
          <cell r="G357" t="str">
            <v>Jusçara</v>
          </cell>
          <cell r="H357">
            <v>20</v>
          </cell>
          <cell r="I357" t="str">
            <v>Mass.[ES/RJ] 2002 - Demais Bloqueios</v>
          </cell>
          <cell r="J357">
            <v>1010</v>
          </cell>
        </row>
        <row r="358">
          <cell r="A358" t="str">
            <v>2002RJ - INTERIOR                      10</v>
          </cell>
          <cell r="B358" t="str">
            <v>REGIONAL RJ/ES</v>
          </cell>
          <cell r="C358">
            <v>148</v>
          </cell>
          <cell r="D358" t="str">
            <v xml:space="preserve">RJ - INTERIOR                      </v>
          </cell>
          <cell r="E358"/>
          <cell r="F358"/>
          <cell r="G358" t="str">
            <v>Jusçara</v>
          </cell>
          <cell r="H358">
            <v>10</v>
          </cell>
          <cell r="I358" t="str">
            <v>Mass.[ES/RJ] 2002 - Bloqueio 714</v>
          </cell>
          <cell r="J358">
            <v>1011</v>
          </cell>
        </row>
        <row r="359">
          <cell r="A359" t="str">
            <v>2024RJ - INTERIOR                      24</v>
          </cell>
          <cell r="B359" t="str">
            <v>REGIONAL RJ/ES</v>
          </cell>
          <cell r="C359">
            <v>148</v>
          </cell>
          <cell r="D359" t="str">
            <v xml:space="preserve">RJ - INTERIOR                      </v>
          </cell>
          <cell r="E359"/>
          <cell r="F359"/>
          <cell r="G359" t="str">
            <v>Adriana</v>
          </cell>
          <cell r="H359">
            <v>24</v>
          </cell>
          <cell r="I359" t="str">
            <v>Mass.[ES/RJ] 2024 - Demais Bloqueios</v>
          </cell>
          <cell r="J359">
            <v>1036</v>
          </cell>
        </row>
        <row r="360">
          <cell r="A360" t="str">
            <v>2024RJ - INTERIOR                      22</v>
          </cell>
          <cell r="B360" t="str">
            <v>REGIONAL RJ/ES</v>
          </cell>
          <cell r="C360">
            <v>148</v>
          </cell>
          <cell r="D360" t="str">
            <v xml:space="preserve">RJ - INTERIOR                      </v>
          </cell>
          <cell r="E360"/>
          <cell r="F360"/>
          <cell r="G360" t="str">
            <v>Adriana</v>
          </cell>
          <cell r="H360">
            <v>22</v>
          </cell>
          <cell r="I360" t="str">
            <v>Mass.[ES/RJ] 2024 -Bloqueio 714</v>
          </cell>
          <cell r="J360">
            <v>1037</v>
          </cell>
        </row>
        <row r="361">
          <cell r="A361" t="str">
            <v>2002RUN-OFF - RJ/ES                    20</v>
          </cell>
          <cell r="B361" t="str">
            <v>REGIONAL RJ/ES</v>
          </cell>
          <cell r="C361">
            <v>21</v>
          </cell>
          <cell r="D361" t="str">
            <v xml:space="preserve">RUN-OFF - RJ/ES                    </v>
          </cell>
          <cell r="G361" t="str">
            <v>Jusçara</v>
          </cell>
          <cell r="H361">
            <v>20</v>
          </cell>
          <cell r="I361" t="str">
            <v>Mass.[ES/RJ] 2002 - Demais Bloqueios</v>
          </cell>
          <cell r="J361">
            <v>1010</v>
          </cell>
        </row>
        <row r="362">
          <cell r="A362" t="str">
            <v>2002RUN-OFF - RJ/ES                    10</v>
          </cell>
          <cell r="B362" t="str">
            <v>REGIONAL RJ/ES</v>
          </cell>
          <cell r="C362">
            <v>21</v>
          </cell>
          <cell r="D362" t="str">
            <v xml:space="preserve">RUN-OFF - RJ/ES                    </v>
          </cell>
          <cell r="G362" t="str">
            <v>Jusçara</v>
          </cell>
          <cell r="H362">
            <v>10</v>
          </cell>
          <cell r="I362" t="str">
            <v>Mass.[ES/RJ] 2002 - Bloqueio 714</v>
          </cell>
          <cell r="J362">
            <v>1011</v>
          </cell>
        </row>
        <row r="363">
          <cell r="A363" t="str">
            <v>2024RUN-OFF - RJ/ES                    24</v>
          </cell>
          <cell r="B363" t="str">
            <v>REGIONAL RJ/ES</v>
          </cell>
          <cell r="C363">
            <v>21</v>
          </cell>
          <cell r="D363" t="str">
            <v xml:space="preserve">RUN-OFF - RJ/ES                    </v>
          </cell>
          <cell r="G363" t="str">
            <v>Adriana</v>
          </cell>
          <cell r="H363">
            <v>24</v>
          </cell>
          <cell r="I363" t="str">
            <v>Mass.[ES/RJ] 2024 - Demais Bloqueios</v>
          </cell>
          <cell r="J363">
            <v>1036</v>
          </cell>
        </row>
        <row r="364">
          <cell r="A364" t="str">
            <v>2024RUN-OFF - RJ/ES                    22</v>
          </cell>
          <cell r="B364" t="str">
            <v>REGIONAL RJ/ES</v>
          </cell>
          <cell r="C364">
            <v>21</v>
          </cell>
          <cell r="D364" t="str">
            <v xml:space="preserve">RUN-OFF - RJ/ES                    </v>
          </cell>
          <cell r="G364" t="str">
            <v>Adriana</v>
          </cell>
          <cell r="H364">
            <v>22</v>
          </cell>
          <cell r="I364" t="str">
            <v>Mass.[ES/RJ] 2024 -Bloqueio 714</v>
          </cell>
          <cell r="J364">
            <v>1037</v>
          </cell>
        </row>
        <row r="365">
          <cell r="A365" t="str">
            <v>2024RUN-OFF - RJ/ES                    15</v>
          </cell>
          <cell r="B365" t="str">
            <v>REGIONAL RJ/ES</v>
          </cell>
          <cell r="C365">
            <v>21</v>
          </cell>
          <cell r="D365" t="str">
            <v xml:space="preserve">RUN-OFF - RJ/ES                    </v>
          </cell>
          <cell r="G365" t="str">
            <v>Adriana</v>
          </cell>
          <cell r="H365">
            <v>15</v>
          </cell>
          <cell r="I365" t="str">
            <v>Mass.[ES/RJ] 2024 -Bloqueio 888</v>
          </cell>
          <cell r="J365">
            <v>1038</v>
          </cell>
        </row>
        <row r="366">
          <cell r="A366" t="str">
            <v>2002RJ - NITEROI/ASSESSORIAS           20</v>
          </cell>
          <cell r="B366" t="str">
            <v>REGIONAL RJ/ES</v>
          </cell>
          <cell r="C366">
            <v>148</v>
          </cell>
          <cell r="D366" t="str">
            <v xml:space="preserve">RJ - NITEROI/ASSESSORIAS           </v>
          </cell>
          <cell r="G366" t="str">
            <v>Jusçara</v>
          </cell>
          <cell r="H366">
            <v>20</v>
          </cell>
          <cell r="I366" t="str">
            <v>Mass.[ES/RJ] 2002 - Demais Bloqueios</v>
          </cell>
          <cell r="J366">
            <v>1010</v>
          </cell>
        </row>
        <row r="367">
          <cell r="A367" t="str">
            <v>2002RJ - NITEROI/ASSESSORIAS           10</v>
          </cell>
          <cell r="B367" t="str">
            <v>REGIONAL RJ/ES</v>
          </cell>
          <cell r="C367">
            <v>148</v>
          </cell>
          <cell r="D367" t="str">
            <v xml:space="preserve">RJ - NITEROI/ASSESSORIAS           </v>
          </cell>
          <cell r="G367" t="str">
            <v>Jusçara</v>
          </cell>
          <cell r="H367">
            <v>10</v>
          </cell>
          <cell r="I367" t="str">
            <v>Mass.[ES/RJ] 2002 - Bloqueio 714</v>
          </cell>
          <cell r="J367">
            <v>1011</v>
          </cell>
        </row>
        <row r="368">
          <cell r="A368" t="str">
            <v>2024RJ - NITEROI/ASSESSORIAS           24</v>
          </cell>
          <cell r="B368" t="str">
            <v>REGIONAL RJ/ES</v>
          </cell>
          <cell r="C368">
            <v>148</v>
          </cell>
          <cell r="D368" t="str">
            <v xml:space="preserve">RJ - NITEROI/ASSESSORIAS           </v>
          </cell>
          <cell r="G368" t="str">
            <v>Adriana</v>
          </cell>
          <cell r="H368">
            <v>24</v>
          </cell>
          <cell r="I368" t="str">
            <v>Mass.[ES/RJ] 2024 - Demais Bloqueios</v>
          </cell>
          <cell r="J368">
            <v>1036</v>
          </cell>
        </row>
        <row r="369">
          <cell r="A369" t="str">
            <v>2024RJ - NITEROI/ASSESSORIAS           22</v>
          </cell>
          <cell r="B369" t="str">
            <v>REGIONAL RJ/ES</v>
          </cell>
          <cell r="C369">
            <v>148</v>
          </cell>
          <cell r="D369" t="str">
            <v xml:space="preserve">RJ - NITEROI/ASSESSORIAS           </v>
          </cell>
          <cell r="G369" t="str">
            <v>Adriana</v>
          </cell>
          <cell r="H369">
            <v>22</v>
          </cell>
          <cell r="I369" t="str">
            <v>Mass.[ES/RJ] 2024 -Bloqueio 714</v>
          </cell>
          <cell r="J369">
            <v>1037</v>
          </cell>
        </row>
        <row r="370">
          <cell r="A370" t="str">
            <v>2024RJ - NITEROI/ASSESSORIAS           15</v>
          </cell>
          <cell r="B370" t="str">
            <v>REGIONAL RJ/ES</v>
          </cell>
          <cell r="C370">
            <v>148</v>
          </cell>
          <cell r="D370" t="str">
            <v xml:space="preserve">RJ - NITEROI/ASSESSORIAS           </v>
          </cell>
          <cell r="G370" t="str">
            <v>Adriana</v>
          </cell>
          <cell r="H370">
            <v>15</v>
          </cell>
          <cell r="I370" t="str">
            <v>Mass.[ES/RJ] 2024 -Bloqueio 888</v>
          </cell>
          <cell r="J370">
            <v>1038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autoPageBreaks="0"/>
  </sheetPr>
  <dimension ref="A1:N351"/>
  <sheetViews>
    <sheetView tabSelected="1" zoomScale="78" zoomScaleNormal="78" workbookViewId="0">
      <pane ySplit="1" topLeftCell="A203" activePane="bottomLeft" state="frozen"/>
      <selection pane="bottomLeft"/>
    </sheetView>
  </sheetViews>
  <sheetFormatPr defaultRowHeight="14.5" x14ac:dyDescent="0.35"/>
  <cols>
    <col min="1" max="1" width="13.7265625" bestFit="1" customWidth="1" collapsed="1"/>
    <col min="2" max="2" width="13.7265625" customWidth="1" collapsed="1"/>
    <col min="3" max="3" width="6.26953125" style="18" customWidth="1" collapsed="1"/>
    <col min="4" max="4" width="23.26953125" customWidth="1" collapsed="1"/>
    <col min="5" max="5" width="22" customWidth="1" collapsed="1"/>
    <col min="6" max="6" width="22.81640625" customWidth="1" collapsed="1"/>
    <col min="7" max="7" width="10.26953125" bestFit="1" customWidth="1" collapsed="1"/>
    <col min="8" max="8" width="9.54296875" customWidth="1"/>
    <col min="9" max="9" width="35.453125" style="2" customWidth="1"/>
    <col min="10" max="10" width="9.81640625" customWidth="1" collapsed="1"/>
    <col min="11" max="11" width="15.81640625" customWidth="1" collapsed="1"/>
    <col min="12" max="12" width="9.1796875" customWidth="1"/>
    <col min="13" max="13" width="24.81640625" customWidth="1" collapsed="1"/>
    <col min="14" max="14" width="9.1796875" customWidth="1"/>
  </cols>
  <sheetData>
    <row r="1" spans="1:14" x14ac:dyDescent="0.35">
      <c r="A1" s="1" t="s">
        <v>191</v>
      </c>
      <c r="B1" s="1" t="s">
        <v>192</v>
      </c>
      <c r="C1" s="17" t="s">
        <v>193</v>
      </c>
      <c r="D1" s="1" t="s">
        <v>194</v>
      </c>
      <c r="E1" s="1" t="s">
        <v>195</v>
      </c>
      <c r="F1" s="1" t="s">
        <v>196</v>
      </c>
      <c r="G1" s="1" t="s">
        <v>197</v>
      </c>
      <c r="H1" s="1" t="s">
        <v>4</v>
      </c>
      <c r="I1" s="20"/>
      <c r="J1" s="1" t="s">
        <v>3</v>
      </c>
      <c r="K1" s="1" t="s">
        <v>0</v>
      </c>
      <c r="L1" s="1" t="s">
        <v>1</v>
      </c>
      <c r="M1" s="3" t="s">
        <v>2</v>
      </c>
      <c r="N1" s="1" t="s">
        <v>50</v>
      </c>
    </row>
    <row r="2" spans="1:14" x14ac:dyDescent="0.35">
      <c r="A2">
        <v>888199805</v>
      </c>
      <c r="B2">
        <v>0</v>
      </c>
      <c r="C2" s="18">
        <v>2024</v>
      </c>
      <c r="F2" t="s">
        <v>198</v>
      </c>
      <c r="G2">
        <v>888</v>
      </c>
      <c r="H2">
        <f>VLOOKUP(N2,[1]REGRA!$C$2:$D$15,2,FALSE)</f>
        <v>15</v>
      </c>
      <c r="I2" t="str">
        <f>C2&amp;F2&amp;H2</f>
        <v>2024RJ - INTERIOR/NITEROI              15</v>
      </c>
      <c r="J2" t="e">
        <f>VLOOKUP(I2,'[2]BASE DE DADOS'!$A:$J,10,FALSE)</f>
        <v>#N/A</v>
      </c>
      <c r="K2" s="2"/>
      <c r="L2" s="2"/>
      <c r="N2" t="str">
        <f>G2&amp;C2</f>
        <v>8882024</v>
      </c>
    </row>
    <row r="3" spans="1:14" ht="14" customHeight="1" x14ac:dyDescent="0.35">
      <c r="A3">
        <v>132046724</v>
      </c>
      <c r="B3">
        <v>0</v>
      </c>
      <c r="C3" s="18">
        <v>2024</v>
      </c>
      <c r="F3" t="s">
        <v>181</v>
      </c>
      <c r="G3">
        <v>714</v>
      </c>
      <c r="H3">
        <f>VLOOKUP(N3,[1]REGRA!$C$2:$D$15,2,FALSE)</f>
        <v>22</v>
      </c>
      <c r="I3" t="str">
        <f>C3&amp;F3&amp;H3</f>
        <v>2024CO - GOIAS                         22</v>
      </c>
      <c r="J3">
        <f>VLOOKUP(I3,'[2]BASE DE DADOS'!$A:$J,10,FALSE)</f>
        <v>1016</v>
      </c>
      <c r="K3" s="2"/>
      <c r="L3" s="2"/>
      <c r="N3" t="str">
        <f>G3&amp;C3</f>
        <v>7142024</v>
      </c>
    </row>
    <row r="4" spans="1:14" x14ac:dyDescent="0.35">
      <c r="A4">
        <v>132047452</v>
      </c>
      <c r="B4">
        <v>0</v>
      </c>
      <c r="C4" s="18">
        <v>2024</v>
      </c>
      <c r="F4" t="s">
        <v>176</v>
      </c>
      <c r="G4">
        <v>714</v>
      </c>
      <c r="H4">
        <f>VLOOKUP(N4,[1]REGRA!$C$2:$D$15,2,FALSE)</f>
        <v>22</v>
      </c>
      <c r="I4" t="str">
        <f>C4&amp;F4&amp;H4</f>
        <v>2024RJ - RIO                           22</v>
      </c>
      <c r="J4">
        <f>VLOOKUP(I4,'[2]BASE DE DADOS'!$A:$J,10,FALSE)</f>
        <v>1037</v>
      </c>
      <c r="K4" s="2"/>
      <c r="L4" s="2"/>
      <c r="N4" t="str">
        <f>G4&amp;C4</f>
        <v>7142024</v>
      </c>
    </row>
    <row r="5" spans="1:14" x14ac:dyDescent="0.35">
      <c r="A5">
        <v>132175496</v>
      </c>
      <c r="B5">
        <v>0</v>
      </c>
      <c r="C5" s="18">
        <v>2024</v>
      </c>
      <c r="F5" t="s">
        <v>198</v>
      </c>
      <c r="G5">
        <v>714</v>
      </c>
      <c r="H5">
        <f>VLOOKUP(N5,[1]REGRA!$C$2:$D$15,2,FALSE)</f>
        <v>22</v>
      </c>
      <c r="I5" t="str">
        <f>C5&amp;F5&amp;H5</f>
        <v>2024RJ - INTERIOR/NITEROI              22</v>
      </c>
      <c r="J5" t="e">
        <f>VLOOKUP(I5,'[2]BASE DE DADOS'!$A:$J,10,FALSE)</f>
        <v>#N/A</v>
      </c>
      <c r="K5" s="2"/>
      <c r="L5" s="2"/>
      <c r="N5" t="str">
        <f>G5&amp;C5</f>
        <v>7142024</v>
      </c>
    </row>
    <row r="6" spans="1:14" x14ac:dyDescent="0.35">
      <c r="A6">
        <v>132199416</v>
      </c>
      <c r="B6">
        <v>0</v>
      </c>
      <c r="C6" s="18">
        <v>2024</v>
      </c>
      <c r="F6" t="s">
        <v>178</v>
      </c>
      <c r="G6">
        <v>714</v>
      </c>
      <c r="H6">
        <f>VLOOKUP(N6,[1]REGRA!$C$2:$D$15,2,FALSE)</f>
        <v>22</v>
      </c>
      <c r="I6" t="str">
        <f>C6&amp;F6&amp;H6</f>
        <v>2024MG - TRIANGULO MINEIRO             22</v>
      </c>
      <c r="J6">
        <f>VLOOKUP(I6,'[2]BASE DE DADOS'!$A:$J,10,FALSE)</f>
        <v>1016</v>
      </c>
      <c r="K6" s="2"/>
      <c r="L6" s="2"/>
      <c r="N6" t="str">
        <f>G6&amp;C6</f>
        <v>7142024</v>
      </c>
    </row>
    <row r="7" spans="1:14" x14ac:dyDescent="0.35">
      <c r="A7">
        <v>132141851</v>
      </c>
      <c r="B7">
        <v>0</v>
      </c>
      <c r="C7" s="18">
        <v>2024</v>
      </c>
      <c r="F7" t="s">
        <v>142</v>
      </c>
      <c r="G7">
        <v>1701</v>
      </c>
      <c r="H7">
        <f>VLOOKUP(N7,[1]REGRA!$C$2:$D$15,2,FALSE)</f>
        <v>24</v>
      </c>
      <c r="I7" t="str">
        <f>C7&amp;F7&amp;H7</f>
        <v>2024SUL - PORTO ALEGRE                 24</v>
      </c>
      <c r="J7">
        <f>VLOOKUP(I7,'[2]BASE DE DADOS'!$A:$J,10,FALSE)</f>
        <v>1030</v>
      </c>
      <c r="K7" s="2"/>
      <c r="L7" s="2"/>
      <c r="N7" t="str">
        <f>G7&amp;C7</f>
        <v>17012024</v>
      </c>
    </row>
    <row r="8" spans="1:14" x14ac:dyDescent="0.35">
      <c r="A8">
        <v>132130813</v>
      </c>
      <c r="B8">
        <v>0</v>
      </c>
      <c r="C8" s="18">
        <v>2024</v>
      </c>
      <c r="F8" t="s">
        <v>51</v>
      </c>
      <c r="G8">
        <v>1701</v>
      </c>
      <c r="H8">
        <f>VLOOKUP(N8,[1]REGRA!$C$2:$D$15,2,FALSE)</f>
        <v>24</v>
      </c>
      <c r="I8" t="str">
        <f>C8&amp;F8&amp;H8</f>
        <v>2024PARCERIAS CO/MG/NE                 24</v>
      </c>
      <c r="J8">
        <f>VLOOKUP(I8,'[2]BASE DE DADOS'!$A:$J,10,FALSE)</f>
        <v>1033</v>
      </c>
      <c r="K8" s="2"/>
      <c r="L8" s="2"/>
      <c r="N8" t="str">
        <f>G8&amp;C8</f>
        <v>17012024</v>
      </c>
    </row>
    <row r="9" spans="1:14" x14ac:dyDescent="0.35">
      <c r="A9">
        <v>132138819</v>
      </c>
      <c r="B9">
        <v>0</v>
      </c>
      <c r="C9" s="18">
        <v>2024</v>
      </c>
      <c r="F9" t="s">
        <v>181</v>
      </c>
      <c r="G9">
        <v>1701</v>
      </c>
      <c r="H9">
        <f>VLOOKUP(N9,[1]REGRA!$C$2:$D$15,2,FALSE)</f>
        <v>24</v>
      </c>
      <c r="I9" t="str">
        <f>C9&amp;F9&amp;H9</f>
        <v>2024CO - GOIAS                         24</v>
      </c>
      <c r="J9">
        <f>VLOOKUP(I9,'[2]BASE DE DADOS'!$A:$J,10,FALSE)</f>
        <v>1015</v>
      </c>
      <c r="K9" s="2"/>
      <c r="L9" s="2"/>
      <c r="N9" t="str">
        <f>G9&amp;C9</f>
        <v>17012024</v>
      </c>
    </row>
    <row r="10" spans="1:14" x14ac:dyDescent="0.35">
      <c r="A10">
        <v>132141158</v>
      </c>
      <c r="B10">
        <v>0</v>
      </c>
      <c r="C10" s="18">
        <v>2024</v>
      </c>
      <c r="F10" t="s">
        <v>137</v>
      </c>
      <c r="G10">
        <v>1701</v>
      </c>
      <c r="H10">
        <f>VLOOKUP(N10,[1]REGRA!$C$2:$D$15,2,FALSE)</f>
        <v>24</v>
      </c>
      <c r="I10" t="str">
        <f>C10&amp;F10&amp;H10</f>
        <v>2024CO - CUIABA                        24</v>
      </c>
      <c r="J10">
        <f>VLOOKUP(I10,'[2]BASE DE DADOS'!$A:$J,10,FALSE)</f>
        <v>1015</v>
      </c>
      <c r="K10" s="2"/>
      <c r="L10" s="2"/>
      <c r="N10" t="str">
        <f>G10&amp;C10</f>
        <v>17012024</v>
      </c>
    </row>
    <row r="11" spans="1:14" x14ac:dyDescent="0.35">
      <c r="A11">
        <v>132137452</v>
      </c>
      <c r="B11">
        <v>0</v>
      </c>
      <c r="C11" s="18">
        <v>2024</v>
      </c>
      <c r="F11" t="s">
        <v>199</v>
      </c>
      <c r="G11">
        <v>1701</v>
      </c>
      <c r="H11">
        <f>VLOOKUP(N11,[1]REGRA!$C$2:$D$15,2,FALSE)</f>
        <v>24</v>
      </c>
      <c r="I11" t="str">
        <f>C11&amp;F11&amp;H11</f>
        <v>2024NE - FORTALEZA/ASSESSORIA          24</v>
      </c>
      <c r="J11">
        <f>VLOOKUP(I11,'[2]BASE DE DADOS'!$A:$J,10,FALSE)</f>
        <v>1018</v>
      </c>
      <c r="K11" s="2"/>
      <c r="L11" s="2"/>
      <c r="N11" t="str">
        <f>G11&amp;C11</f>
        <v>17012024</v>
      </c>
    </row>
    <row r="12" spans="1:14" x14ac:dyDescent="0.35">
      <c r="A12">
        <v>132051028</v>
      </c>
      <c r="B12">
        <v>0</v>
      </c>
      <c r="C12" s="18">
        <v>2024</v>
      </c>
      <c r="F12" t="s">
        <v>141</v>
      </c>
      <c r="G12">
        <v>1701</v>
      </c>
      <c r="H12">
        <f>VLOOKUP(N12,[1]REGRA!$C$2:$D$15,2,FALSE)</f>
        <v>24</v>
      </c>
      <c r="I12" t="str">
        <f>C12&amp;F12&amp;H12</f>
        <v>2024SUL - CURITIBA                     24</v>
      </c>
      <c r="J12">
        <f>VLOOKUP(I12,'[2]BASE DE DADOS'!$A:$J,10,FALSE)</f>
        <v>1030</v>
      </c>
      <c r="K12" s="2"/>
      <c r="L12" s="2"/>
      <c r="N12" t="str">
        <f>G12&amp;C12</f>
        <v>17012024</v>
      </c>
    </row>
    <row r="13" spans="1:14" x14ac:dyDescent="0.35">
      <c r="A13">
        <v>132060831</v>
      </c>
      <c r="B13">
        <v>0</v>
      </c>
      <c r="C13" s="18">
        <v>2024</v>
      </c>
      <c r="F13" t="s">
        <v>200</v>
      </c>
      <c r="G13">
        <v>1701</v>
      </c>
      <c r="H13">
        <f>VLOOKUP(N13,[1]REGRA!$C$2:$D$15,2,FALSE)</f>
        <v>24</v>
      </c>
      <c r="I13" t="str">
        <f>C13&amp;F13&amp;H13</f>
        <v>2024MG Ì BELO HORIZONTE                24</v>
      </c>
      <c r="J13">
        <f>VLOOKUP(I13,'[2]BASE DE DADOS'!$A:$J,10,FALSE)</f>
        <v>1015</v>
      </c>
      <c r="K13" s="2"/>
      <c r="L13" s="2"/>
      <c r="N13" t="str">
        <f>G13&amp;C13</f>
        <v>17012024</v>
      </c>
    </row>
    <row r="14" spans="1:14" x14ac:dyDescent="0.35">
      <c r="A14">
        <v>132061050</v>
      </c>
      <c r="B14">
        <v>0</v>
      </c>
      <c r="C14" s="18">
        <v>2024</v>
      </c>
      <c r="F14" t="s">
        <v>85</v>
      </c>
      <c r="G14">
        <v>1701</v>
      </c>
      <c r="H14">
        <f>VLOOKUP(N14,[1]REGRA!$C$2:$D$15,2,FALSE)</f>
        <v>24</v>
      </c>
      <c r="I14" t="str">
        <f>C14&amp;F14&amp;H14</f>
        <v>2024RJ - BARRA                         24</v>
      </c>
      <c r="J14">
        <f>VLOOKUP(I14,'[2]BASE DE DADOS'!$A:$J,10,FALSE)</f>
        <v>1036</v>
      </c>
      <c r="K14" s="2"/>
      <c r="L14" s="2"/>
      <c r="N14" t="str">
        <f>G14&amp;C14</f>
        <v>17012024</v>
      </c>
    </row>
    <row r="15" spans="1:14" x14ac:dyDescent="0.35">
      <c r="A15">
        <v>132072716</v>
      </c>
      <c r="B15">
        <v>0</v>
      </c>
      <c r="C15" s="18">
        <v>2024</v>
      </c>
      <c r="F15" t="s">
        <v>84</v>
      </c>
      <c r="G15">
        <v>1701</v>
      </c>
      <c r="H15">
        <f>VLOOKUP(N15,[1]REGRA!$C$2:$D$15,2,FALSE)</f>
        <v>24</v>
      </c>
      <c r="I15" t="str">
        <f>C15&amp;F15&amp;H15</f>
        <v>2024RJ - ASSESSORIAS                   24</v>
      </c>
      <c r="J15">
        <f>VLOOKUP(I15,'[2]BASE DE DADOS'!$A:$J,10,FALSE)</f>
        <v>1036</v>
      </c>
      <c r="K15" s="2"/>
      <c r="L15" s="2"/>
      <c r="N15" t="str">
        <f>G15&amp;C15</f>
        <v>17012024</v>
      </c>
    </row>
    <row r="16" spans="1:14" x14ac:dyDescent="0.35">
      <c r="A16">
        <v>132110955</v>
      </c>
      <c r="B16">
        <v>0</v>
      </c>
      <c r="C16" s="18">
        <v>2024</v>
      </c>
      <c r="F16" t="s">
        <v>141</v>
      </c>
      <c r="G16">
        <v>1701</v>
      </c>
      <c r="H16">
        <f>VLOOKUP(N16,[1]REGRA!$C$2:$D$15,2,FALSE)</f>
        <v>24</v>
      </c>
      <c r="I16" t="str">
        <f>C16&amp;F16&amp;H16</f>
        <v>2024SUL - CURITIBA                     24</v>
      </c>
      <c r="J16">
        <f>VLOOKUP(I16,'[2]BASE DE DADOS'!$A:$J,10,FALSE)</f>
        <v>1030</v>
      </c>
      <c r="K16" s="2"/>
      <c r="L16" s="2"/>
      <c r="N16" t="str">
        <f>G16&amp;C16</f>
        <v>17012024</v>
      </c>
    </row>
    <row r="17" spans="1:14" x14ac:dyDescent="0.35">
      <c r="A17">
        <v>132117780</v>
      </c>
      <c r="B17">
        <v>0</v>
      </c>
      <c r="C17" s="18">
        <v>2024</v>
      </c>
      <c r="F17" t="s">
        <v>119</v>
      </c>
      <c r="G17">
        <v>1701</v>
      </c>
      <c r="H17">
        <f>VLOOKUP(N17,[1]REGRA!$C$2:$D$15,2,FALSE)</f>
        <v>24</v>
      </c>
      <c r="I17" t="str">
        <f>C17&amp;F17&amp;H17</f>
        <v>2024SUL - BLUMENAU                     24</v>
      </c>
      <c r="J17">
        <f>VLOOKUP(I17,'[2]BASE DE DADOS'!$A:$J,10,FALSE)</f>
        <v>1027</v>
      </c>
      <c r="K17" s="2"/>
      <c r="L17" s="2"/>
      <c r="N17" t="str">
        <f>G17&amp;C17</f>
        <v>17012024</v>
      </c>
    </row>
    <row r="18" spans="1:14" x14ac:dyDescent="0.35">
      <c r="A18">
        <v>132134844</v>
      </c>
      <c r="B18">
        <v>0</v>
      </c>
      <c r="C18" s="18">
        <v>2024</v>
      </c>
      <c r="F18" t="s">
        <v>51</v>
      </c>
      <c r="G18">
        <v>1701</v>
      </c>
      <c r="H18">
        <f>VLOOKUP(N18,[1]REGRA!$C$2:$D$15,2,FALSE)</f>
        <v>24</v>
      </c>
      <c r="I18" t="str">
        <f>C18&amp;F18&amp;H18</f>
        <v>2024PARCERIAS CO/MG/NE                 24</v>
      </c>
      <c r="J18">
        <f>VLOOKUP(I18,'[2]BASE DE DADOS'!$A:$J,10,FALSE)</f>
        <v>1033</v>
      </c>
      <c r="K18" s="2"/>
      <c r="L18" s="2"/>
      <c r="N18" t="str">
        <f>G18&amp;C18</f>
        <v>17012024</v>
      </c>
    </row>
    <row r="19" spans="1:14" x14ac:dyDescent="0.35">
      <c r="A19">
        <v>132156687</v>
      </c>
      <c r="B19">
        <v>0</v>
      </c>
      <c r="C19" s="18">
        <v>2024</v>
      </c>
      <c r="F19" t="s">
        <v>201</v>
      </c>
      <c r="G19">
        <v>1701</v>
      </c>
      <c r="H19">
        <f>VLOOKUP(N19,[1]REGRA!$C$2:$D$15,2,FALSE)</f>
        <v>24</v>
      </c>
      <c r="I19" t="str">
        <f>C19&amp;F19&amp;H19</f>
        <v>2024SUL - ATNP 2                       24</v>
      </c>
      <c r="J19">
        <f>VLOOKUP(I19,'[2]BASE DE DADOS'!$A:$J,10,FALSE)</f>
        <v>1030</v>
      </c>
      <c r="K19" s="2"/>
      <c r="L19" s="2"/>
      <c r="N19" t="str">
        <f>G19&amp;C19</f>
        <v>17012024</v>
      </c>
    </row>
    <row r="20" spans="1:14" x14ac:dyDescent="0.35">
      <c r="A20">
        <v>132068710</v>
      </c>
      <c r="B20">
        <v>0</v>
      </c>
      <c r="C20" s="18">
        <v>2024</v>
      </c>
      <c r="F20" t="s">
        <v>140</v>
      </c>
      <c r="G20">
        <v>1701</v>
      </c>
      <c r="H20">
        <f>VLOOKUP(N20,[1]REGRA!$C$2:$D$15,2,FALSE)</f>
        <v>24</v>
      </c>
      <c r="I20" t="str">
        <f>C20&amp;F20&amp;H20</f>
        <v>2024SUL - CHAPECO                      24</v>
      </c>
      <c r="J20">
        <f>VLOOKUP(I20,'[2]BASE DE DADOS'!$A:$J,10,FALSE)</f>
        <v>1027</v>
      </c>
      <c r="K20" s="2"/>
      <c r="L20" s="2"/>
      <c r="N20" t="str">
        <f>G20&amp;C20</f>
        <v>17012024</v>
      </c>
    </row>
    <row r="21" spans="1:14" x14ac:dyDescent="0.35">
      <c r="A21">
        <v>132068721</v>
      </c>
      <c r="B21">
        <v>0</v>
      </c>
      <c r="C21" s="18">
        <v>2024</v>
      </c>
      <c r="F21" t="s">
        <v>51</v>
      </c>
      <c r="G21">
        <v>1701</v>
      </c>
      <c r="H21">
        <f>VLOOKUP(N21,[1]REGRA!$C$2:$D$15,2,FALSE)</f>
        <v>24</v>
      </c>
      <c r="I21" t="str">
        <f>C21&amp;F21&amp;H21</f>
        <v>2024PARCERIAS CO/MG/NE                 24</v>
      </c>
      <c r="J21">
        <f>VLOOKUP(I21,'[2]BASE DE DADOS'!$A:$J,10,FALSE)</f>
        <v>1033</v>
      </c>
      <c r="K21" s="2"/>
      <c r="L21" s="2"/>
      <c r="N21" t="str">
        <f>G21&amp;C21</f>
        <v>17012024</v>
      </c>
    </row>
    <row r="22" spans="1:14" x14ac:dyDescent="0.35">
      <c r="A22">
        <v>132069023</v>
      </c>
      <c r="B22">
        <v>0</v>
      </c>
      <c r="C22" s="18">
        <v>2024</v>
      </c>
      <c r="F22" t="s">
        <v>202</v>
      </c>
      <c r="G22">
        <v>1701</v>
      </c>
      <c r="H22">
        <f>VLOOKUP(N22,[1]REGRA!$C$2:$D$15,2,FALSE)</f>
        <v>24</v>
      </c>
      <c r="I22" t="str">
        <f>C22&amp;F22&amp;H22</f>
        <v>2024INT - PIRACICABA                   24</v>
      </c>
      <c r="J22">
        <f>VLOOKUP(I22,'[2]BASE DE DADOS'!$A:$J,10,FALSE)</f>
        <v>1021</v>
      </c>
      <c r="K22" s="2"/>
      <c r="L22" s="2"/>
      <c r="N22" t="str">
        <f>G22&amp;C22</f>
        <v>17012024</v>
      </c>
    </row>
    <row r="23" spans="1:14" x14ac:dyDescent="0.35">
      <c r="A23">
        <v>132070336</v>
      </c>
      <c r="B23">
        <v>0</v>
      </c>
      <c r="C23" s="18">
        <v>2024</v>
      </c>
      <c r="F23" t="s">
        <v>51</v>
      </c>
      <c r="G23">
        <v>1701</v>
      </c>
      <c r="H23">
        <f>VLOOKUP(N23,[1]REGRA!$C$2:$D$15,2,FALSE)</f>
        <v>24</v>
      </c>
      <c r="I23" t="str">
        <f>C23&amp;F23&amp;H23</f>
        <v>2024PARCERIAS CO/MG/NE                 24</v>
      </c>
      <c r="J23">
        <f>VLOOKUP(I23,'[2]BASE DE DADOS'!$A:$J,10,FALSE)</f>
        <v>1033</v>
      </c>
      <c r="K23" s="2"/>
      <c r="L23" s="2"/>
      <c r="N23" t="str">
        <f>G23&amp;C23</f>
        <v>17012024</v>
      </c>
    </row>
    <row r="24" spans="1:14" x14ac:dyDescent="0.35">
      <c r="A24">
        <v>132072458</v>
      </c>
      <c r="B24">
        <v>0</v>
      </c>
      <c r="C24" s="18">
        <v>2024</v>
      </c>
      <c r="F24" t="s">
        <v>198</v>
      </c>
      <c r="G24">
        <v>1701</v>
      </c>
      <c r="H24">
        <f>VLOOKUP(N24,[1]REGRA!$C$2:$D$15,2,FALSE)</f>
        <v>24</v>
      </c>
      <c r="I24" t="str">
        <f>C24&amp;F24&amp;H24</f>
        <v>2024RJ - INTERIOR/NITEROI              24</v>
      </c>
      <c r="J24" t="e">
        <f>VLOOKUP(I24,'[2]BASE DE DADOS'!$A:$J,10,FALSE)</f>
        <v>#N/A</v>
      </c>
      <c r="K24" s="2"/>
      <c r="L24" s="2"/>
      <c r="N24" t="str">
        <f>G24&amp;C24</f>
        <v>17012024</v>
      </c>
    </row>
    <row r="25" spans="1:14" x14ac:dyDescent="0.35">
      <c r="A25">
        <v>132075283</v>
      </c>
      <c r="B25">
        <v>0</v>
      </c>
      <c r="C25" s="18">
        <v>2024</v>
      </c>
      <c r="F25" t="s">
        <v>51</v>
      </c>
      <c r="G25">
        <v>1701</v>
      </c>
      <c r="H25">
        <f>VLOOKUP(N25,[1]REGRA!$C$2:$D$15,2,FALSE)</f>
        <v>24</v>
      </c>
      <c r="I25" t="str">
        <f>C25&amp;F25&amp;H25</f>
        <v>2024PARCERIAS CO/MG/NE                 24</v>
      </c>
      <c r="J25">
        <f>VLOOKUP(I25,'[2]BASE DE DADOS'!$A:$J,10,FALSE)</f>
        <v>1033</v>
      </c>
      <c r="K25" s="2"/>
      <c r="L25" s="2"/>
      <c r="N25" t="str">
        <f>G25&amp;C25</f>
        <v>17012024</v>
      </c>
    </row>
    <row r="26" spans="1:14" x14ac:dyDescent="0.35">
      <c r="A26">
        <v>132076325</v>
      </c>
      <c r="B26">
        <v>0</v>
      </c>
      <c r="C26" s="18">
        <v>2024</v>
      </c>
      <c r="F26" t="s">
        <v>119</v>
      </c>
      <c r="G26">
        <v>1701</v>
      </c>
      <c r="H26">
        <f>VLOOKUP(N26,[1]REGRA!$C$2:$D$15,2,FALSE)</f>
        <v>24</v>
      </c>
      <c r="I26" t="str">
        <f>C26&amp;F26&amp;H26</f>
        <v>2024SUL - BLUMENAU                     24</v>
      </c>
      <c r="J26">
        <f>VLOOKUP(I26,'[2]BASE DE DADOS'!$A:$J,10,FALSE)</f>
        <v>1027</v>
      </c>
      <c r="K26" s="2"/>
      <c r="L26" s="2"/>
      <c r="N26" t="str">
        <f>G26&amp;C26</f>
        <v>17012024</v>
      </c>
    </row>
    <row r="27" spans="1:14" x14ac:dyDescent="0.35">
      <c r="A27">
        <v>132076607</v>
      </c>
      <c r="B27">
        <v>0</v>
      </c>
      <c r="C27" s="18">
        <v>2024</v>
      </c>
      <c r="F27" t="s">
        <v>170</v>
      </c>
      <c r="G27">
        <v>1701</v>
      </c>
      <c r="H27">
        <f>VLOOKUP(N27,[1]REGRA!$C$2:$D$15,2,FALSE)</f>
        <v>24</v>
      </c>
      <c r="I27" t="str">
        <f>C27&amp;F27&amp;H27</f>
        <v>2024N/NE - ATNP                        24</v>
      </c>
      <c r="J27">
        <f>VLOOKUP(I27,'[2]BASE DE DADOS'!$A:$J,10,FALSE)</f>
        <v>1018</v>
      </c>
      <c r="K27" s="2"/>
      <c r="L27" s="2"/>
      <c r="N27" t="str">
        <f>G27&amp;C27</f>
        <v>17012024</v>
      </c>
    </row>
    <row r="28" spans="1:14" x14ac:dyDescent="0.35">
      <c r="A28">
        <v>132077212</v>
      </c>
      <c r="B28">
        <v>0</v>
      </c>
      <c r="C28" s="18">
        <v>2024</v>
      </c>
      <c r="F28" t="s">
        <v>203</v>
      </c>
      <c r="G28">
        <v>1701</v>
      </c>
      <c r="H28">
        <f>VLOOKUP(N28,[1]REGRA!$C$2:$D$15,2,FALSE)</f>
        <v>24</v>
      </c>
      <c r="I28" t="str">
        <f>C28&amp;F28&amp;H28</f>
        <v>2024SUL - LONDRINA/MARINGA             24</v>
      </c>
      <c r="J28">
        <f>VLOOKUP(I28,'[2]BASE DE DADOS'!$A:$J,10,FALSE)</f>
        <v>1027</v>
      </c>
      <c r="K28" s="2"/>
      <c r="L28" s="2"/>
      <c r="N28" t="str">
        <f>G28&amp;C28</f>
        <v>17012024</v>
      </c>
    </row>
    <row r="29" spans="1:14" x14ac:dyDescent="0.35">
      <c r="A29">
        <v>132077561</v>
      </c>
      <c r="B29">
        <v>0</v>
      </c>
      <c r="C29" s="18">
        <v>2024</v>
      </c>
      <c r="F29" t="s">
        <v>85</v>
      </c>
      <c r="G29">
        <v>1701</v>
      </c>
      <c r="H29">
        <f>VLOOKUP(N29,[1]REGRA!$C$2:$D$15,2,FALSE)</f>
        <v>24</v>
      </c>
      <c r="I29" t="str">
        <f>C29&amp;F29&amp;H29</f>
        <v>2024RJ - BARRA                         24</v>
      </c>
      <c r="J29">
        <f>VLOOKUP(I29,'[2]BASE DE DADOS'!$A:$J,10,FALSE)</f>
        <v>1036</v>
      </c>
      <c r="K29" s="2"/>
      <c r="L29" s="2"/>
      <c r="N29" t="str">
        <f>G29&amp;C29</f>
        <v>17012024</v>
      </c>
    </row>
    <row r="30" spans="1:14" x14ac:dyDescent="0.35">
      <c r="A30">
        <v>132078703</v>
      </c>
      <c r="B30">
        <v>0</v>
      </c>
      <c r="C30" s="18">
        <v>2024</v>
      </c>
      <c r="F30" t="s">
        <v>203</v>
      </c>
      <c r="G30">
        <v>1701</v>
      </c>
      <c r="H30">
        <f>VLOOKUP(N30,[1]REGRA!$C$2:$D$15,2,FALSE)</f>
        <v>24</v>
      </c>
      <c r="I30" t="str">
        <f>C30&amp;F30&amp;H30</f>
        <v>2024SUL - LONDRINA/MARINGA             24</v>
      </c>
      <c r="J30">
        <f>VLOOKUP(I30,'[2]BASE DE DADOS'!$A:$J,10,FALSE)</f>
        <v>1027</v>
      </c>
      <c r="K30" s="2"/>
      <c r="L30" s="2"/>
      <c r="N30" t="str">
        <f>G30&amp;C30</f>
        <v>17012024</v>
      </c>
    </row>
    <row r="31" spans="1:14" x14ac:dyDescent="0.35">
      <c r="A31">
        <v>132079898</v>
      </c>
      <c r="B31">
        <v>0</v>
      </c>
      <c r="C31" s="18">
        <v>2024</v>
      </c>
      <c r="F31" t="s">
        <v>204</v>
      </c>
      <c r="G31">
        <v>1701</v>
      </c>
      <c r="H31">
        <f>VLOOKUP(N31,[1]REGRA!$C$2:$D$15,2,FALSE)</f>
        <v>24</v>
      </c>
      <c r="I31" t="str">
        <f>C31&amp;F31&amp;H31</f>
        <v>2024SP - ABC/SANTOS                    24</v>
      </c>
      <c r="J31">
        <f>VLOOKUP(I31,'[2]BASE DE DADOS'!$A:$J,10,FALSE)</f>
        <v>1012</v>
      </c>
      <c r="K31" s="2"/>
      <c r="L31" s="2"/>
      <c r="N31" t="str">
        <f>G31&amp;C31</f>
        <v>17012024</v>
      </c>
    </row>
    <row r="32" spans="1:14" x14ac:dyDescent="0.35">
      <c r="A32">
        <v>132079930</v>
      </c>
      <c r="B32">
        <v>0</v>
      </c>
      <c r="C32" s="18">
        <v>2024</v>
      </c>
      <c r="F32" t="s">
        <v>51</v>
      </c>
      <c r="G32">
        <v>1701</v>
      </c>
      <c r="H32">
        <f>VLOOKUP(N32,[1]REGRA!$C$2:$D$15,2,FALSE)</f>
        <v>24</v>
      </c>
      <c r="I32" t="str">
        <f>C32&amp;F32&amp;H32</f>
        <v>2024PARCERIAS CO/MG/NE                 24</v>
      </c>
      <c r="J32">
        <f>VLOOKUP(I32,'[2]BASE DE DADOS'!$A:$J,10,FALSE)</f>
        <v>1033</v>
      </c>
      <c r="K32" s="2"/>
      <c r="L32" s="2"/>
      <c r="N32" t="str">
        <f>G32&amp;C32</f>
        <v>17012024</v>
      </c>
    </row>
    <row r="33" spans="1:14" x14ac:dyDescent="0.35">
      <c r="A33">
        <v>132081121</v>
      </c>
      <c r="B33">
        <v>0</v>
      </c>
      <c r="C33" s="18">
        <v>2024</v>
      </c>
      <c r="F33" t="s">
        <v>178</v>
      </c>
      <c r="G33">
        <v>1701</v>
      </c>
      <c r="H33">
        <f>VLOOKUP(N33,[1]REGRA!$C$2:$D$15,2,FALSE)</f>
        <v>24</v>
      </c>
      <c r="I33" t="str">
        <f>C33&amp;F33&amp;H33</f>
        <v>2024MG - TRIANGULO MINEIRO             24</v>
      </c>
      <c r="J33">
        <f>VLOOKUP(I33,'[2]BASE DE DADOS'!$A:$J,10,FALSE)</f>
        <v>1015</v>
      </c>
      <c r="K33" s="2"/>
      <c r="L33" s="2"/>
      <c r="N33" t="str">
        <f>G33&amp;C33</f>
        <v>17012024</v>
      </c>
    </row>
    <row r="34" spans="1:14" x14ac:dyDescent="0.35">
      <c r="A34">
        <v>132082873</v>
      </c>
      <c r="B34">
        <v>0</v>
      </c>
      <c r="C34" s="18">
        <v>2024</v>
      </c>
      <c r="F34" t="s">
        <v>51</v>
      </c>
      <c r="G34">
        <v>1701</v>
      </c>
      <c r="H34">
        <f>VLOOKUP(N34,[1]REGRA!$C$2:$D$15,2,FALSE)</f>
        <v>24</v>
      </c>
      <c r="I34" t="str">
        <f>C34&amp;F34&amp;H34</f>
        <v>2024PARCERIAS CO/MG/NE                 24</v>
      </c>
      <c r="J34">
        <f>VLOOKUP(I34,'[2]BASE DE DADOS'!$A:$J,10,FALSE)</f>
        <v>1033</v>
      </c>
      <c r="K34" s="2"/>
      <c r="L34" s="2"/>
      <c r="N34" t="str">
        <f>G34&amp;C34</f>
        <v>17012024</v>
      </c>
    </row>
    <row r="35" spans="1:14" x14ac:dyDescent="0.35">
      <c r="A35">
        <v>132083416</v>
      </c>
      <c r="B35">
        <v>0</v>
      </c>
      <c r="C35" s="18">
        <v>2024</v>
      </c>
      <c r="F35" s="22" t="s">
        <v>152</v>
      </c>
      <c r="G35">
        <v>1701</v>
      </c>
      <c r="H35">
        <f>VLOOKUP(N35,[1]REGRA!$C$2:$D$15,2,FALSE)</f>
        <v>24</v>
      </c>
      <c r="I35" t="str">
        <f>C35&amp;F35&amp;H35</f>
        <v>2024SUL - SANTO ANGELO                 24</v>
      </c>
      <c r="J35">
        <f>VLOOKUP(I35,'[2]BASE DE DADOS'!$A:$J,10,FALSE)</f>
        <v>1030</v>
      </c>
      <c r="K35" s="2"/>
      <c r="L35" s="2"/>
      <c r="N35" t="str">
        <f>G35&amp;C35</f>
        <v>17012024</v>
      </c>
    </row>
    <row r="36" spans="1:14" x14ac:dyDescent="0.35">
      <c r="A36">
        <v>132083467</v>
      </c>
      <c r="B36">
        <v>0</v>
      </c>
      <c r="C36" s="18">
        <v>2024</v>
      </c>
      <c r="F36" t="s">
        <v>53</v>
      </c>
      <c r="G36">
        <v>1701</v>
      </c>
      <c r="H36">
        <f>VLOOKUP(N36,[1]REGRA!$C$2:$D$15,2,FALSE)</f>
        <v>24</v>
      </c>
      <c r="I36" t="str">
        <f>C36&amp;F36&amp;H36</f>
        <v>2024PARCERIAS SUL                      24</v>
      </c>
      <c r="J36">
        <f>VLOOKUP(I36,'[2]BASE DE DADOS'!$A:$J,10,FALSE)</f>
        <v>1033</v>
      </c>
      <c r="K36" s="2"/>
      <c r="L36" s="2"/>
      <c r="N36" t="str">
        <f>G36&amp;C36</f>
        <v>17012024</v>
      </c>
    </row>
    <row r="37" spans="1:14" x14ac:dyDescent="0.35">
      <c r="A37">
        <v>132098226</v>
      </c>
      <c r="B37">
        <v>0</v>
      </c>
      <c r="C37" s="18">
        <v>2024</v>
      </c>
      <c r="F37" t="s">
        <v>176</v>
      </c>
      <c r="G37">
        <v>1701</v>
      </c>
      <c r="H37">
        <f>VLOOKUP(N37,[1]REGRA!$C$2:$D$15,2,FALSE)</f>
        <v>24</v>
      </c>
      <c r="I37" t="str">
        <f>C37&amp;F37&amp;H37</f>
        <v>2024RJ - RIO                           24</v>
      </c>
      <c r="J37">
        <f>VLOOKUP(I37,'[2]BASE DE DADOS'!$A:$J,10,FALSE)</f>
        <v>1036</v>
      </c>
      <c r="K37" s="2"/>
      <c r="L37" s="2"/>
      <c r="N37" t="str">
        <f>G37&amp;C37</f>
        <v>17012024</v>
      </c>
    </row>
    <row r="38" spans="1:14" x14ac:dyDescent="0.35">
      <c r="A38">
        <v>132129464</v>
      </c>
      <c r="B38">
        <v>0</v>
      </c>
      <c r="C38" s="18">
        <v>2024</v>
      </c>
      <c r="F38" t="s">
        <v>203</v>
      </c>
      <c r="G38">
        <v>1701</v>
      </c>
      <c r="H38">
        <f>VLOOKUP(N38,[1]REGRA!$C$2:$D$15,2,FALSE)</f>
        <v>24</v>
      </c>
      <c r="I38" t="str">
        <f>C38&amp;F38&amp;H38</f>
        <v>2024SUL - LONDRINA/MARINGA             24</v>
      </c>
      <c r="J38">
        <f>VLOOKUP(I38,'[2]BASE DE DADOS'!$A:$J,10,FALSE)</f>
        <v>1027</v>
      </c>
      <c r="K38" s="2"/>
      <c r="L38" s="2"/>
      <c r="N38" t="str">
        <f>G38&amp;C38</f>
        <v>17012024</v>
      </c>
    </row>
    <row r="39" spans="1:14" x14ac:dyDescent="0.35">
      <c r="A39">
        <v>132086233</v>
      </c>
      <c r="B39">
        <v>0</v>
      </c>
      <c r="C39" s="18">
        <v>2024</v>
      </c>
      <c r="F39" t="s">
        <v>205</v>
      </c>
      <c r="G39">
        <v>1701</v>
      </c>
      <c r="H39">
        <f>VLOOKUP(N39,[1]REGRA!$C$2:$D$15,2,FALSE)</f>
        <v>24</v>
      </c>
      <c r="I39" t="str">
        <f>C39&amp;F39&amp;H39</f>
        <v>2024NE - TERESINA/SAO LUIS             24</v>
      </c>
      <c r="J39">
        <f>VLOOKUP(I39,'[2]BASE DE DADOS'!$A:$J,10,FALSE)</f>
        <v>1018</v>
      </c>
      <c r="K39" s="2"/>
      <c r="L39" s="2"/>
      <c r="N39" t="str">
        <f>G39&amp;C39</f>
        <v>17012024</v>
      </c>
    </row>
    <row r="40" spans="1:14" x14ac:dyDescent="0.35">
      <c r="A40">
        <v>132087730</v>
      </c>
      <c r="B40">
        <v>0</v>
      </c>
      <c r="C40" s="18">
        <v>2024</v>
      </c>
      <c r="F40" t="s">
        <v>200</v>
      </c>
      <c r="G40">
        <v>1701</v>
      </c>
      <c r="H40">
        <f>VLOOKUP(N40,[1]REGRA!$C$2:$D$15,2,FALSE)</f>
        <v>24</v>
      </c>
      <c r="I40" t="str">
        <f>C40&amp;F40&amp;H40</f>
        <v>2024MG Ì BELO HORIZONTE                24</v>
      </c>
      <c r="J40">
        <f>VLOOKUP(I40,'[2]BASE DE DADOS'!$A:$J,10,FALSE)</f>
        <v>1015</v>
      </c>
      <c r="K40" s="2"/>
      <c r="L40" s="2"/>
      <c r="N40" t="str">
        <f>G40&amp;C40</f>
        <v>17012024</v>
      </c>
    </row>
    <row r="41" spans="1:14" x14ac:dyDescent="0.35">
      <c r="A41">
        <v>132088912</v>
      </c>
      <c r="B41">
        <v>0</v>
      </c>
      <c r="C41" s="18">
        <v>2024</v>
      </c>
      <c r="F41" t="s">
        <v>141</v>
      </c>
      <c r="G41">
        <v>1701</v>
      </c>
      <c r="H41">
        <f>VLOOKUP(N41,[1]REGRA!$C$2:$D$15,2,FALSE)</f>
        <v>24</v>
      </c>
      <c r="I41" t="str">
        <f>C41&amp;F41&amp;H41</f>
        <v>2024SUL - CURITIBA                     24</v>
      </c>
      <c r="J41">
        <f>VLOOKUP(I41,'[2]BASE DE DADOS'!$A:$J,10,FALSE)</f>
        <v>1030</v>
      </c>
      <c r="K41" s="2"/>
      <c r="L41" s="2"/>
      <c r="N41" t="str">
        <f>G41&amp;C41</f>
        <v>17012024</v>
      </c>
    </row>
    <row r="42" spans="1:14" x14ac:dyDescent="0.35">
      <c r="A42">
        <v>132092002</v>
      </c>
      <c r="B42">
        <v>0</v>
      </c>
      <c r="C42" s="18">
        <v>2024</v>
      </c>
      <c r="F42" t="s">
        <v>206</v>
      </c>
      <c r="G42">
        <v>1701</v>
      </c>
      <c r="H42">
        <f>VLOOKUP(N42,[1]REGRA!$C$2:$D$15,2,FALSE)</f>
        <v>24</v>
      </c>
      <c r="I42" t="str">
        <f>C42&amp;F42&amp;H42</f>
        <v>2024INT - RIB. PRETO                   24</v>
      </c>
      <c r="J42">
        <f>VLOOKUP(I42,'[2]BASE DE DADOS'!$A:$J,10,FALSE)</f>
        <v>1021</v>
      </c>
      <c r="K42" s="2"/>
      <c r="L42" s="2"/>
      <c r="N42" t="str">
        <f>G42&amp;C42</f>
        <v>17012024</v>
      </c>
    </row>
    <row r="43" spans="1:14" x14ac:dyDescent="0.35">
      <c r="A43">
        <v>132094280</v>
      </c>
      <c r="B43">
        <v>0</v>
      </c>
      <c r="C43" s="18">
        <v>2024</v>
      </c>
      <c r="F43" t="s">
        <v>51</v>
      </c>
      <c r="G43">
        <v>1701</v>
      </c>
      <c r="H43">
        <f>VLOOKUP(N43,[1]REGRA!$C$2:$D$15,2,FALSE)</f>
        <v>24</v>
      </c>
      <c r="I43" t="str">
        <f>C43&amp;F43&amp;H43</f>
        <v>2024PARCERIAS CO/MG/NE                 24</v>
      </c>
      <c r="J43">
        <f>VLOOKUP(I43,'[2]BASE DE DADOS'!$A:$J,10,FALSE)</f>
        <v>1033</v>
      </c>
      <c r="K43" s="2"/>
      <c r="L43" s="2"/>
      <c r="N43" t="str">
        <f>G43&amp;C43</f>
        <v>17012024</v>
      </c>
    </row>
    <row r="44" spans="1:14" x14ac:dyDescent="0.35">
      <c r="A44">
        <v>132096342</v>
      </c>
      <c r="B44">
        <v>0</v>
      </c>
      <c r="C44" s="18">
        <v>2024</v>
      </c>
      <c r="F44" t="s">
        <v>84</v>
      </c>
      <c r="G44">
        <v>1701</v>
      </c>
      <c r="H44">
        <f>VLOOKUP(N44,[1]REGRA!$C$2:$D$15,2,FALSE)</f>
        <v>24</v>
      </c>
      <c r="I44" t="str">
        <f>C44&amp;F44&amp;H44</f>
        <v>2024RJ - ASSESSORIAS                   24</v>
      </c>
      <c r="J44">
        <f>VLOOKUP(I44,'[2]BASE DE DADOS'!$A:$J,10,FALSE)</f>
        <v>1036</v>
      </c>
      <c r="K44" s="2"/>
      <c r="L44" s="2"/>
      <c r="N44" t="str">
        <f>G44&amp;C44</f>
        <v>17012024</v>
      </c>
    </row>
    <row r="45" spans="1:14" x14ac:dyDescent="0.35">
      <c r="A45">
        <v>132096423</v>
      </c>
      <c r="B45">
        <v>0</v>
      </c>
      <c r="C45" s="18">
        <v>2024</v>
      </c>
      <c r="F45" t="s">
        <v>204</v>
      </c>
      <c r="G45">
        <v>1701</v>
      </c>
      <c r="H45">
        <f>VLOOKUP(N45,[1]REGRA!$C$2:$D$15,2,FALSE)</f>
        <v>24</v>
      </c>
      <c r="I45" t="str">
        <f>C45&amp;F45&amp;H45</f>
        <v>2024SP - ABC/SANTOS                    24</v>
      </c>
      <c r="J45">
        <f>VLOOKUP(I45,'[2]BASE DE DADOS'!$A:$J,10,FALSE)</f>
        <v>1012</v>
      </c>
      <c r="K45" s="2"/>
      <c r="L45" s="2"/>
      <c r="N45" t="str">
        <f>G45&amp;C45</f>
        <v>17012024</v>
      </c>
    </row>
    <row r="46" spans="1:14" x14ac:dyDescent="0.35">
      <c r="A46">
        <v>132096678</v>
      </c>
      <c r="B46">
        <v>0</v>
      </c>
      <c r="C46" s="18">
        <v>2024</v>
      </c>
      <c r="F46" t="s">
        <v>51</v>
      </c>
      <c r="G46">
        <v>1701</v>
      </c>
      <c r="H46">
        <f>VLOOKUP(N46,[1]REGRA!$C$2:$D$15,2,FALSE)</f>
        <v>24</v>
      </c>
      <c r="I46" t="str">
        <f>C46&amp;F46&amp;H46</f>
        <v>2024PARCERIAS CO/MG/NE                 24</v>
      </c>
      <c r="J46">
        <f>VLOOKUP(I46,'[2]BASE DE DADOS'!$A:$J,10,FALSE)</f>
        <v>1033</v>
      </c>
      <c r="K46" s="2"/>
      <c r="L46" s="2"/>
      <c r="N46" t="str">
        <f>G46&amp;C46</f>
        <v>17012024</v>
      </c>
    </row>
    <row r="47" spans="1:14" x14ac:dyDescent="0.35">
      <c r="A47">
        <v>132099432</v>
      </c>
      <c r="B47">
        <v>0</v>
      </c>
      <c r="C47" s="18">
        <v>2024</v>
      </c>
      <c r="F47" t="s">
        <v>199</v>
      </c>
      <c r="G47">
        <v>1701</v>
      </c>
      <c r="H47">
        <f>VLOOKUP(N47,[1]REGRA!$C$2:$D$15,2,FALSE)</f>
        <v>24</v>
      </c>
      <c r="I47" t="str">
        <f>C47&amp;F47&amp;H47</f>
        <v>2024NE - FORTALEZA/ASSESSORIA          24</v>
      </c>
      <c r="J47">
        <f>VLOOKUP(I47,'[2]BASE DE DADOS'!$A:$J,10,FALSE)</f>
        <v>1018</v>
      </c>
      <c r="K47" s="2"/>
      <c r="L47" s="2"/>
      <c r="N47" t="str">
        <f>G47&amp;C47</f>
        <v>17012024</v>
      </c>
    </row>
    <row r="48" spans="1:14" x14ac:dyDescent="0.35">
      <c r="A48">
        <v>132099622</v>
      </c>
      <c r="B48">
        <v>0</v>
      </c>
      <c r="C48" s="18">
        <v>2024</v>
      </c>
      <c r="F48" t="s">
        <v>207</v>
      </c>
      <c r="G48">
        <v>1701</v>
      </c>
      <c r="H48">
        <f>VLOOKUP(N48,[1]REGRA!$C$2:$D$15,2,FALSE)</f>
        <v>24</v>
      </c>
      <c r="I48" t="str">
        <f>C48&amp;F48&amp;H48</f>
        <v>2024N - NORTE                          24</v>
      </c>
      <c r="J48">
        <f>VLOOKUP(I48,'[2]BASE DE DADOS'!$A:$J,10,FALSE)</f>
        <v>1018</v>
      </c>
      <c r="K48" s="2"/>
      <c r="L48" s="2"/>
      <c r="N48" t="str">
        <f>G48&amp;C48</f>
        <v>17012024</v>
      </c>
    </row>
    <row r="49" spans="1:14" x14ac:dyDescent="0.35">
      <c r="A49">
        <v>132102574</v>
      </c>
      <c r="B49">
        <v>0</v>
      </c>
      <c r="C49" s="18">
        <v>2024</v>
      </c>
      <c r="F49" t="s">
        <v>53</v>
      </c>
      <c r="G49">
        <v>1701</v>
      </c>
      <c r="H49">
        <f>VLOOKUP(N49,[1]REGRA!$C$2:$D$15,2,FALSE)</f>
        <v>24</v>
      </c>
      <c r="I49" t="str">
        <f>C49&amp;F49&amp;H49</f>
        <v>2024PARCERIAS SUL                      24</v>
      </c>
      <c r="J49">
        <f>VLOOKUP(I49,'[2]BASE DE DADOS'!$A:$J,10,FALSE)</f>
        <v>1033</v>
      </c>
      <c r="K49" s="2"/>
      <c r="L49" s="2"/>
      <c r="N49" t="str">
        <f>G49&amp;C49</f>
        <v>17012024</v>
      </c>
    </row>
    <row r="50" spans="1:14" x14ac:dyDescent="0.35">
      <c r="A50">
        <v>132103785</v>
      </c>
      <c r="B50">
        <v>0</v>
      </c>
      <c r="C50" s="18">
        <v>2024</v>
      </c>
      <c r="F50" t="s">
        <v>200</v>
      </c>
      <c r="G50">
        <v>1701</v>
      </c>
      <c r="H50">
        <f>VLOOKUP(N50,[1]REGRA!$C$2:$D$15,2,FALSE)</f>
        <v>24</v>
      </c>
      <c r="I50" t="str">
        <f>C50&amp;F50&amp;H50</f>
        <v>2024MG Ì BELO HORIZONTE                24</v>
      </c>
      <c r="J50">
        <f>VLOOKUP(I50,'[2]BASE DE DADOS'!$A:$J,10,FALSE)</f>
        <v>1015</v>
      </c>
      <c r="K50" s="2"/>
      <c r="L50" s="2"/>
      <c r="N50" t="str">
        <f>G50&amp;C50</f>
        <v>17012024</v>
      </c>
    </row>
    <row r="51" spans="1:14" x14ac:dyDescent="0.35">
      <c r="A51">
        <v>132114128</v>
      </c>
      <c r="B51">
        <v>0</v>
      </c>
      <c r="C51" s="18">
        <v>2024</v>
      </c>
      <c r="F51" t="s">
        <v>152</v>
      </c>
      <c r="G51">
        <v>1701</v>
      </c>
      <c r="H51">
        <f>VLOOKUP(N51,[1]REGRA!$C$2:$D$15,2,FALSE)</f>
        <v>24</v>
      </c>
      <c r="I51" t="str">
        <f>C51&amp;F51&amp;H51</f>
        <v>2024SUL - SANTO ANGELO                 24</v>
      </c>
      <c r="J51">
        <f>VLOOKUP(I51,'[2]BASE DE DADOS'!$A:$J,10,FALSE)</f>
        <v>1030</v>
      </c>
      <c r="K51" s="2"/>
      <c r="L51" s="2"/>
      <c r="N51" t="str">
        <f>G51&amp;C51</f>
        <v>17012024</v>
      </c>
    </row>
    <row r="52" spans="1:14" x14ac:dyDescent="0.35">
      <c r="A52">
        <v>132125318</v>
      </c>
      <c r="B52">
        <v>0</v>
      </c>
      <c r="C52" s="18">
        <v>2024</v>
      </c>
      <c r="F52" t="s">
        <v>130</v>
      </c>
      <c r="G52">
        <v>1701</v>
      </c>
      <c r="H52">
        <f>VLOOKUP(N52,[1]REGRA!$C$2:$D$15,2,FALSE)</f>
        <v>24</v>
      </c>
      <c r="I52" t="str">
        <f>C52&amp;F52&amp;H52</f>
        <v>2024MG - SUL MINAS                     24</v>
      </c>
      <c r="J52">
        <f>VLOOKUP(I52,'[2]BASE DE DADOS'!$A:$J,10,FALSE)</f>
        <v>1015</v>
      </c>
      <c r="K52" s="2"/>
      <c r="L52" s="2"/>
      <c r="N52" t="str">
        <f>G52&amp;C52</f>
        <v>17012024</v>
      </c>
    </row>
    <row r="53" spans="1:14" x14ac:dyDescent="0.35">
      <c r="A53">
        <v>132131237</v>
      </c>
      <c r="B53">
        <v>0</v>
      </c>
      <c r="C53" s="18">
        <v>2024</v>
      </c>
      <c r="F53" t="s">
        <v>206</v>
      </c>
      <c r="G53">
        <v>1701</v>
      </c>
      <c r="H53">
        <f>VLOOKUP(N53,[1]REGRA!$C$2:$D$15,2,FALSE)</f>
        <v>24</v>
      </c>
      <c r="I53" t="str">
        <f>C53&amp;F53&amp;H53</f>
        <v>2024INT - RIB. PRETO                   24</v>
      </c>
      <c r="J53">
        <f>VLOOKUP(I53,'[2]BASE DE DADOS'!$A:$J,10,FALSE)</f>
        <v>1021</v>
      </c>
      <c r="K53" s="2"/>
      <c r="L53" s="2"/>
      <c r="N53" t="str">
        <f>G53&amp;C53</f>
        <v>17012024</v>
      </c>
    </row>
    <row r="54" spans="1:14" x14ac:dyDescent="0.35">
      <c r="A54">
        <v>132139822</v>
      </c>
      <c r="B54">
        <v>0</v>
      </c>
      <c r="C54" s="18">
        <v>2024</v>
      </c>
      <c r="F54" t="s">
        <v>140</v>
      </c>
      <c r="G54">
        <v>1701</v>
      </c>
      <c r="H54">
        <f>VLOOKUP(N54,[1]REGRA!$C$2:$D$15,2,FALSE)</f>
        <v>24</v>
      </c>
      <c r="I54" t="str">
        <f>C54&amp;F54&amp;H54</f>
        <v>2024SUL - CHAPECO                      24</v>
      </c>
      <c r="J54">
        <f>VLOOKUP(I54,'[2]BASE DE DADOS'!$A:$J,10,FALSE)</f>
        <v>1027</v>
      </c>
      <c r="K54" s="2"/>
      <c r="L54" s="2"/>
      <c r="N54" t="str">
        <f>G54&amp;C54</f>
        <v>17012024</v>
      </c>
    </row>
    <row r="55" spans="1:14" x14ac:dyDescent="0.35">
      <c r="A55">
        <v>132104639</v>
      </c>
      <c r="B55">
        <v>0</v>
      </c>
      <c r="C55" s="18">
        <v>2024</v>
      </c>
      <c r="F55" t="s">
        <v>142</v>
      </c>
      <c r="G55">
        <v>1701</v>
      </c>
      <c r="H55">
        <f>VLOOKUP(N55,[1]REGRA!$C$2:$D$15,2,FALSE)</f>
        <v>24</v>
      </c>
      <c r="I55" t="str">
        <f>C55&amp;F55&amp;H55</f>
        <v>2024SUL - PORTO ALEGRE                 24</v>
      </c>
      <c r="J55">
        <f>VLOOKUP(I55,'[2]BASE DE DADOS'!$A:$J,10,FALSE)</f>
        <v>1030</v>
      </c>
      <c r="K55" s="2"/>
      <c r="L55" s="2"/>
      <c r="N55" t="str">
        <f>G55&amp;C55</f>
        <v>17012024</v>
      </c>
    </row>
    <row r="56" spans="1:14" x14ac:dyDescent="0.35">
      <c r="A56">
        <v>132109382</v>
      </c>
      <c r="B56">
        <v>0</v>
      </c>
      <c r="C56" s="18">
        <v>2024</v>
      </c>
      <c r="F56" t="s">
        <v>184</v>
      </c>
      <c r="G56">
        <v>1701</v>
      </c>
      <c r="H56">
        <f>VLOOKUP(N56,[1]REGRA!$C$2:$D$15,2,FALSE)</f>
        <v>24</v>
      </c>
      <c r="I56" t="str">
        <f>C56&amp;F56&amp;H56</f>
        <v>2024SP - ATNP 1                        24</v>
      </c>
      <c r="J56">
        <f>VLOOKUP(I56,'[2]BASE DE DADOS'!$A:$J,10,FALSE)</f>
        <v>1012</v>
      </c>
      <c r="K56" s="2"/>
      <c r="L56" s="2"/>
      <c r="N56" t="str">
        <f>G56&amp;C56</f>
        <v>17012024</v>
      </c>
    </row>
    <row r="57" spans="1:14" x14ac:dyDescent="0.35">
      <c r="A57">
        <v>132109630</v>
      </c>
      <c r="B57">
        <v>0</v>
      </c>
      <c r="C57" s="18">
        <v>2024</v>
      </c>
      <c r="F57" t="s">
        <v>98</v>
      </c>
      <c r="G57">
        <v>1701</v>
      </c>
      <c r="H57">
        <f>VLOOKUP(N57,[1]REGRA!$C$2:$D$15,2,FALSE)</f>
        <v>24</v>
      </c>
      <c r="I57" t="str">
        <f>C57&amp;F57&amp;H57</f>
        <v>2024INT - S. J. DO RIO PRETO           24</v>
      </c>
      <c r="J57">
        <f>VLOOKUP(I57,'[2]BASE DE DADOS'!$A:$J,10,FALSE)</f>
        <v>1021</v>
      </c>
      <c r="K57" s="2"/>
      <c r="L57" s="2"/>
      <c r="N57" t="str">
        <f>G57&amp;C57</f>
        <v>17012024</v>
      </c>
    </row>
    <row r="58" spans="1:14" x14ac:dyDescent="0.35">
      <c r="A58">
        <v>132109779</v>
      </c>
      <c r="B58">
        <v>0</v>
      </c>
      <c r="C58" s="18">
        <v>2024</v>
      </c>
      <c r="F58" t="s">
        <v>35</v>
      </c>
      <c r="G58">
        <v>1701</v>
      </c>
      <c r="H58">
        <f>VLOOKUP(N58,[1]REGRA!$C$2:$D$15,2,FALSE)</f>
        <v>24</v>
      </c>
      <c r="I58" t="str">
        <f>C58&amp;F58&amp;H58</f>
        <v>2024MG - JUIZ DE FORA                  24</v>
      </c>
      <c r="J58">
        <f>VLOOKUP(I58,'[2]BASE DE DADOS'!$A:$J,10,FALSE)</f>
        <v>1015</v>
      </c>
      <c r="K58" s="2"/>
      <c r="L58" s="2"/>
      <c r="N58" t="str">
        <f>G58&amp;C58</f>
        <v>17012024</v>
      </c>
    </row>
    <row r="59" spans="1:14" x14ac:dyDescent="0.35">
      <c r="A59">
        <v>132112126</v>
      </c>
      <c r="B59">
        <v>0</v>
      </c>
      <c r="C59" s="18">
        <v>2024</v>
      </c>
      <c r="F59" t="s">
        <v>199</v>
      </c>
      <c r="G59">
        <v>1701</v>
      </c>
      <c r="H59">
        <f>VLOOKUP(N59,[1]REGRA!$C$2:$D$15,2,FALSE)</f>
        <v>24</v>
      </c>
      <c r="I59" t="str">
        <f>C59&amp;F59&amp;H59</f>
        <v>2024NE - FORTALEZA/ASSESSORIA          24</v>
      </c>
      <c r="J59">
        <f>VLOOKUP(I59,'[2]BASE DE DADOS'!$A:$J,10,FALSE)</f>
        <v>1018</v>
      </c>
      <c r="K59" s="2"/>
      <c r="L59" s="2"/>
      <c r="N59" t="str">
        <f>G59&amp;C59</f>
        <v>17012024</v>
      </c>
    </row>
    <row r="60" spans="1:14" x14ac:dyDescent="0.35">
      <c r="A60">
        <v>132112805</v>
      </c>
      <c r="B60">
        <v>0</v>
      </c>
      <c r="C60" s="18">
        <v>2024</v>
      </c>
      <c r="F60" t="s">
        <v>98</v>
      </c>
      <c r="G60">
        <v>1701</v>
      </c>
      <c r="H60">
        <f>VLOOKUP(N60,[1]REGRA!$C$2:$D$15,2,FALSE)</f>
        <v>24</v>
      </c>
      <c r="I60" t="str">
        <f>C60&amp;F60&amp;H60</f>
        <v>2024INT - S. J. DO RIO PRETO           24</v>
      </c>
      <c r="J60">
        <f>VLOOKUP(I60,'[2]BASE DE DADOS'!$A:$J,10,FALSE)</f>
        <v>1021</v>
      </c>
      <c r="K60" s="2"/>
      <c r="L60" s="2"/>
      <c r="N60" t="str">
        <f>G60&amp;C60</f>
        <v>17012024</v>
      </c>
    </row>
    <row r="61" spans="1:14" x14ac:dyDescent="0.35">
      <c r="A61">
        <v>132113183</v>
      </c>
      <c r="B61">
        <v>0</v>
      </c>
      <c r="C61" s="18">
        <v>2024</v>
      </c>
      <c r="F61" t="s">
        <v>51</v>
      </c>
      <c r="G61">
        <v>1701</v>
      </c>
      <c r="H61">
        <f>VLOOKUP(N61,[1]REGRA!$C$2:$D$15,2,FALSE)</f>
        <v>24</v>
      </c>
      <c r="I61" t="str">
        <f>C61&amp;F61&amp;H61</f>
        <v>2024PARCERIAS CO/MG/NE                 24</v>
      </c>
      <c r="J61">
        <f>VLOOKUP(I61,'[2]BASE DE DADOS'!$A:$J,10,FALSE)</f>
        <v>1033</v>
      </c>
      <c r="K61" s="2"/>
      <c r="L61" s="2"/>
      <c r="N61" t="str">
        <f>G61&amp;C61</f>
        <v>17012024</v>
      </c>
    </row>
    <row r="62" spans="1:14" x14ac:dyDescent="0.35">
      <c r="A62">
        <v>132113950</v>
      </c>
      <c r="B62">
        <v>0</v>
      </c>
      <c r="C62" s="18">
        <v>2024</v>
      </c>
      <c r="F62" t="s">
        <v>203</v>
      </c>
      <c r="G62">
        <v>1701</v>
      </c>
      <c r="H62">
        <f>VLOOKUP(N62,[1]REGRA!$C$2:$D$15,2,FALSE)</f>
        <v>24</v>
      </c>
      <c r="I62" t="str">
        <f>C62&amp;F62&amp;H62</f>
        <v>2024SUL - LONDRINA/MARINGA             24</v>
      </c>
      <c r="J62">
        <f>VLOOKUP(I62,'[2]BASE DE DADOS'!$A:$J,10,FALSE)</f>
        <v>1027</v>
      </c>
      <c r="K62" s="2"/>
      <c r="L62" s="2"/>
      <c r="N62" t="str">
        <f>G62&amp;C62</f>
        <v>17012024</v>
      </c>
    </row>
    <row r="63" spans="1:14" x14ac:dyDescent="0.35">
      <c r="A63">
        <v>132119465</v>
      </c>
      <c r="B63">
        <v>0</v>
      </c>
      <c r="C63" s="18">
        <v>2024</v>
      </c>
      <c r="F63" t="s">
        <v>74</v>
      </c>
      <c r="G63">
        <v>1701</v>
      </c>
      <c r="H63">
        <f>VLOOKUP(N63,[1]REGRA!$C$2:$D$15,2,FALSE)</f>
        <v>24</v>
      </c>
      <c r="I63" t="str">
        <f>C63&amp;F63&amp;H63</f>
        <v>2024NE - SALVADOR                      24</v>
      </c>
      <c r="J63">
        <f>VLOOKUP(I63,'[2]BASE DE DADOS'!$A:$J,10,FALSE)</f>
        <v>1018</v>
      </c>
      <c r="K63" s="2"/>
      <c r="L63" s="2"/>
      <c r="N63" t="str">
        <f>G63&amp;C63</f>
        <v>17012024</v>
      </c>
    </row>
    <row r="64" spans="1:14" x14ac:dyDescent="0.35">
      <c r="A64">
        <v>132119604</v>
      </c>
      <c r="B64">
        <v>0</v>
      </c>
      <c r="C64" s="18">
        <v>2024</v>
      </c>
      <c r="F64" t="s">
        <v>207</v>
      </c>
      <c r="G64">
        <v>1701</v>
      </c>
      <c r="H64">
        <f>VLOOKUP(N64,[1]REGRA!$C$2:$D$15,2,FALSE)</f>
        <v>24</v>
      </c>
      <c r="I64" t="str">
        <f>C64&amp;F64&amp;H64</f>
        <v>2024N - NORTE                          24</v>
      </c>
      <c r="J64">
        <f>VLOOKUP(I64,'[2]BASE DE DADOS'!$A:$J,10,FALSE)</f>
        <v>1018</v>
      </c>
      <c r="K64" s="2"/>
      <c r="L64" s="2"/>
      <c r="N64" t="str">
        <f>G64&amp;C64</f>
        <v>17012024</v>
      </c>
    </row>
    <row r="65" spans="1:14" x14ac:dyDescent="0.35">
      <c r="A65">
        <v>132119681</v>
      </c>
      <c r="B65">
        <v>0</v>
      </c>
      <c r="C65" s="18">
        <v>2024</v>
      </c>
      <c r="F65" t="s">
        <v>200</v>
      </c>
      <c r="G65">
        <v>1701</v>
      </c>
      <c r="H65">
        <f>VLOOKUP(N65,[1]REGRA!$C$2:$D$15,2,FALSE)</f>
        <v>24</v>
      </c>
      <c r="I65" t="str">
        <f>C65&amp;F65&amp;H65</f>
        <v>2024MG Ì BELO HORIZONTE                24</v>
      </c>
      <c r="J65">
        <f>VLOOKUP(I65,'[2]BASE DE DADOS'!$A:$J,10,FALSE)</f>
        <v>1015</v>
      </c>
      <c r="K65" s="2"/>
      <c r="L65" s="2"/>
      <c r="N65" t="str">
        <f>G65&amp;C65</f>
        <v>17012024</v>
      </c>
    </row>
    <row r="66" spans="1:14" x14ac:dyDescent="0.35">
      <c r="A66">
        <v>132119694</v>
      </c>
      <c r="B66">
        <v>0</v>
      </c>
      <c r="C66" s="18">
        <v>2024</v>
      </c>
      <c r="F66" t="s">
        <v>141</v>
      </c>
      <c r="G66">
        <v>1701</v>
      </c>
      <c r="H66">
        <f>VLOOKUP(N66,[1]REGRA!$C$2:$D$15,2,FALSE)</f>
        <v>24</v>
      </c>
      <c r="I66" t="str">
        <f>C66&amp;F66&amp;H66</f>
        <v>2024SUL - CURITIBA                     24</v>
      </c>
      <c r="J66">
        <f>VLOOKUP(I66,'[2]BASE DE DADOS'!$A:$J,10,FALSE)</f>
        <v>1030</v>
      </c>
      <c r="K66" s="2"/>
      <c r="L66" s="2"/>
      <c r="N66" t="str">
        <f>G66&amp;C66</f>
        <v>17012024</v>
      </c>
    </row>
    <row r="67" spans="1:14" x14ac:dyDescent="0.35">
      <c r="A67">
        <v>132120573</v>
      </c>
      <c r="B67">
        <v>0</v>
      </c>
      <c r="C67" s="18">
        <v>2024</v>
      </c>
      <c r="F67" t="s">
        <v>206</v>
      </c>
      <c r="G67">
        <v>1701</v>
      </c>
      <c r="H67">
        <f>VLOOKUP(N67,[1]REGRA!$C$2:$D$15,2,FALSE)</f>
        <v>24</v>
      </c>
      <c r="I67" t="str">
        <f>C67&amp;F67&amp;H67</f>
        <v>2024INT - RIB. PRETO                   24</v>
      </c>
      <c r="J67">
        <f>VLOOKUP(I67,'[2]BASE DE DADOS'!$A:$J,10,FALSE)</f>
        <v>1021</v>
      </c>
      <c r="K67" s="2"/>
      <c r="L67" s="2"/>
      <c r="N67" t="str">
        <f>G67&amp;C67</f>
        <v>17012024</v>
      </c>
    </row>
    <row r="68" spans="1:14" x14ac:dyDescent="0.35">
      <c r="A68">
        <v>132120659</v>
      </c>
      <c r="B68">
        <v>0</v>
      </c>
      <c r="C68" s="18">
        <v>2024</v>
      </c>
      <c r="F68" t="s">
        <v>51</v>
      </c>
      <c r="G68">
        <v>1701</v>
      </c>
      <c r="H68">
        <f>VLOOKUP(N68,[1]REGRA!$C$2:$D$15,2,FALSE)</f>
        <v>24</v>
      </c>
      <c r="I68" t="str">
        <f>C68&amp;F68&amp;H68</f>
        <v>2024PARCERIAS CO/MG/NE                 24</v>
      </c>
      <c r="J68">
        <f>VLOOKUP(I68,'[2]BASE DE DADOS'!$A:$J,10,FALSE)</f>
        <v>1033</v>
      </c>
      <c r="K68" s="2"/>
      <c r="L68" s="2"/>
      <c r="N68" t="str">
        <f>G68&amp;C68</f>
        <v>17012024</v>
      </c>
    </row>
    <row r="69" spans="1:14" x14ac:dyDescent="0.35">
      <c r="A69">
        <v>132138836</v>
      </c>
      <c r="B69">
        <v>0</v>
      </c>
      <c r="C69" s="18">
        <v>2024</v>
      </c>
      <c r="F69" t="s">
        <v>142</v>
      </c>
      <c r="G69">
        <v>1701</v>
      </c>
      <c r="H69">
        <f>VLOOKUP(N69,[1]REGRA!$C$2:$D$15,2,FALSE)</f>
        <v>24</v>
      </c>
      <c r="I69" t="str">
        <f>C69&amp;F69&amp;H69</f>
        <v>2024SUL - PORTO ALEGRE                 24</v>
      </c>
      <c r="J69">
        <f>VLOOKUP(I69,'[2]BASE DE DADOS'!$A:$J,10,FALSE)</f>
        <v>1030</v>
      </c>
      <c r="K69" s="2"/>
      <c r="L69" s="2"/>
      <c r="N69" t="str">
        <f>G69&amp;C69</f>
        <v>17012024</v>
      </c>
    </row>
    <row r="70" spans="1:14" x14ac:dyDescent="0.35">
      <c r="A70">
        <v>132169649</v>
      </c>
      <c r="B70">
        <v>0</v>
      </c>
      <c r="C70" s="18">
        <v>2024</v>
      </c>
      <c r="F70" t="s">
        <v>97</v>
      </c>
      <c r="G70">
        <v>1701</v>
      </c>
      <c r="H70">
        <f>VLOOKUP(N70,[1]REGRA!$C$2:$D$15,2,FALSE)</f>
        <v>24</v>
      </c>
      <c r="I70" t="str">
        <f>C70&amp;F70&amp;H70</f>
        <v>2024INT - PRESIDENTE PRUDENTE          24</v>
      </c>
      <c r="J70">
        <f>VLOOKUP(I70,'[2]BASE DE DADOS'!$A:$J,10,FALSE)</f>
        <v>1021</v>
      </c>
      <c r="K70" s="2"/>
      <c r="L70" s="2"/>
      <c r="N70" t="str">
        <f>G70&amp;C70</f>
        <v>17012024</v>
      </c>
    </row>
    <row r="71" spans="1:14" x14ac:dyDescent="0.35">
      <c r="A71">
        <v>132125689</v>
      </c>
      <c r="B71">
        <v>0</v>
      </c>
      <c r="C71" s="18">
        <v>2024</v>
      </c>
      <c r="F71" t="s">
        <v>208</v>
      </c>
      <c r="G71">
        <v>1701</v>
      </c>
      <c r="H71">
        <f>VLOOKUP(N71,[1]REGRA!$C$2:$D$15,2,FALSE)</f>
        <v>24</v>
      </c>
      <c r="I71" t="str">
        <f>C71&amp;F71&amp;H71</f>
        <v>2024INT - CAMPINAS                     24</v>
      </c>
      <c r="J71">
        <f>VLOOKUP(I71,'[2]BASE DE DADOS'!$A:$J,10,FALSE)</f>
        <v>1021</v>
      </c>
      <c r="K71" s="2"/>
      <c r="L71" s="2"/>
      <c r="N71" t="str">
        <f>G71&amp;C71</f>
        <v>17012024</v>
      </c>
    </row>
    <row r="72" spans="1:14" x14ac:dyDescent="0.35">
      <c r="A72">
        <v>132125855</v>
      </c>
      <c r="B72">
        <v>0</v>
      </c>
      <c r="C72" s="18">
        <v>2024</v>
      </c>
      <c r="F72" t="s">
        <v>141</v>
      </c>
      <c r="G72">
        <v>1701</v>
      </c>
      <c r="H72">
        <f>VLOOKUP(N72,[1]REGRA!$C$2:$D$15,2,FALSE)</f>
        <v>24</v>
      </c>
      <c r="I72" t="str">
        <f>C72&amp;F72&amp;H72</f>
        <v>2024SUL - CURITIBA                     24</v>
      </c>
      <c r="J72">
        <f>VLOOKUP(I72,'[2]BASE DE DADOS'!$A:$J,10,FALSE)</f>
        <v>1030</v>
      </c>
      <c r="K72" s="2"/>
      <c r="L72" s="2"/>
      <c r="N72" t="str">
        <f>G72&amp;C72</f>
        <v>17012024</v>
      </c>
    </row>
    <row r="73" spans="1:14" x14ac:dyDescent="0.35">
      <c r="A73">
        <v>132127335</v>
      </c>
      <c r="B73">
        <v>0</v>
      </c>
      <c r="C73" s="18">
        <v>2024</v>
      </c>
      <c r="F73" t="s">
        <v>98</v>
      </c>
      <c r="G73">
        <v>1701</v>
      </c>
      <c r="H73">
        <f>VLOOKUP(N73,[1]REGRA!$C$2:$D$15,2,FALSE)</f>
        <v>24</v>
      </c>
      <c r="I73" t="str">
        <f>C73&amp;F73&amp;H73</f>
        <v>2024INT - S. J. DO RIO PRETO           24</v>
      </c>
      <c r="J73">
        <f>VLOOKUP(I73,'[2]BASE DE DADOS'!$A:$J,10,FALSE)</f>
        <v>1021</v>
      </c>
      <c r="K73" s="2"/>
      <c r="L73" s="2"/>
      <c r="N73" t="str">
        <f>G73&amp;C73</f>
        <v>17012024</v>
      </c>
    </row>
    <row r="74" spans="1:14" x14ac:dyDescent="0.35">
      <c r="A74">
        <v>132127399</v>
      </c>
      <c r="B74">
        <v>0</v>
      </c>
      <c r="C74" s="18">
        <v>2024</v>
      </c>
      <c r="F74" t="s">
        <v>199</v>
      </c>
      <c r="G74">
        <v>1701</v>
      </c>
      <c r="H74">
        <f>VLOOKUP(N74,[1]REGRA!$C$2:$D$15,2,FALSE)</f>
        <v>24</v>
      </c>
      <c r="I74" t="str">
        <f>C74&amp;F74&amp;H74</f>
        <v>2024NE - FORTALEZA/ASSESSORIA          24</v>
      </c>
      <c r="J74">
        <f>VLOOKUP(I74,'[2]BASE DE DADOS'!$A:$J,10,FALSE)</f>
        <v>1018</v>
      </c>
      <c r="K74" s="2"/>
      <c r="L74" s="2"/>
      <c r="N74" t="str">
        <f>G74&amp;C74</f>
        <v>17012024</v>
      </c>
    </row>
    <row r="75" spans="1:14" x14ac:dyDescent="0.35">
      <c r="A75">
        <v>132130088</v>
      </c>
      <c r="B75">
        <v>0</v>
      </c>
      <c r="C75" s="18">
        <v>2024</v>
      </c>
      <c r="F75" t="s">
        <v>133</v>
      </c>
      <c r="G75">
        <v>1701</v>
      </c>
      <c r="H75">
        <f>VLOOKUP(N75,[1]REGRA!$C$2:$D$15,2,FALSE)</f>
        <v>24</v>
      </c>
      <c r="I75" t="str">
        <f>C75&amp;F75&amp;H75</f>
        <v>2024SP - CENTRO                        24</v>
      </c>
      <c r="J75">
        <f>VLOOKUP(I75,'[2]BASE DE DADOS'!$A:$J,10,FALSE)</f>
        <v>1012</v>
      </c>
      <c r="K75" s="2"/>
      <c r="L75" s="2"/>
      <c r="N75" t="str">
        <f>G75&amp;C75</f>
        <v>17012024</v>
      </c>
    </row>
    <row r="76" spans="1:14" x14ac:dyDescent="0.35">
      <c r="A76">
        <v>132135951</v>
      </c>
      <c r="B76">
        <v>0</v>
      </c>
      <c r="C76" s="18">
        <v>2024</v>
      </c>
      <c r="F76" t="s">
        <v>51</v>
      </c>
      <c r="G76">
        <v>1701</v>
      </c>
      <c r="H76">
        <f>VLOOKUP(N76,[1]REGRA!$C$2:$D$15,2,FALSE)</f>
        <v>24</v>
      </c>
      <c r="I76" t="str">
        <f>C76&amp;F76&amp;H76</f>
        <v>2024PARCERIAS CO/MG/NE                 24</v>
      </c>
      <c r="J76">
        <f>VLOOKUP(I76,'[2]BASE DE DADOS'!$A:$J,10,FALSE)</f>
        <v>1033</v>
      </c>
      <c r="K76" s="2"/>
      <c r="L76" s="2"/>
      <c r="N76" t="str">
        <f>G76&amp;C76</f>
        <v>17012024</v>
      </c>
    </row>
    <row r="77" spans="1:14" x14ac:dyDescent="0.35">
      <c r="A77">
        <v>132136081</v>
      </c>
      <c r="B77">
        <v>0</v>
      </c>
      <c r="C77" s="18">
        <v>2024</v>
      </c>
      <c r="F77" t="s">
        <v>140</v>
      </c>
      <c r="G77">
        <v>1701</v>
      </c>
      <c r="H77">
        <f>VLOOKUP(N77,[1]REGRA!$C$2:$D$15,2,FALSE)</f>
        <v>24</v>
      </c>
      <c r="I77" t="str">
        <f>C77&amp;F77&amp;H77</f>
        <v>2024SUL - CHAPECO                      24</v>
      </c>
      <c r="J77">
        <f>VLOOKUP(I77,'[2]BASE DE DADOS'!$A:$J,10,FALSE)</f>
        <v>1027</v>
      </c>
      <c r="K77" s="2"/>
      <c r="L77" s="2"/>
      <c r="N77" t="str">
        <f>G77&amp;C77</f>
        <v>17012024</v>
      </c>
    </row>
    <row r="78" spans="1:14" x14ac:dyDescent="0.35">
      <c r="A78">
        <v>132136288</v>
      </c>
      <c r="B78">
        <v>0</v>
      </c>
      <c r="C78" s="18">
        <v>2024</v>
      </c>
      <c r="F78" t="s">
        <v>146</v>
      </c>
      <c r="G78">
        <v>1701</v>
      </c>
      <c r="H78">
        <f>VLOOKUP(N78,[1]REGRA!$C$2:$D$15,2,FALSE)</f>
        <v>24</v>
      </c>
      <c r="I78" t="str">
        <f>C78&amp;F78&amp;H78</f>
        <v>2024CO - BRASILIA                      24</v>
      </c>
      <c r="J78">
        <f>VLOOKUP(I78,'[2]BASE DE DADOS'!$A:$J,10,FALSE)</f>
        <v>1015</v>
      </c>
      <c r="K78" s="2"/>
      <c r="L78" s="2"/>
      <c r="N78" t="str">
        <f>G78&amp;C78</f>
        <v>17012024</v>
      </c>
    </row>
    <row r="79" spans="1:14" x14ac:dyDescent="0.35">
      <c r="A79">
        <v>132140221</v>
      </c>
      <c r="B79">
        <v>0</v>
      </c>
      <c r="C79" s="18">
        <v>2024</v>
      </c>
      <c r="F79" t="s">
        <v>200</v>
      </c>
      <c r="G79">
        <v>1701</v>
      </c>
      <c r="H79">
        <f>VLOOKUP(N79,[1]REGRA!$C$2:$D$15,2,FALSE)</f>
        <v>24</v>
      </c>
      <c r="I79" t="str">
        <f>C79&amp;F79&amp;H79</f>
        <v>2024MG Ì BELO HORIZONTE                24</v>
      </c>
      <c r="J79">
        <f>VLOOKUP(I79,'[2]BASE DE DADOS'!$A:$J,10,FALSE)</f>
        <v>1015</v>
      </c>
      <c r="K79" s="2"/>
      <c r="L79" s="2"/>
      <c r="N79" t="str">
        <f>G79&amp;C79</f>
        <v>17012024</v>
      </c>
    </row>
    <row r="80" spans="1:14" x14ac:dyDescent="0.35">
      <c r="A80">
        <v>132143742</v>
      </c>
      <c r="B80">
        <v>0</v>
      </c>
      <c r="C80" s="18">
        <v>2024</v>
      </c>
      <c r="F80" t="s">
        <v>142</v>
      </c>
      <c r="G80">
        <v>1701</v>
      </c>
      <c r="H80">
        <f>VLOOKUP(N80,[1]REGRA!$C$2:$D$15,2,FALSE)</f>
        <v>24</v>
      </c>
      <c r="I80" t="str">
        <f>C80&amp;F80&amp;H80</f>
        <v>2024SUL - PORTO ALEGRE                 24</v>
      </c>
      <c r="J80">
        <f>VLOOKUP(I80,'[2]BASE DE DADOS'!$A:$J,10,FALSE)</f>
        <v>1030</v>
      </c>
      <c r="K80" s="2"/>
      <c r="L80" s="2"/>
      <c r="N80" t="str">
        <f>G80&amp;C80</f>
        <v>17012024</v>
      </c>
    </row>
    <row r="81" spans="1:14" x14ac:dyDescent="0.35">
      <c r="A81">
        <v>132150720</v>
      </c>
      <c r="B81">
        <v>0</v>
      </c>
      <c r="C81" s="18">
        <v>2024</v>
      </c>
      <c r="F81" t="s">
        <v>202</v>
      </c>
      <c r="G81">
        <v>1701</v>
      </c>
      <c r="H81">
        <f>VLOOKUP(N81,[1]REGRA!$C$2:$D$15,2,FALSE)</f>
        <v>24</v>
      </c>
      <c r="I81" t="str">
        <f>C81&amp;F81&amp;H81</f>
        <v>2024INT - PIRACICABA                   24</v>
      </c>
      <c r="J81">
        <f>VLOOKUP(I81,'[2]BASE DE DADOS'!$A:$J,10,FALSE)</f>
        <v>1021</v>
      </c>
      <c r="K81" s="2"/>
      <c r="L81" s="2"/>
      <c r="N81" t="str">
        <f>G81&amp;C81</f>
        <v>17012024</v>
      </c>
    </row>
    <row r="82" spans="1:14" x14ac:dyDescent="0.35">
      <c r="A82">
        <v>132155503</v>
      </c>
      <c r="B82">
        <v>0</v>
      </c>
      <c r="C82" s="18">
        <v>2024</v>
      </c>
      <c r="F82" t="s">
        <v>181</v>
      </c>
      <c r="G82">
        <v>1701</v>
      </c>
      <c r="H82">
        <f>VLOOKUP(N82,[1]REGRA!$C$2:$D$15,2,FALSE)</f>
        <v>24</v>
      </c>
      <c r="I82" t="str">
        <f>C82&amp;F82&amp;H82</f>
        <v>2024CO - GOIAS                         24</v>
      </c>
      <c r="J82">
        <f>VLOOKUP(I82,'[2]BASE DE DADOS'!$A:$J,10,FALSE)</f>
        <v>1015</v>
      </c>
      <c r="K82" s="2"/>
      <c r="L82" s="2"/>
      <c r="N82" t="str">
        <f>G82&amp;C82</f>
        <v>17012024</v>
      </c>
    </row>
    <row r="83" spans="1:14" x14ac:dyDescent="0.35">
      <c r="A83">
        <v>132155698</v>
      </c>
      <c r="B83">
        <v>0</v>
      </c>
      <c r="C83" s="18">
        <v>2024</v>
      </c>
      <c r="F83" t="s">
        <v>127</v>
      </c>
      <c r="G83">
        <v>1701</v>
      </c>
      <c r="H83">
        <f>VLOOKUP(N83,[1]REGRA!$C$2:$D$15,2,FALSE)</f>
        <v>24</v>
      </c>
      <c r="I83" t="str">
        <f>C83&amp;F83&amp;H83</f>
        <v>2024SP - ASSESSORIAS                   24</v>
      </c>
      <c r="J83">
        <f>VLOOKUP(I83,'[2]BASE DE DADOS'!$A:$J,10,FALSE)</f>
        <v>1012</v>
      </c>
      <c r="K83" s="2"/>
      <c r="L83" s="2"/>
      <c r="N83" t="str">
        <f>G83&amp;C83</f>
        <v>17012024</v>
      </c>
    </row>
    <row r="84" spans="1:14" x14ac:dyDescent="0.35">
      <c r="A84">
        <v>132156459</v>
      </c>
      <c r="B84">
        <v>0</v>
      </c>
      <c r="C84" s="18">
        <v>2024</v>
      </c>
      <c r="F84" t="s">
        <v>146</v>
      </c>
      <c r="G84">
        <v>1701</v>
      </c>
      <c r="H84">
        <f>VLOOKUP(N84,[1]REGRA!$C$2:$D$15,2,FALSE)</f>
        <v>24</v>
      </c>
      <c r="I84" t="str">
        <f>C84&amp;F84&amp;H84</f>
        <v>2024CO - BRASILIA                      24</v>
      </c>
      <c r="J84">
        <f>VLOOKUP(I84,'[2]BASE DE DADOS'!$A:$J,10,FALSE)</f>
        <v>1015</v>
      </c>
      <c r="K84" s="2"/>
      <c r="L84" s="2"/>
      <c r="N84" t="str">
        <f>G84&amp;C84</f>
        <v>17012024</v>
      </c>
    </row>
    <row r="85" spans="1:14" x14ac:dyDescent="0.35">
      <c r="A85">
        <v>132176904</v>
      </c>
      <c r="B85">
        <v>0</v>
      </c>
      <c r="C85" s="18">
        <v>2024</v>
      </c>
      <c r="F85" t="s">
        <v>53</v>
      </c>
      <c r="G85">
        <v>1701</v>
      </c>
      <c r="H85">
        <f>VLOOKUP(N85,[1]REGRA!$C$2:$D$15,2,FALSE)</f>
        <v>24</v>
      </c>
      <c r="I85" t="str">
        <f>C85&amp;F85&amp;H85</f>
        <v>2024PARCERIAS SUL                      24</v>
      </c>
      <c r="J85">
        <f>VLOOKUP(I85,'[2]BASE DE DADOS'!$A:$J,10,FALSE)</f>
        <v>1033</v>
      </c>
      <c r="K85" s="2"/>
      <c r="L85" s="2"/>
      <c r="N85" t="str">
        <f>G85&amp;C85</f>
        <v>17012024</v>
      </c>
    </row>
    <row r="86" spans="1:14" x14ac:dyDescent="0.35">
      <c r="A86">
        <v>132193298</v>
      </c>
      <c r="B86">
        <v>0</v>
      </c>
      <c r="C86" s="18">
        <v>2024</v>
      </c>
      <c r="F86" t="s">
        <v>170</v>
      </c>
      <c r="G86">
        <v>2279</v>
      </c>
      <c r="H86">
        <f>VLOOKUP(N86,[1]REGRA!$C$2:$D$15,2,FALSE)</f>
        <v>24</v>
      </c>
      <c r="I86" t="str">
        <f>C86&amp;F86&amp;H86</f>
        <v>2024N/NE - ATNP                        24</v>
      </c>
      <c r="J86">
        <f>VLOOKUP(I86,'[2]BASE DE DADOS'!$A:$J,10,FALSE)</f>
        <v>1018</v>
      </c>
      <c r="K86" s="2"/>
      <c r="L86" s="2"/>
      <c r="N86" t="str">
        <f>G86&amp;C86</f>
        <v>22792024</v>
      </c>
    </row>
    <row r="87" spans="1:14" x14ac:dyDescent="0.35">
      <c r="A87">
        <v>129381948</v>
      </c>
      <c r="B87">
        <v>0</v>
      </c>
      <c r="C87" s="18">
        <v>2024</v>
      </c>
      <c r="F87" t="s">
        <v>209</v>
      </c>
      <c r="G87">
        <v>2279</v>
      </c>
      <c r="H87">
        <f>VLOOKUP(N87,[1]REGRA!$C$2:$D$15,2,FALSE)</f>
        <v>24</v>
      </c>
      <c r="I87" t="str">
        <f>C87&amp;F87&amp;H87</f>
        <v>2024SP - ZONA SUL                      24</v>
      </c>
      <c r="J87" t="e">
        <f>VLOOKUP(I87,'[2]BASE DE DADOS'!$A:$J,10,FALSE)</f>
        <v>#N/A</v>
      </c>
      <c r="K87" s="2"/>
      <c r="L87" s="2"/>
      <c r="N87" t="str">
        <f>G87&amp;C87</f>
        <v>22792024</v>
      </c>
    </row>
    <row r="88" spans="1:14" x14ac:dyDescent="0.35">
      <c r="A88">
        <v>132175496</v>
      </c>
      <c r="B88">
        <v>0</v>
      </c>
      <c r="C88" s="18">
        <v>2024</v>
      </c>
      <c r="F88" t="s">
        <v>198</v>
      </c>
      <c r="G88">
        <v>2279</v>
      </c>
      <c r="H88">
        <f>VLOOKUP(N88,[1]REGRA!$C$2:$D$15,2,FALSE)</f>
        <v>24</v>
      </c>
      <c r="I88" t="str">
        <f>C88&amp;F88&amp;H88</f>
        <v>2024RJ - INTERIOR/NITEROI              24</v>
      </c>
      <c r="J88" t="e">
        <f>VLOOKUP(I88,'[2]BASE DE DADOS'!$A:$J,10,FALSE)</f>
        <v>#N/A</v>
      </c>
      <c r="K88" s="2"/>
      <c r="L88" s="2"/>
      <c r="N88" t="str">
        <f>G88&amp;C88</f>
        <v>22792024</v>
      </c>
    </row>
    <row r="89" spans="1:14" x14ac:dyDescent="0.35">
      <c r="A89">
        <v>132189375</v>
      </c>
      <c r="B89">
        <v>0</v>
      </c>
      <c r="C89" s="18">
        <v>2024</v>
      </c>
      <c r="F89" t="s">
        <v>127</v>
      </c>
      <c r="G89">
        <v>2279</v>
      </c>
      <c r="H89">
        <f>VLOOKUP(N89,[1]REGRA!$C$2:$D$15,2,FALSE)</f>
        <v>24</v>
      </c>
      <c r="I89" t="str">
        <f>C89&amp;F89&amp;H89</f>
        <v>2024SP - ASSESSORIAS                   24</v>
      </c>
      <c r="J89">
        <f>VLOOKUP(I89,'[2]BASE DE DADOS'!$A:$J,10,FALSE)</f>
        <v>1012</v>
      </c>
      <c r="K89" s="2"/>
      <c r="L89" s="2"/>
      <c r="N89" t="str">
        <f>G89&amp;C89</f>
        <v>22792024</v>
      </c>
    </row>
    <row r="90" spans="1:14" x14ac:dyDescent="0.35">
      <c r="A90">
        <v>132198219</v>
      </c>
      <c r="B90">
        <v>0</v>
      </c>
      <c r="C90" s="18">
        <v>2024</v>
      </c>
      <c r="F90" t="s">
        <v>170</v>
      </c>
      <c r="G90">
        <v>2279</v>
      </c>
      <c r="H90">
        <f>VLOOKUP(N90,[1]REGRA!$C$2:$D$15,2,FALSE)</f>
        <v>24</v>
      </c>
      <c r="I90" t="str">
        <f>C90&amp;F90&amp;H90</f>
        <v>2024N/NE - ATNP                        24</v>
      </c>
      <c r="J90">
        <f>VLOOKUP(I90,'[2]BASE DE DADOS'!$A:$J,10,FALSE)</f>
        <v>1018</v>
      </c>
      <c r="K90" s="2"/>
      <c r="L90" s="2"/>
      <c r="N90" t="str">
        <f>G90&amp;C90</f>
        <v>22792024</v>
      </c>
    </row>
    <row r="91" spans="1:14" x14ac:dyDescent="0.35">
      <c r="A91">
        <v>132200927</v>
      </c>
      <c r="B91">
        <v>0</v>
      </c>
      <c r="C91" s="18">
        <v>2024</v>
      </c>
      <c r="F91" t="s">
        <v>53</v>
      </c>
      <c r="G91">
        <v>2279</v>
      </c>
      <c r="H91">
        <f>VLOOKUP(N91,[1]REGRA!$C$2:$D$15,2,FALSE)</f>
        <v>24</v>
      </c>
      <c r="I91" t="str">
        <f>C91&amp;F91&amp;H91</f>
        <v>2024PARCERIAS SUL                      24</v>
      </c>
      <c r="J91">
        <f>VLOOKUP(I91,'[2]BASE DE DADOS'!$A:$J,10,FALSE)</f>
        <v>1033</v>
      </c>
      <c r="K91" s="2"/>
      <c r="L91" s="2"/>
      <c r="N91" t="str">
        <f>G91&amp;C91</f>
        <v>22792024</v>
      </c>
    </row>
    <row r="92" spans="1:14" x14ac:dyDescent="0.35">
      <c r="A92">
        <v>132201522</v>
      </c>
      <c r="B92">
        <v>0</v>
      </c>
      <c r="C92" s="18">
        <v>2024</v>
      </c>
      <c r="F92" t="s">
        <v>51</v>
      </c>
      <c r="G92">
        <v>2279</v>
      </c>
      <c r="H92">
        <f>VLOOKUP(N92,[1]REGRA!$C$2:$D$15,2,FALSE)</f>
        <v>24</v>
      </c>
      <c r="I92" t="str">
        <f>C92&amp;F92&amp;H92</f>
        <v>2024PARCERIAS CO/MG/NE                 24</v>
      </c>
      <c r="J92">
        <f>VLOOKUP(I92,'[2]BASE DE DADOS'!$A:$J,10,FALSE)</f>
        <v>1033</v>
      </c>
      <c r="K92" s="2"/>
      <c r="L92" s="2"/>
      <c r="N92" t="str">
        <f>G92&amp;C92</f>
        <v>22792024</v>
      </c>
    </row>
    <row r="93" spans="1:14" x14ac:dyDescent="0.35">
      <c r="A93">
        <v>132199416</v>
      </c>
      <c r="B93">
        <v>0</v>
      </c>
      <c r="C93" s="18">
        <v>2024</v>
      </c>
      <c r="F93" t="s">
        <v>178</v>
      </c>
      <c r="G93">
        <v>8027</v>
      </c>
      <c r="H93">
        <f>VLOOKUP(N93,[1]REGRA!$C$2:$D$15,2,FALSE)</f>
        <v>24</v>
      </c>
      <c r="I93" t="str">
        <f>C93&amp;F93&amp;H93</f>
        <v>2024MG - TRIANGULO MINEIRO             24</v>
      </c>
      <c r="J93">
        <f>VLOOKUP(I93,'[2]BASE DE DADOS'!$A:$J,10,FALSE)</f>
        <v>1015</v>
      </c>
      <c r="K93" s="2"/>
      <c r="L93" s="2"/>
      <c r="N93" t="str">
        <f>G93&amp;C93</f>
        <v>80272024</v>
      </c>
    </row>
    <row r="94" spans="1:14" x14ac:dyDescent="0.35">
      <c r="A94" s="21">
        <v>132057975</v>
      </c>
      <c r="B94">
        <v>0</v>
      </c>
      <c r="C94" s="18">
        <v>2002</v>
      </c>
      <c r="F94" s="2" t="s">
        <v>210</v>
      </c>
      <c r="G94">
        <v>714</v>
      </c>
      <c r="H94">
        <f>VLOOKUP(N94,[1]REGRA!$C$2:$D$15,2,FALSE)</f>
        <v>10</v>
      </c>
      <c r="I94" t="str">
        <f>C94&amp;F94&amp;H94</f>
        <v>2002SUL - PORTO ALEGRE10</v>
      </c>
      <c r="J94" t="e">
        <f>VLOOKUP(I94,'[2]BASE DE DADOS'!$A:$J,10,FALSE)</f>
        <v>#N/A</v>
      </c>
      <c r="K94" s="2"/>
      <c r="L94" s="2"/>
      <c r="N94" t="str">
        <f>G94&amp;C94</f>
        <v>7142002</v>
      </c>
    </row>
    <row r="95" spans="1:14" x14ac:dyDescent="0.35">
      <c r="A95" s="21">
        <v>132062321</v>
      </c>
      <c r="B95">
        <v>0</v>
      </c>
      <c r="C95" s="18">
        <v>2002</v>
      </c>
      <c r="F95" s="2" t="s">
        <v>211</v>
      </c>
      <c r="G95">
        <v>714</v>
      </c>
      <c r="H95">
        <f>VLOOKUP(N95,[1]REGRA!$C$2:$D$15,2,FALSE)</f>
        <v>10</v>
      </c>
      <c r="I95" t="str">
        <f>C95&amp;F95&amp;H95</f>
        <v>2002SUL - FLORIANOPOLIS10</v>
      </c>
      <c r="J95" t="e">
        <f>VLOOKUP(I95,'[2]BASE DE DADOS'!$A:$J,10,FALSE)</f>
        <v>#N/A</v>
      </c>
      <c r="K95" s="2"/>
      <c r="L95" s="2"/>
      <c r="N95" t="str">
        <f>G95&amp;C95</f>
        <v>7142002</v>
      </c>
    </row>
    <row r="96" spans="1:14" x14ac:dyDescent="0.35">
      <c r="A96" s="21">
        <v>132065046</v>
      </c>
      <c r="B96">
        <v>0</v>
      </c>
      <c r="C96" s="18">
        <v>2002</v>
      </c>
      <c r="F96" s="2" t="s">
        <v>212</v>
      </c>
      <c r="G96">
        <v>714</v>
      </c>
      <c r="H96">
        <f>VLOOKUP(N96,[1]REGRA!$C$2:$D$15,2,FALSE)</f>
        <v>10</v>
      </c>
      <c r="I96" t="str">
        <f>C96&amp;F96&amp;H96</f>
        <v>2002N/NE - ATNP10</v>
      </c>
      <c r="J96" t="e">
        <f>VLOOKUP(I96,'[2]BASE DE DADOS'!$A:$J,10,FALSE)</f>
        <v>#N/A</v>
      </c>
      <c r="K96" s="2"/>
      <c r="L96" s="2"/>
      <c r="N96" t="str">
        <f>G96&amp;C96</f>
        <v>7142002</v>
      </c>
    </row>
    <row r="97" spans="1:14" x14ac:dyDescent="0.35">
      <c r="A97" s="21">
        <v>132070903</v>
      </c>
      <c r="B97">
        <v>0</v>
      </c>
      <c r="C97" s="18">
        <v>2002</v>
      </c>
      <c r="F97" s="2" t="s">
        <v>211</v>
      </c>
      <c r="G97">
        <v>714</v>
      </c>
      <c r="H97">
        <f>VLOOKUP(N97,[1]REGRA!$C$2:$D$15,2,FALSE)</f>
        <v>10</v>
      </c>
      <c r="I97" t="str">
        <f>C97&amp;F97&amp;H97</f>
        <v>2002SUL - FLORIANOPOLIS10</v>
      </c>
      <c r="J97" t="e">
        <f>VLOOKUP(I97,'[2]BASE DE DADOS'!$A:$J,10,FALSE)</f>
        <v>#N/A</v>
      </c>
      <c r="K97" s="2"/>
      <c r="L97" s="2"/>
      <c r="N97" t="str">
        <f>G97&amp;C97</f>
        <v>7142002</v>
      </c>
    </row>
    <row r="98" spans="1:14" x14ac:dyDescent="0.35">
      <c r="A98" s="21">
        <v>132072306</v>
      </c>
      <c r="B98">
        <v>0</v>
      </c>
      <c r="C98" s="18">
        <v>2002</v>
      </c>
      <c r="F98" s="2" t="s">
        <v>211</v>
      </c>
      <c r="G98">
        <v>714</v>
      </c>
      <c r="H98">
        <f>VLOOKUP(N98,[1]REGRA!$C$2:$D$15,2,FALSE)</f>
        <v>10</v>
      </c>
      <c r="I98" t="str">
        <f>C98&amp;F98&amp;H98</f>
        <v>2002SUL - FLORIANOPOLIS10</v>
      </c>
      <c r="J98" t="e">
        <f>VLOOKUP(I98,'[2]BASE DE DADOS'!$A:$J,10,FALSE)</f>
        <v>#N/A</v>
      </c>
      <c r="K98" s="2"/>
      <c r="L98" s="2"/>
      <c r="N98" t="str">
        <f>G98&amp;C98</f>
        <v>7142002</v>
      </c>
    </row>
    <row r="99" spans="1:14" x14ac:dyDescent="0.35">
      <c r="A99" s="21">
        <v>132075270</v>
      </c>
      <c r="B99">
        <v>0</v>
      </c>
      <c r="C99" s="18">
        <v>2002</v>
      </c>
      <c r="F99" s="2" t="s">
        <v>211</v>
      </c>
      <c r="G99">
        <v>714</v>
      </c>
      <c r="H99">
        <f>VLOOKUP(N99,[1]REGRA!$C$2:$D$15,2,FALSE)</f>
        <v>10</v>
      </c>
      <c r="I99" t="str">
        <f>C99&amp;F99&amp;H99</f>
        <v>2002SUL - FLORIANOPOLIS10</v>
      </c>
      <c r="J99" t="e">
        <f>VLOOKUP(I99,'[2]BASE DE DADOS'!$A:$J,10,FALSE)</f>
        <v>#N/A</v>
      </c>
      <c r="K99" s="2"/>
      <c r="L99" s="2"/>
      <c r="N99" t="str">
        <f>G99&amp;C99</f>
        <v>7142002</v>
      </c>
    </row>
    <row r="100" spans="1:14" x14ac:dyDescent="0.35">
      <c r="A100" s="21">
        <v>132076017</v>
      </c>
      <c r="B100">
        <v>0</v>
      </c>
      <c r="C100" s="18">
        <v>2002</v>
      </c>
      <c r="F100" s="2" t="s">
        <v>211</v>
      </c>
      <c r="G100">
        <v>714</v>
      </c>
      <c r="H100">
        <f>VLOOKUP(N100,[1]REGRA!$C$2:$D$15,2,FALSE)</f>
        <v>10</v>
      </c>
      <c r="I100" t="str">
        <f>C100&amp;F100&amp;H100</f>
        <v>2002SUL - FLORIANOPOLIS10</v>
      </c>
      <c r="J100" t="e">
        <f>VLOOKUP(I100,'[2]BASE DE DADOS'!$A:$J,10,FALSE)</f>
        <v>#N/A</v>
      </c>
      <c r="K100" s="2"/>
      <c r="L100" s="2"/>
      <c r="N100" t="str">
        <f>G100&amp;C100</f>
        <v>7142002</v>
      </c>
    </row>
    <row r="101" spans="1:14" x14ac:dyDescent="0.35">
      <c r="A101" s="21">
        <v>132077837</v>
      </c>
      <c r="B101">
        <v>0</v>
      </c>
      <c r="C101" s="18">
        <v>2002</v>
      </c>
      <c r="F101" s="2" t="s">
        <v>213</v>
      </c>
      <c r="G101">
        <v>714</v>
      </c>
      <c r="H101">
        <f>VLOOKUP(N101,[1]REGRA!$C$2:$D$15,2,FALSE)</f>
        <v>10</v>
      </c>
      <c r="I101" t="str">
        <f>C101&amp;F101&amp;H101</f>
        <v>2002N - NORTE10</v>
      </c>
      <c r="J101" t="e">
        <f>VLOOKUP(I101,'[2]BASE DE DADOS'!$A:$J,10,FALSE)</f>
        <v>#N/A</v>
      </c>
      <c r="K101" s="2"/>
      <c r="L101" s="2"/>
      <c r="N101" t="str">
        <f>G101&amp;C101</f>
        <v>7142002</v>
      </c>
    </row>
    <row r="102" spans="1:14" x14ac:dyDescent="0.35">
      <c r="A102" s="21">
        <v>132079839</v>
      </c>
      <c r="B102">
        <v>0</v>
      </c>
      <c r="C102" s="18">
        <v>2002</v>
      </c>
      <c r="F102" s="2" t="s">
        <v>214</v>
      </c>
      <c r="G102">
        <v>714</v>
      </c>
      <c r="H102">
        <f>VLOOKUP(N102,[1]REGRA!$C$2:$D$15,2,FALSE)</f>
        <v>10</v>
      </c>
      <c r="I102" t="str">
        <f>C102&amp;F102&amp;H102</f>
        <v>2002INT - S. J. DO RIO PRETO10</v>
      </c>
      <c r="J102" t="e">
        <f>VLOOKUP(I102,'[2]BASE DE DADOS'!$A:$J,10,FALSE)</f>
        <v>#N/A</v>
      </c>
      <c r="K102" s="2"/>
      <c r="L102" s="2"/>
      <c r="N102" t="str">
        <f>G102&amp;C102</f>
        <v>7142002</v>
      </c>
    </row>
    <row r="103" spans="1:14" x14ac:dyDescent="0.35">
      <c r="A103" s="21">
        <v>132080877</v>
      </c>
      <c r="B103">
        <v>0</v>
      </c>
      <c r="C103" s="18">
        <v>2002</v>
      </c>
      <c r="F103" s="2" t="s">
        <v>212</v>
      </c>
      <c r="G103">
        <v>714</v>
      </c>
      <c r="H103">
        <f>VLOOKUP(N103,[1]REGRA!$C$2:$D$15,2,FALSE)</f>
        <v>10</v>
      </c>
      <c r="I103" t="str">
        <f>C103&amp;F103&amp;H103</f>
        <v>2002N/NE - ATNP10</v>
      </c>
      <c r="J103" t="e">
        <f>VLOOKUP(I103,'[2]BASE DE DADOS'!$A:$J,10,FALSE)</f>
        <v>#N/A</v>
      </c>
      <c r="K103" s="2"/>
      <c r="L103" s="2"/>
      <c r="N103" t="str">
        <f>G103&amp;C103</f>
        <v>7142002</v>
      </c>
    </row>
    <row r="104" spans="1:14" x14ac:dyDescent="0.35">
      <c r="A104" s="21">
        <v>132081144</v>
      </c>
      <c r="B104">
        <v>0</v>
      </c>
      <c r="C104" s="18">
        <v>2002</v>
      </c>
      <c r="F104" s="2" t="s">
        <v>214</v>
      </c>
      <c r="G104">
        <v>714</v>
      </c>
      <c r="H104">
        <f>VLOOKUP(N104,[1]REGRA!$C$2:$D$15,2,FALSE)</f>
        <v>10</v>
      </c>
      <c r="I104" t="str">
        <f t="shared" ref="I104:I167" si="0">C104&amp;F104&amp;H104</f>
        <v>2002INT - S. J. DO RIO PRETO10</v>
      </c>
      <c r="J104" t="e">
        <f>VLOOKUP(I104,'[2]BASE DE DADOS'!$A:$J,10,FALSE)</f>
        <v>#N/A</v>
      </c>
      <c r="K104" s="2"/>
      <c r="L104" s="2"/>
      <c r="N104" t="str">
        <f>G104&amp;C104</f>
        <v>7142002</v>
      </c>
    </row>
    <row r="105" spans="1:14" x14ac:dyDescent="0.35">
      <c r="A105" s="21">
        <v>132082570</v>
      </c>
      <c r="B105">
        <v>0</v>
      </c>
      <c r="C105" s="18">
        <v>2002</v>
      </c>
      <c r="F105" s="2" t="s">
        <v>215</v>
      </c>
      <c r="G105">
        <v>714</v>
      </c>
      <c r="H105">
        <f>VLOOKUP(N105,[1]REGRA!$C$2:$D$15,2,FALSE)</f>
        <v>10</v>
      </c>
      <c r="I105" t="str">
        <f t="shared" si="0"/>
        <v>2002SUL - BLUMENAU10</v>
      </c>
      <c r="J105" t="e">
        <f>VLOOKUP(I105,'[2]BASE DE DADOS'!$A:$J,10,FALSE)</f>
        <v>#N/A</v>
      </c>
      <c r="K105" s="2"/>
      <c r="L105" s="2"/>
      <c r="N105" t="str">
        <f>G105&amp;C105</f>
        <v>7142002</v>
      </c>
    </row>
    <row r="106" spans="1:14" x14ac:dyDescent="0.35">
      <c r="A106" s="21">
        <v>132083996</v>
      </c>
      <c r="B106">
        <v>0</v>
      </c>
      <c r="C106" s="18">
        <v>2002</v>
      </c>
      <c r="F106" s="2" t="s">
        <v>216</v>
      </c>
      <c r="G106">
        <v>714</v>
      </c>
      <c r="H106">
        <f>VLOOKUP(N106,[1]REGRA!$C$2:$D$15,2,FALSE)</f>
        <v>10</v>
      </c>
      <c r="I106" t="str">
        <f t="shared" si="0"/>
        <v>2002CO - GOIAS10</v>
      </c>
      <c r="J106" t="e">
        <f>VLOOKUP(I106,'[2]BASE DE DADOS'!$A:$J,10,FALSE)</f>
        <v>#N/A</v>
      </c>
      <c r="K106" s="2"/>
      <c r="L106" s="2"/>
      <c r="N106" t="str">
        <f>G106&amp;C106</f>
        <v>7142002</v>
      </c>
    </row>
    <row r="107" spans="1:14" x14ac:dyDescent="0.35">
      <c r="A107" s="21">
        <v>127342993</v>
      </c>
      <c r="B107">
        <v>0</v>
      </c>
      <c r="C107" s="18">
        <v>2002</v>
      </c>
      <c r="F107" s="2" t="s">
        <v>217</v>
      </c>
      <c r="G107">
        <v>714</v>
      </c>
      <c r="H107">
        <f>VLOOKUP(N107,[1]REGRA!$C$2:$D$15,2,FALSE)</f>
        <v>10</v>
      </c>
      <c r="I107" t="str">
        <f t="shared" si="0"/>
        <v>2002SP - ATNP 210</v>
      </c>
      <c r="J107" t="e">
        <f>VLOOKUP(I107,'[2]BASE DE DADOS'!$A:$J,10,FALSE)</f>
        <v>#N/A</v>
      </c>
      <c r="K107" s="2"/>
      <c r="L107" s="2"/>
      <c r="N107" t="str">
        <f>G107&amp;C107</f>
        <v>7142002</v>
      </c>
    </row>
    <row r="108" spans="1:14" x14ac:dyDescent="0.35">
      <c r="A108" s="21">
        <v>132089280</v>
      </c>
      <c r="B108">
        <v>0</v>
      </c>
      <c r="C108" s="18">
        <v>2002</v>
      </c>
      <c r="F108" s="2" t="s">
        <v>210</v>
      </c>
      <c r="G108">
        <v>714</v>
      </c>
      <c r="H108">
        <f>VLOOKUP(N108,[1]REGRA!$C$2:$D$15,2,FALSE)</f>
        <v>10</v>
      </c>
      <c r="I108" t="str">
        <f t="shared" si="0"/>
        <v>2002SUL - PORTO ALEGRE10</v>
      </c>
      <c r="J108" t="e">
        <f>VLOOKUP(I108,'[2]BASE DE DADOS'!$A:$J,10,FALSE)</f>
        <v>#N/A</v>
      </c>
      <c r="K108" s="2"/>
      <c r="L108" s="2"/>
      <c r="N108" t="str">
        <f>G108&amp;C108</f>
        <v>7142002</v>
      </c>
    </row>
    <row r="109" spans="1:14" x14ac:dyDescent="0.35">
      <c r="A109" s="21">
        <v>132090819</v>
      </c>
      <c r="B109">
        <v>0</v>
      </c>
      <c r="C109" s="18">
        <v>2002</v>
      </c>
      <c r="F109" s="2" t="s">
        <v>218</v>
      </c>
      <c r="G109">
        <v>714</v>
      </c>
      <c r="H109">
        <f>VLOOKUP(N109,[1]REGRA!$C$2:$D$15,2,FALSE)</f>
        <v>10</v>
      </c>
      <c r="I109" t="str">
        <f t="shared" si="0"/>
        <v>2002RJ - INTERIOR/NITEROI10</v>
      </c>
      <c r="J109" t="e">
        <f>VLOOKUP(I109,'[2]BASE DE DADOS'!$A:$J,10,FALSE)</f>
        <v>#N/A</v>
      </c>
      <c r="K109" s="2"/>
      <c r="L109" s="2"/>
      <c r="N109" t="str">
        <f>G109&amp;C109</f>
        <v>7142002</v>
      </c>
    </row>
    <row r="110" spans="1:14" x14ac:dyDescent="0.35">
      <c r="A110" s="21">
        <v>132094679</v>
      </c>
      <c r="B110">
        <v>0</v>
      </c>
      <c r="C110" s="18">
        <v>2002</v>
      </c>
      <c r="F110" s="2" t="s">
        <v>219</v>
      </c>
      <c r="G110">
        <v>714</v>
      </c>
      <c r="H110">
        <f>VLOOKUP(N110,[1]REGRA!$C$2:$D$15,2,FALSE)</f>
        <v>10</v>
      </c>
      <c r="I110" t="str">
        <f t="shared" si="0"/>
        <v>2002MG – BELO HORIZONTE10</v>
      </c>
      <c r="J110" t="e">
        <f>VLOOKUP(I110,'[2]BASE DE DADOS'!$A:$J,10,FALSE)</f>
        <v>#N/A</v>
      </c>
      <c r="K110" s="2"/>
      <c r="L110" s="2"/>
      <c r="N110" t="str">
        <f>G110&amp;C110</f>
        <v>7142002</v>
      </c>
    </row>
    <row r="111" spans="1:14" x14ac:dyDescent="0.35">
      <c r="A111" s="21">
        <v>132096192</v>
      </c>
      <c r="B111">
        <v>0</v>
      </c>
      <c r="C111" s="18">
        <v>2002</v>
      </c>
      <c r="F111" s="2" t="s">
        <v>220</v>
      </c>
      <c r="G111">
        <v>714</v>
      </c>
      <c r="H111">
        <f>VLOOKUP(N111,[1]REGRA!$C$2:$D$15,2,FALSE)</f>
        <v>10</v>
      </c>
      <c r="I111" t="str">
        <f t="shared" si="0"/>
        <v>2002SP - CENTRO10</v>
      </c>
      <c r="J111" t="e">
        <f>VLOOKUP(I111,'[2]BASE DE DADOS'!$A:$J,10,FALSE)</f>
        <v>#N/A</v>
      </c>
      <c r="K111" s="2"/>
      <c r="L111" s="2"/>
      <c r="N111" t="str">
        <f>G111&amp;C111</f>
        <v>7142002</v>
      </c>
    </row>
    <row r="112" spans="1:14" x14ac:dyDescent="0.35">
      <c r="A112" s="21">
        <v>132096468</v>
      </c>
      <c r="B112">
        <v>0</v>
      </c>
      <c r="C112" s="18">
        <v>2002</v>
      </c>
      <c r="F112" s="2" t="s">
        <v>211</v>
      </c>
      <c r="G112">
        <v>714</v>
      </c>
      <c r="H112">
        <f>VLOOKUP(N112,[1]REGRA!$C$2:$D$15,2,FALSE)</f>
        <v>10</v>
      </c>
      <c r="I112" t="str">
        <f t="shared" si="0"/>
        <v>2002SUL - FLORIANOPOLIS10</v>
      </c>
      <c r="J112" t="e">
        <f>VLOOKUP(I112,'[2]BASE DE DADOS'!$A:$J,10,FALSE)</f>
        <v>#N/A</v>
      </c>
      <c r="K112" s="2"/>
      <c r="L112" s="2"/>
      <c r="N112" t="str">
        <f>G112&amp;C112</f>
        <v>7142002</v>
      </c>
    </row>
    <row r="113" spans="1:14" x14ac:dyDescent="0.35">
      <c r="A113" s="21">
        <v>132097025</v>
      </c>
      <c r="B113">
        <v>0</v>
      </c>
      <c r="C113" s="18">
        <v>2002</v>
      </c>
      <c r="F113" s="2" t="s">
        <v>212</v>
      </c>
      <c r="G113">
        <v>714</v>
      </c>
      <c r="H113">
        <f>VLOOKUP(N113,[1]REGRA!$C$2:$D$15,2,FALSE)</f>
        <v>10</v>
      </c>
      <c r="I113" t="str">
        <f t="shared" si="0"/>
        <v>2002N/NE - ATNP10</v>
      </c>
      <c r="J113" t="e">
        <f>VLOOKUP(I113,'[2]BASE DE DADOS'!$A:$J,10,FALSE)</f>
        <v>#N/A</v>
      </c>
      <c r="K113" s="2"/>
      <c r="L113" s="2"/>
      <c r="N113" t="str">
        <f>G113&amp;C113</f>
        <v>7142002</v>
      </c>
    </row>
    <row r="114" spans="1:14" x14ac:dyDescent="0.35">
      <c r="A114" s="21">
        <v>132097530</v>
      </c>
      <c r="B114">
        <v>0</v>
      </c>
      <c r="C114" s="18">
        <v>2002</v>
      </c>
      <c r="F114" s="2" t="s">
        <v>221</v>
      </c>
      <c r="G114">
        <v>714</v>
      </c>
      <c r="H114">
        <f>VLOOKUP(N114,[1]REGRA!$C$2:$D$15,2,FALSE)</f>
        <v>10</v>
      </c>
      <c r="I114" t="str">
        <f t="shared" si="0"/>
        <v>2002SUL - CHAPECO10</v>
      </c>
      <c r="J114" t="e">
        <f>VLOOKUP(I114,'[2]BASE DE DADOS'!$A:$J,10,FALSE)</f>
        <v>#N/A</v>
      </c>
      <c r="K114" s="2"/>
      <c r="L114" s="2"/>
      <c r="N114" t="str">
        <f>G114&amp;C114</f>
        <v>7142002</v>
      </c>
    </row>
    <row r="115" spans="1:14" x14ac:dyDescent="0.35">
      <c r="A115" s="21">
        <v>132098938</v>
      </c>
      <c r="B115">
        <v>0</v>
      </c>
      <c r="C115" s="18">
        <v>2002</v>
      </c>
      <c r="F115" s="2" t="s">
        <v>215</v>
      </c>
      <c r="G115">
        <v>714</v>
      </c>
      <c r="H115">
        <f>VLOOKUP(N115,[1]REGRA!$C$2:$D$15,2,FALSE)</f>
        <v>10</v>
      </c>
      <c r="I115" t="str">
        <f t="shared" si="0"/>
        <v>2002SUL - BLUMENAU10</v>
      </c>
      <c r="J115" t="e">
        <f>VLOOKUP(I115,'[2]BASE DE DADOS'!$A:$J,10,FALSE)</f>
        <v>#N/A</v>
      </c>
      <c r="K115" s="2"/>
      <c r="L115" s="2"/>
      <c r="N115" t="str">
        <f>G115&amp;C115</f>
        <v>7142002</v>
      </c>
    </row>
    <row r="116" spans="1:14" x14ac:dyDescent="0.35">
      <c r="A116" s="21">
        <v>132099677</v>
      </c>
      <c r="B116">
        <v>0</v>
      </c>
      <c r="C116" s="18">
        <v>2002</v>
      </c>
      <c r="F116" s="2" t="s">
        <v>214</v>
      </c>
      <c r="G116">
        <v>714</v>
      </c>
      <c r="H116">
        <f>VLOOKUP(N116,[1]REGRA!$C$2:$D$15,2,FALSE)</f>
        <v>10</v>
      </c>
      <c r="I116" t="str">
        <f t="shared" si="0"/>
        <v>2002INT - S. J. DO RIO PRETO10</v>
      </c>
      <c r="J116" t="e">
        <f>VLOOKUP(I116,'[2]BASE DE DADOS'!$A:$J,10,FALSE)</f>
        <v>#N/A</v>
      </c>
      <c r="K116" s="2"/>
      <c r="L116" s="2"/>
      <c r="N116" t="str">
        <f>G116&amp;C116</f>
        <v>7142002</v>
      </c>
    </row>
    <row r="117" spans="1:14" x14ac:dyDescent="0.35">
      <c r="A117" s="21">
        <v>132099724</v>
      </c>
      <c r="B117">
        <v>0</v>
      </c>
      <c r="C117" s="18">
        <v>2002</v>
      </c>
      <c r="F117" s="2" t="s">
        <v>210</v>
      </c>
      <c r="G117">
        <v>714</v>
      </c>
      <c r="H117">
        <f>VLOOKUP(N117,[1]REGRA!$C$2:$D$15,2,FALSE)</f>
        <v>10</v>
      </c>
      <c r="I117" t="str">
        <f t="shared" si="0"/>
        <v>2002SUL - PORTO ALEGRE10</v>
      </c>
      <c r="J117" t="e">
        <f>VLOOKUP(I117,'[2]BASE DE DADOS'!$A:$J,10,FALSE)</f>
        <v>#N/A</v>
      </c>
      <c r="K117" s="2"/>
      <c r="L117" s="2"/>
      <c r="N117" t="str">
        <f>G117&amp;C117</f>
        <v>7142002</v>
      </c>
    </row>
    <row r="118" spans="1:14" x14ac:dyDescent="0.35">
      <c r="A118" s="21">
        <v>132100603</v>
      </c>
      <c r="B118">
        <v>0</v>
      </c>
      <c r="C118" s="18">
        <v>2002</v>
      </c>
      <c r="F118" s="2" t="s">
        <v>222</v>
      </c>
      <c r="G118">
        <v>714</v>
      </c>
      <c r="H118">
        <f>VLOOKUP(N118,[1]REGRA!$C$2:$D$15,2,FALSE)</f>
        <v>10</v>
      </c>
      <c r="I118" t="str">
        <f t="shared" si="0"/>
        <v>2002SP - ZONA SUL10</v>
      </c>
      <c r="J118" t="e">
        <f>VLOOKUP(I118,'[2]BASE DE DADOS'!$A:$J,10,FALSE)</f>
        <v>#N/A</v>
      </c>
      <c r="K118" s="2"/>
      <c r="L118" s="2"/>
      <c r="N118" t="str">
        <f>G118&amp;C118</f>
        <v>7142002</v>
      </c>
    </row>
    <row r="119" spans="1:14" x14ac:dyDescent="0.35">
      <c r="A119" s="21">
        <v>132103146</v>
      </c>
      <c r="B119">
        <v>0</v>
      </c>
      <c r="C119" s="18">
        <v>2002</v>
      </c>
      <c r="F119" s="2" t="s">
        <v>216</v>
      </c>
      <c r="G119">
        <v>714</v>
      </c>
      <c r="H119">
        <f>VLOOKUP(N119,[1]REGRA!$C$2:$D$15,2,FALSE)</f>
        <v>10</v>
      </c>
      <c r="I119" t="str">
        <f t="shared" si="0"/>
        <v>2002CO - GOIAS10</v>
      </c>
      <c r="J119" t="e">
        <f>VLOOKUP(I119,'[2]BASE DE DADOS'!$A:$J,10,FALSE)</f>
        <v>#N/A</v>
      </c>
      <c r="K119" s="2"/>
      <c r="L119" s="2"/>
      <c r="N119" t="str">
        <f>G119&amp;C119</f>
        <v>7142002</v>
      </c>
    </row>
    <row r="120" spans="1:14" x14ac:dyDescent="0.35">
      <c r="A120" s="21">
        <v>132106436</v>
      </c>
      <c r="B120">
        <v>0</v>
      </c>
      <c r="C120" s="18">
        <v>2002</v>
      </c>
      <c r="F120" s="2" t="s">
        <v>223</v>
      </c>
      <c r="G120">
        <v>714</v>
      </c>
      <c r="H120">
        <f>VLOOKUP(N120,[1]REGRA!$C$2:$D$15,2,FALSE)</f>
        <v>10</v>
      </c>
      <c r="I120" t="str">
        <f t="shared" si="0"/>
        <v>2002SP - ASSESSORIAS10</v>
      </c>
      <c r="J120" t="e">
        <f>VLOOKUP(I120,'[2]BASE DE DADOS'!$A:$J,10,FALSE)</f>
        <v>#N/A</v>
      </c>
      <c r="K120" s="2"/>
      <c r="L120" s="2"/>
      <c r="N120" t="str">
        <f>G120&amp;C120</f>
        <v>7142002</v>
      </c>
    </row>
    <row r="121" spans="1:14" x14ac:dyDescent="0.35">
      <c r="A121" s="21">
        <v>132106495</v>
      </c>
      <c r="B121">
        <v>0</v>
      </c>
      <c r="C121" s="18">
        <v>2002</v>
      </c>
      <c r="F121" s="2" t="s">
        <v>223</v>
      </c>
      <c r="G121">
        <v>714</v>
      </c>
      <c r="H121">
        <f>VLOOKUP(N121,[1]REGRA!$C$2:$D$15,2,FALSE)</f>
        <v>10</v>
      </c>
      <c r="I121" t="str">
        <f t="shared" si="0"/>
        <v>2002SP - ASSESSORIAS10</v>
      </c>
      <c r="J121" t="e">
        <f>VLOOKUP(I121,'[2]BASE DE DADOS'!$A:$J,10,FALSE)</f>
        <v>#N/A</v>
      </c>
      <c r="K121" s="2"/>
      <c r="L121" s="2"/>
      <c r="N121" t="str">
        <f>G121&amp;C121</f>
        <v>7142002</v>
      </c>
    </row>
    <row r="122" spans="1:14" x14ac:dyDescent="0.35">
      <c r="A122" s="21">
        <v>132106892</v>
      </c>
      <c r="B122">
        <v>0</v>
      </c>
      <c r="C122" s="18">
        <v>2002</v>
      </c>
      <c r="F122" s="2" t="s">
        <v>215</v>
      </c>
      <c r="G122">
        <v>714</v>
      </c>
      <c r="H122">
        <f>VLOOKUP(N122,[1]REGRA!$C$2:$D$15,2,FALSE)</f>
        <v>10</v>
      </c>
      <c r="I122" t="str">
        <f t="shared" si="0"/>
        <v>2002SUL - BLUMENAU10</v>
      </c>
      <c r="J122" t="e">
        <f>VLOOKUP(I122,'[2]BASE DE DADOS'!$A:$J,10,FALSE)</f>
        <v>#N/A</v>
      </c>
      <c r="K122" s="2"/>
      <c r="L122" s="2"/>
      <c r="N122" t="str">
        <f>G122&amp;C122</f>
        <v>7142002</v>
      </c>
    </row>
    <row r="123" spans="1:14" x14ac:dyDescent="0.35">
      <c r="A123" s="21">
        <v>132107529</v>
      </c>
      <c r="B123">
        <v>0</v>
      </c>
      <c r="C123" s="18">
        <v>2002</v>
      </c>
      <c r="F123" s="2" t="s">
        <v>216</v>
      </c>
      <c r="G123">
        <v>714</v>
      </c>
      <c r="H123">
        <f>VLOOKUP(N123,[1]REGRA!$C$2:$D$15,2,FALSE)</f>
        <v>10</v>
      </c>
      <c r="I123" t="str">
        <f t="shared" si="0"/>
        <v>2002CO - GOIAS10</v>
      </c>
      <c r="J123" t="e">
        <f>VLOOKUP(I123,'[2]BASE DE DADOS'!$A:$J,10,FALSE)</f>
        <v>#N/A</v>
      </c>
      <c r="K123" s="2"/>
      <c r="L123" s="2"/>
      <c r="N123" t="str">
        <f>G123&amp;C123</f>
        <v>7142002</v>
      </c>
    </row>
    <row r="124" spans="1:14" x14ac:dyDescent="0.35">
      <c r="A124" s="21">
        <v>132107627</v>
      </c>
      <c r="B124">
        <v>0</v>
      </c>
      <c r="C124" s="18">
        <v>2002</v>
      </c>
      <c r="F124" s="2" t="s">
        <v>224</v>
      </c>
      <c r="G124">
        <v>714</v>
      </c>
      <c r="H124">
        <f>VLOOKUP(N124,[1]REGRA!$C$2:$D$15,2,FALSE)</f>
        <v>10</v>
      </c>
      <c r="I124" t="str">
        <f t="shared" si="0"/>
        <v>2002PARCERIAS CO/MG/NE10</v>
      </c>
      <c r="J124" t="e">
        <f>VLOOKUP(I124,'[2]BASE DE DADOS'!$A:$J,10,FALSE)</f>
        <v>#N/A</v>
      </c>
      <c r="K124" s="2"/>
      <c r="L124" s="2"/>
      <c r="N124" t="str">
        <f>G124&amp;C124</f>
        <v>7142002</v>
      </c>
    </row>
    <row r="125" spans="1:14" x14ac:dyDescent="0.35">
      <c r="A125" s="21">
        <v>132109102</v>
      </c>
      <c r="B125">
        <v>0</v>
      </c>
      <c r="C125" s="18">
        <v>2002</v>
      </c>
      <c r="F125" s="2" t="s">
        <v>225</v>
      </c>
      <c r="G125">
        <v>714</v>
      </c>
      <c r="H125">
        <f>VLOOKUP(N125,[1]REGRA!$C$2:$D$15,2,FALSE)</f>
        <v>10</v>
      </c>
      <c r="I125" t="str">
        <f t="shared" si="0"/>
        <v>2002RJ - ASSESSORIAS10</v>
      </c>
      <c r="J125" t="e">
        <f>VLOOKUP(I125,'[2]BASE DE DADOS'!$A:$J,10,FALSE)</f>
        <v>#N/A</v>
      </c>
      <c r="K125" s="2"/>
      <c r="L125" s="2"/>
      <c r="N125" t="str">
        <f>G125&amp;C125</f>
        <v>7142002</v>
      </c>
    </row>
    <row r="126" spans="1:14" x14ac:dyDescent="0.35">
      <c r="A126" s="21">
        <v>132109527</v>
      </c>
      <c r="B126">
        <v>0</v>
      </c>
      <c r="C126" s="18">
        <v>2002</v>
      </c>
      <c r="F126" s="2" t="s">
        <v>212</v>
      </c>
      <c r="G126">
        <v>714</v>
      </c>
      <c r="H126">
        <f>VLOOKUP(N126,[1]REGRA!$C$2:$D$15,2,FALSE)</f>
        <v>10</v>
      </c>
      <c r="I126" t="str">
        <f t="shared" si="0"/>
        <v>2002N/NE - ATNP10</v>
      </c>
      <c r="J126" t="e">
        <f>VLOOKUP(I126,'[2]BASE DE DADOS'!$A:$J,10,FALSE)</f>
        <v>#N/A</v>
      </c>
      <c r="K126" s="2"/>
      <c r="L126" s="2"/>
      <c r="N126" t="str">
        <f>G126&amp;C126</f>
        <v>7142002</v>
      </c>
    </row>
    <row r="127" spans="1:14" x14ac:dyDescent="0.35">
      <c r="A127" s="21">
        <v>132113223</v>
      </c>
      <c r="B127">
        <v>0</v>
      </c>
      <c r="C127" s="18">
        <v>2002</v>
      </c>
      <c r="F127" s="2" t="s">
        <v>212</v>
      </c>
      <c r="G127">
        <v>714</v>
      </c>
      <c r="H127">
        <f>VLOOKUP(N127,[1]REGRA!$C$2:$D$15,2,FALSE)</f>
        <v>10</v>
      </c>
      <c r="I127" t="str">
        <f t="shared" si="0"/>
        <v>2002N/NE - ATNP10</v>
      </c>
      <c r="J127" t="e">
        <f>VLOOKUP(I127,'[2]BASE DE DADOS'!$A:$J,10,FALSE)</f>
        <v>#N/A</v>
      </c>
      <c r="K127" s="2"/>
      <c r="L127" s="2"/>
      <c r="N127" t="str">
        <f>G127&amp;C127</f>
        <v>7142002</v>
      </c>
    </row>
    <row r="128" spans="1:14" x14ac:dyDescent="0.35">
      <c r="A128" s="21">
        <v>132113559</v>
      </c>
      <c r="B128">
        <v>0</v>
      </c>
      <c r="C128" s="18">
        <v>2002</v>
      </c>
      <c r="F128" s="2" t="s">
        <v>210</v>
      </c>
      <c r="G128">
        <v>714</v>
      </c>
      <c r="H128">
        <f>VLOOKUP(N128,[1]REGRA!$C$2:$D$15,2,FALSE)</f>
        <v>10</v>
      </c>
      <c r="I128" t="str">
        <f t="shared" si="0"/>
        <v>2002SUL - PORTO ALEGRE10</v>
      </c>
      <c r="J128" t="e">
        <f>VLOOKUP(I128,'[2]BASE DE DADOS'!$A:$J,10,FALSE)</f>
        <v>#N/A</v>
      </c>
      <c r="K128" s="2"/>
      <c r="L128" s="2"/>
      <c r="N128" t="str">
        <f>G128&amp;C128</f>
        <v>7142002</v>
      </c>
    </row>
    <row r="129" spans="1:14" x14ac:dyDescent="0.35">
      <c r="A129" s="21">
        <v>132113776</v>
      </c>
      <c r="B129">
        <v>0</v>
      </c>
      <c r="C129" s="18">
        <v>2002</v>
      </c>
      <c r="F129" s="2" t="s">
        <v>224</v>
      </c>
      <c r="G129">
        <v>714</v>
      </c>
      <c r="H129">
        <f>VLOOKUP(N129,[1]REGRA!$C$2:$D$15,2,FALSE)</f>
        <v>10</v>
      </c>
      <c r="I129" t="str">
        <f t="shared" si="0"/>
        <v>2002PARCERIAS CO/MG/NE10</v>
      </c>
      <c r="J129" t="e">
        <f>VLOOKUP(I129,'[2]BASE DE DADOS'!$A:$J,10,FALSE)</f>
        <v>#N/A</v>
      </c>
      <c r="K129" s="2"/>
      <c r="L129" s="2"/>
      <c r="N129" t="str">
        <f>G129&amp;C129</f>
        <v>7142002</v>
      </c>
    </row>
    <row r="130" spans="1:14" x14ac:dyDescent="0.35">
      <c r="A130" s="21">
        <v>132115192</v>
      </c>
      <c r="B130">
        <v>0</v>
      </c>
      <c r="C130" s="18">
        <v>2002</v>
      </c>
      <c r="F130" s="2" t="s">
        <v>226</v>
      </c>
      <c r="G130">
        <v>714</v>
      </c>
      <c r="H130">
        <f>VLOOKUP(N130,[1]REGRA!$C$2:$D$15,2,FALSE)</f>
        <v>10</v>
      </c>
      <c r="I130" t="str">
        <f t="shared" si="0"/>
        <v>2002SUL - LONDRINA/MARINGA10</v>
      </c>
      <c r="J130" t="e">
        <f>VLOOKUP(I130,'[2]BASE DE DADOS'!$A:$J,10,FALSE)</f>
        <v>#N/A</v>
      </c>
      <c r="K130" s="2"/>
      <c r="L130" s="2"/>
      <c r="N130" t="str">
        <f t="shared" ref="N130:N193" si="1">G130&amp;C130</f>
        <v>7142002</v>
      </c>
    </row>
    <row r="131" spans="1:14" x14ac:dyDescent="0.35">
      <c r="A131" s="21">
        <v>132116840</v>
      </c>
      <c r="B131">
        <v>0</v>
      </c>
      <c r="C131" s="18">
        <v>2002</v>
      </c>
      <c r="F131" s="2" t="s">
        <v>224</v>
      </c>
      <c r="G131">
        <v>714</v>
      </c>
      <c r="H131">
        <f>VLOOKUP(N131,[1]REGRA!$C$2:$D$15,2,FALSE)</f>
        <v>10</v>
      </c>
      <c r="I131" t="str">
        <f t="shared" si="0"/>
        <v>2002PARCERIAS CO/MG/NE10</v>
      </c>
      <c r="J131" t="e">
        <f>VLOOKUP(I131,'[2]BASE DE DADOS'!$A:$J,10,FALSE)</f>
        <v>#N/A</v>
      </c>
      <c r="K131" s="2"/>
      <c r="L131" s="2"/>
      <c r="N131" t="str">
        <f t="shared" si="1"/>
        <v>7142002</v>
      </c>
    </row>
    <row r="132" spans="1:14" x14ac:dyDescent="0.35">
      <c r="A132" s="21">
        <v>132117498</v>
      </c>
      <c r="B132">
        <v>0</v>
      </c>
      <c r="C132" s="18">
        <v>2002</v>
      </c>
      <c r="F132" s="2" t="s">
        <v>227</v>
      </c>
      <c r="G132">
        <v>714</v>
      </c>
      <c r="H132">
        <f>VLOOKUP(N132,[1]REGRA!$C$2:$D$15,2,FALSE)</f>
        <v>10</v>
      </c>
      <c r="I132" t="str">
        <f t="shared" si="0"/>
        <v>2002SUL - ATNP 110</v>
      </c>
      <c r="J132" t="e">
        <f>VLOOKUP(I132,'[2]BASE DE DADOS'!$A:$J,10,FALSE)</f>
        <v>#N/A</v>
      </c>
      <c r="K132" s="2"/>
      <c r="L132" s="2"/>
      <c r="N132" t="str">
        <f t="shared" si="1"/>
        <v>7142002</v>
      </c>
    </row>
    <row r="133" spans="1:14" x14ac:dyDescent="0.35">
      <c r="A133" s="21">
        <v>132118508</v>
      </c>
      <c r="B133">
        <v>0</v>
      </c>
      <c r="C133" s="18">
        <v>2002</v>
      </c>
      <c r="F133" s="2" t="s">
        <v>228</v>
      </c>
      <c r="G133">
        <v>714</v>
      </c>
      <c r="H133">
        <f>VLOOKUP(N133,[1]REGRA!$C$2:$D$15,2,FALSE)</f>
        <v>10</v>
      </c>
      <c r="I133" t="str">
        <f t="shared" si="0"/>
        <v>2002MG/CO - ATNP10</v>
      </c>
      <c r="J133" t="e">
        <f>VLOOKUP(I133,'[2]BASE DE DADOS'!$A:$J,10,FALSE)</f>
        <v>#N/A</v>
      </c>
      <c r="K133" s="2"/>
      <c r="L133" s="2"/>
      <c r="N133" t="str">
        <f t="shared" si="1"/>
        <v>7142002</v>
      </c>
    </row>
    <row r="134" spans="1:14" x14ac:dyDescent="0.35">
      <c r="A134" s="21">
        <v>132119206</v>
      </c>
      <c r="B134">
        <v>0</v>
      </c>
      <c r="C134" s="18">
        <v>2002</v>
      </c>
      <c r="F134" s="2" t="s">
        <v>221</v>
      </c>
      <c r="G134">
        <v>714</v>
      </c>
      <c r="H134">
        <f>VLOOKUP(N134,[1]REGRA!$C$2:$D$15,2,FALSE)</f>
        <v>10</v>
      </c>
      <c r="I134" t="str">
        <f t="shared" si="0"/>
        <v>2002SUL - CHAPECO10</v>
      </c>
      <c r="J134" t="e">
        <f>VLOOKUP(I134,'[2]BASE DE DADOS'!$A:$J,10,FALSE)</f>
        <v>#N/A</v>
      </c>
      <c r="K134" s="2"/>
      <c r="L134" s="2"/>
      <c r="N134" t="str">
        <f t="shared" si="1"/>
        <v>7142002</v>
      </c>
    </row>
    <row r="135" spans="1:14" x14ac:dyDescent="0.35">
      <c r="A135" s="21">
        <v>132120198</v>
      </c>
      <c r="B135">
        <v>0</v>
      </c>
      <c r="C135" s="18">
        <v>2002</v>
      </c>
      <c r="F135" s="2" t="s">
        <v>229</v>
      </c>
      <c r="G135">
        <v>714</v>
      </c>
      <c r="H135">
        <f>VLOOKUP(N135,[1]REGRA!$C$2:$D$15,2,FALSE)</f>
        <v>10</v>
      </c>
      <c r="I135" t="str">
        <f t="shared" si="0"/>
        <v>2002SUL - CAXIAS DO SUL10</v>
      </c>
      <c r="J135" t="e">
        <f>VLOOKUP(I135,'[2]BASE DE DADOS'!$A:$J,10,FALSE)</f>
        <v>#N/A</v>
      </c>
      <c r="K135" s="2"/>
      <c r="L135" s="2"/>
      <c r="N135" t="str">
        <f t="shared" si="1"/>
        <v>7142002</v>
      </c>
    </row>
    <row r="136" spans="1:14" x14ac:dyDescent="0.35">
      <c r="A136" s="21">
        <v>132121029</v>
      </c>
      <c r="B136">
        <v>0</v>
      </c>
      <c r="C136" s="18">
        <v>2002</v>
      </c>
      <c r="F136" s="2" t="s">
        <v>211</v>
      </c>
      <c r="G136">
        <v>714</v>
      </c>
      <c r="H136">
        <f>VLOOKUP(N136,[1]REGRA!$C$2:$D$15,2,FALSE)</f>
        <v>10</v>
      </c>
      <c r="I136" t="str">
        <f t="shared" si="0"/>
        <v>2002SUL - FLORIANOPOLIS10</v>
      </c>
      <c r="J136" t="e">
        <f>VLOOKUP(I136,'[2]BASE DE DADOS'!$A:$J,10,FALSE)</f>
        <v>#N/A</v>
      </c>
      <c r="K136" s="2"/>
      <c r="L136" s="2"/>
      <c r="N136" t="str">
        <f t="shared" si="1"/>
        <v>7142002</v>
      </c>
    </row>
    <row r="137" spans="1:14" x14ac:dyDescent="0.35">
      <c r="A137" s="21">
        <v>132121076</v>
      </c>
      <c r="B137">
        <v>0</v>
      </c>
      <c r="C137" s="18">
        <v>2002</v>
      </c>
      <c r="F137" s="2" t="s">
        <v>229</v>
      </c>
      <c r="G137">
        <v>714</v>
      </c>
      <c r="H137">
        <f>VLOOKUP(N137,[1]REGRA!$C$2:$D$15,2,FALSE)</f>
        <v>10</v>
      </c>
      <c r="I137" t="str">
        <f t="shared" si="0"/>
        <v>2002SUL - CAXIAS DO SUL10</v>
      </c>
      <c r="J137" t="e">
        <f>VLOOKUP(I137,'[2]BASE DE DADOS'!$A:$J,10,FALSE)</f>
        <v>#N/A</v>
      </c>
      <c r="K137" s="2"/>
      <c r="L137" s="2"/>
      <c r="N137" t="str">
        <f t="shared" si="1"/>
        <v>7142002</v>
      </c>
    </row>
    <row r="138" spans="1:14" x14ac:dyDescent="0.35">
      <c r="A138" s="21">
        <v>132121091</v>
      </c>
      <c r="B138">
        <v>0</v>
      </c>
      <c r="C138" s="18">
        <v>2002</v>
      </c>
      <c r="F138" s="2" t="s">
        <v>213</v>
      </c>
      <c r="G138">
        <v>714</v>
      </c>
      <c r="H138">
        <f>VLOOKUP(N138,[1]REGRA!$C$2:$D$15,2,FALSE)</f>
        <v>10</v>
      </c>
      <c r="I138" t="str">
        <f t="shared" si="0"/>
        <v>2002N - NORTE10</v>
      </c>
      <c r="J138" t="e">
        <f>VLOOKUP(I138,'[2]BASE DE DADOS'!$A:$J,10,FALSE)</f>
        <v>#N/A</v>
      </c>
      <c r="K138" s="2"/>
      <c r="L138" s="2"/>
      <c r="N138" t="str">
        <f t="shared" si="1"/>
        <v>7142002</v>
      </c>
    </row>
    <row r="139" spans="1:14" x14ac:dyDescent="0.35">
      <c r="A139" s="21">
        <v>132121103</v>
      </c>
      <c r="B139">
        <v>0</v>
      </c>
      <c r="C139" s="18">
        <v>2002</v>
      </c>
      <c r="F139" s="2" t="s">
        <v>230</v>
      </c>
      <c r="G139">
        <v>714</v>
      </c>
      <c r="H139">
        <f>VLOOKUP(N139,[1]REGRA!$C$2:$D$15,2,FALSE)</f>
        <v>10</v>
      </c>
      <c r="I139" t="str">
        <f t="shared" si="0"/>
        <v>2002SUL - CURITIBA10</v>
      </c>
      <c r="J139" t="e">
        <f>VLOOKUP(I139,'[2]BASE DE DADOS'!$A:$J,10,FALSE)</f>
        <v>#N/A</v>
      </c>
      <c r="K139" s="2"/>
      <c r="L139" s="2"/>
      <c r="N139" t="str">
        <f t="shared" si="1"/>
        <v>7142002</v>
      </c>
    </row>
    <row r="140" spans="1:14" x14ac:dyDescent="0.35">
      <c r="A140" s="21">
        <v>132121670</v>
      </c>
      <c r="B140">
        <v>0</v>
      </c>
      <c r="C140" s="18">
        <v>2002</v>
      </c>
      <c r="F140" s="2" t="s">
        <v>217</v>
      </c>
      <c r="G140">
        <v>714</v>
      </c>
      <c r="H140">
        <f>VLOOKUP(N140,[1]REGRA!$C$2:$D$15,2,FALSE)</f>
        <v>10</v>
      </c>
      <c r="I140" t="str">
        <f t="shared" si="0"/>
        <v>2002SP - ATNP 210</v>
      </c>
      <c r="J140" t="e">
        <f>VLOOKUP(I140,'[2]BASE DE DADOS'!$A:$J,10,FALSE)</f>
        <v>#N/A</v>
      </c>
      <c r="K140" s="2"/>
      <c r="L140" s="2"/>
      <c r="N140" t="str">
        <f t="shared" si="1"/>
        <v>7142002</v>
      </c>
    </row>
    <row r="141" spans="1:14" x14ac:dyDescent="0.35">
      <c r="A141" s="21">
        <v>132123860</v>
      </c>
      <c r="B141">
        <v>0</v>
      </c>
      <c r="C141" s="18">
        <v>2002</v>
      </c>
      <c r="F141" s="2" t="s">
        <v>225</v>
      </c>
      <c r="G141">
        <v>714</v>
      </c>
      <c r="H141">
        <f>VLOOKUP(N141,[1]REGRA!$C$2:$D$15,2,FALSE)</f>
        <v>10</v>
      </c>
      <c r="I141" t="str">
        <f t="shared" si="0"/>
        <v>2002RJ - ASSESSORIAS10</v>
      </c>
      <c r="J141" t="e">
        <f>VLOOKUP(I141,'[2]BASE DE DADOS'!$A:$J,10,FALSE)</f>
        <v>#N/A</v>
      </c>
      <c r="K141" s="2"/>
      <c r="L141" s="2"/>
      <c r="N141" t="str">
        <f t="shared" si="1"/>
        <v>7142002</v>
      </c>
    </row>
    <row r="142" spans="1:14" x14ac:dyDescent="0.35">
      <c r="A142" s="21">
        <v>132124038</v>
      </c>
      <c r="B142">
        <v>0</v>
      </c>
      <c r="C142" s="18">
        <v>2002</v>
      </c>
      <c r="F142" s="2" t="s">
        <v>212</v>
      </c>
      <c r="G142">
        <v>714</v>
      </c>
      <c r="H142">
        <f>VLOOKUP(N142,[1]REGRA!$C$2:$D$15,2,FALSE)</f>
        <v>10</v>
      </c>
      <c r="I142" t="str">
        <f t="shared" si="0"/>
        <v>2002N/NE - ATNP10</v>
      </c>
      <c r="J142" t="e">
        <f>VLOOKUP(I142,'[2]BASE DE DADOS'!$A:$J,10,FALSE)</f>
        <v>#N/A</v>
      </c>
      <c r="K142" s="2"/>
      <c r="L142" s="2"/>
      <c r="N142" t="str">
        <f t="shared" si="1"/>
        <v>7142002</v>
      </c>
    </row>
    <row r="143" spans="1:14" x14ac:dyDescent="0.35">
      <c r="A143" s="21">
        <v>132124286</v>
      </c>
      <c r="B143">
        <v>0</v>
      </c>
      <c r="C143" s="18">
        <v>2002</v>
      </c>
      <c r="F143" s="2" t="s">
        <v>226</v>
      </c>
      <c r="G143">
        <v>714</v>
      </c>
      <c r="H143">
        <f>VLOOKUP(N143,[1]REGRA!$C$2:$D$15,2,FALSE)</f>
        <v>10</v>
      </c>
      <c r="I143" t="str">
        <f t="shared" si="0"/>
        <v>2002SUL - LONDRINA/MARINGA10</v>
      </c>
      <c r="J143" t="e">
        <f>VLOOKUP(I143,'[2]BASE DE DADOS'!$A:$J,10,FALSE)</f>
        <v>#N/A</v>
      </c>
      <c r="K143" s="2"/>
      <c r="L143" s="2"/>
      <c r="N143" t="str">
        <f t="shared" si="1"/>
        <v>7142002</v>
      </c>
    </row>
    <row r="144" spans="1:14" x14ac:dyDescent="0.35">
      <c r="A144" s="21">
        <v>132125934</v>
      </c>
      <c r="B144">
        <v>0</v>
      </c>
      <c r="C144" s="18">
        <v>2002</v>
      </c>
      <c r="F144" s="2" t="s">
        <v>231</v>
      </c>
      <c r="G144">
        <v>714</v>
      </c>
      <c r="H144">
        <f>VLOOKUP(N144,[1]REGRA!$C$2:$D$15,2,FALSE)</f>
        <v>10</v>
      </c>
      <c r="I144" t="str">
        <f t="shared" si="0"/>
        <v>2002MG - CENTRO LESTE MINEIRO10</v>
      </c>
      <c r="J144" t="e">
        <f>VLOOKUP(I144,'[2]BASE DE DADOS'!$A:$J,10,FALSE)</f>
        <v>#N/A</v>
      </c>
      <c r="K144" s="2"/>
      <c r="L144" s="2"/>
      <c r="N144" t="str">
        <f t="shared" si="1"/>
        <v>7142002</v>
      </c>
    </row>
    <row r="145" spans="1:14" x14ac:dyDescent="0.35">
      <c r="A145" s="21">
        <v>132127019</v>
      </c>
      <c r="B145">
        <v>0</v>
      </c>
      <c r="C145" s="18">
        <v>2002</v>
      </c>
      <c r="F145" s="2" t="s">
        <v>217</v>
      </c>
      <c r="G145">
        <v>714</v>
      </c>
      <c r="H145">
        <f>VLOOKUP(N145,[1]REGRA!$C$2:$D$15,2,FALSE)</f>
        <v>10</v>
      </c>
      <c r="I145" t="str">
        <f t="shared" si="0"/>
        <v>2002SP - ATNP 210</v>
      </c>
      <c r="J145" t="e">
        <f>VLOOKUP(I145,'[2]BASE DE DADOS'!$A:$J,10,FALSE)</f>
        <v>#N/A</v>
      </c>
      <c r="K145" s="2"/>
      <c r="L145" s="2"/>
      <c r="N145" t="str">
        <f t="shared" si="1"/>
        <v>7142002</v>
      </c>
    </row>
    <row r="146" spans="1:14" x14ac:dyDescent="0.35">
      <c r="A146" s="21">
        <v>132127878</v>
      </c>
      <c r="B146">
        <v>0</v>
      </c>
      <c r="C146" s="18">
        <v>2002</v>
      </c>
      <c r="F146" s="2" t="s">
        <v>223</v>
      </c>
      <c r="G146">
        <v>714</v>
      </c>
      <c r="H146">
        <f>VLOOKUP(N146,[1]REGRA!$C$2:$D$15,2,FALSE)</f>
        <v>10</v>
      </c>
      <c r="I146" t="str">
        <f t="shared" si="0"/>
        <v>2002SP - ASSESSORIAS10</v>
      </c>
      <c r="J146" t="e">
        <f>VLOOKUP(I146,'[2]BASE DE DADOS'!$A:$J,10,FALSE)</f>
        <v>#N/A</v>
      </c>
      <c r="K146" s="2"/>
      <c r="L146" s="2"/>
      <c r="N146" t="str">
        <f t="shared" si="1"/>
        <v>7142002</v>
      </c>
    </row>
    <row r="147" spans="1:14" x14ac:dyDescent="0.35">
      <c r="A147" s="21">
        <v>132128465</v>
      </c>
      <c r="B147">
        <v>0</v>
      </c>
      <c r="C147" s="18">
        <v>2002</v>
      </c>
      <c r="F147" s="2" t="s">
        <v>210</v>
      </c>
      <c r="G147">
        <v>714</v>
      </c>
      <c r="H147">
        <f>VLOOKUP(N147,[1]REGRA!$C$2:$D$15,2,FALSE)</f>
        <v>10</v>
      </c>
      <c r="I147" t="str">
        <f t="shared" si="0"/>
        <v>2002SUL - PORTO ALEGRE10</v>
      </c>
      <c r="J147" t="e">
        <f>VLOOKUP(I147,'[2]BASE DE DADOS'!$A:$J,10,FALSE)</f>
        <v>#N/A</v>
      </c>
      <c r="K147" s="2"/>
      <c r="L147" s="2"/>
      <c r="N147" t="str">
        <f t="shared" si="1"/>
        <v>7142002</v>
      </c>
    </row>
    <row r="148" spans="1:14" x14ac:dyDescent="0.35">
      <c r="A148" s="21">
        <v>132128467</v>
      </c>
      <c r="B148">
        <v>0</v>
      </c>
      <c r="C148" s="18">
        <v>2002</v>
      </c>
      <c r="F148" s="2" t="s">
        <v>219</v>
      </c>
      <c r="G148">
        <v>714</v>
      </c>
      <c r="H148">
        <f>VLOOKUP(N148,[1]REGRA!$C$2:$D$15,2,FALSE)</f>
        <v>10</v>
      </c>
      <c r="I148" t="str">
        <f t="shared" si="0"/>
        <v>2002MG – BELO HORIZONTE10</v>
      </c>
      <c r="J148" t="e">
        <f>VLOOKUP(I148,'[2]BASE DE DADOS'!$A:$J,10,FALSE)</f>
        <v>#N/A</v>
      </c>
      <c r="K148" s="2"/>
      <c r="L148" s="2"/>
      <c r="N148" t="str">
        <f t="shared" si="1"/>
        <v>7142002</v>
      </c>
    </row>
    <row r="149" spans="1:14" x14ac:dyDescent="0.35">
      <c r="A149" s="21">
        <v>132129005</v>
      </c>
      <c r="B149">
        <v>0</v>
      </c>
      <c r="C149" s="18">
        <v>2002</v>
      </c>
      <c r="F149" s="2" t="s">
        <v>232</v>
      </c>
      <c r="G149">
        <v>714</v>
      </c>
      <c r="H149">
        <f>VLOOKUP(N149,[1]REGRA!$C$2:$D$15,2,FALSE)</f>
        <v>10</v>
      </c>
      <c r="I149" t="str">
        <f t="shared" si="0"/>
        <v>2002NE - ARACAJU/MACEIO10</v>
      </c>
      <c r="J149" t="e">
        <f>VLOOKUP(I149,'[2]BASE DE DADOS'!$A:$J,10,FALSE)</f>
        <v>#N/A</v>
      </c>
      <c r="K149" s="2"/>
      <c r="L149" s="2"/>
      <c r="N149" t="str">
        <f t="shared" si="1"/>
        <v>7142002</v>
      </c>
    </row>
    <row r="150" spans="1:14" x14ac:dyDescent="0.35">
      <c r="A150" s="21">
        <v>132129430</v>
      </c>
      <c r="B150">
        <v>0</v>
      </c>
      <c r="C150" s="18">
        <v>2002</v>
      </c>
      <c r="F150" s="2" t="s">
        <v>224</v>
      </c>
      <c r="G150">
        <v>714</v>
      </c>
      <c r="H150">
        <f>VLOOKUP(N150,[1]REGRA!$C$2:$D$15,2,FALSE)</f>
        <v>10</v>
      </c>
      <c r="I150" t="str">
        <f t="shared" si="0"/>
        <v>2002PARCERIAS CO/MG/NE10</v>
      </c>
      <c r="J150" t="e">
        <f>VLOOKUP(I150,'[2]BASE DE DADOS'!$A:$J,10,FALSE)</f>
        <v>#N/A</v>
      </c>
      <c r="K150" s="2"/>
      <c r="L150" s="2"/>
      <c r="N150" t="str">
        <f t="shared" si="1"/>
        <v>7142002</v>
      </c>
    </row>
    <row r="151" spans="1:14" x14ac:dyDescent="0.35">
      <c r="A151" s="21">
        <v>132129476</v>
      </c>
      <c r="B151">
        <v>0</v>
      </c>
      <c r="C151" s="18">
        <v>2002</v>
      </c>
      <c r="F151" s="2" t="s">
        <v>228</v>
      </c>
      <c r="G151">
        <v>714</v>
      </c>
      <c r="H151">
        <f>VLOOKUP(N151,[1]REGRA!$C$2:$D$15,2,FALSE)</f>
        <v>10</v>
      </c>
      <c r="I151" t="str">
        <f t="shared" si="0"/>
        <v>2002MG/CO - ATNP10</v>
      </c>
      <c r="J151" t="e">
        <f>VLOOKUP(I151,'[2]BASE DE DADOS'!$A:$J,10,FALSE)</f>
        <v>#N/A</v>
      </c>
      <c r="K151" s="2"/>
      <c r="L151" s="2"/>
      <c r="N151" t="str">
        <f t="shared" si="1"/>
        <v>7142002</v>
      </c>
    </row>
    <row r="152" spans="1:14" x14ac:dyDescent="0.35">
      <c r="A152" s="21">
        <v>132131931</v>
      </c>
      <c r="B152">
        <v>0</v>
      </c>
      <c r="C152" s="18">
        <v>2002</v>
      </c>
      <c r="F152" s="2" t="s">
        <v>217</v>
      </c>
      <c r="G152">
        <v>714</v>
      </c>
      <c r="H152">
        <f>VLOOKUP(N152,[1]REGRA!$C$2:$D$15,2,FALSE)</f>
        <v>10</v>
      </c>
      <c r="I152" t="str">
        <f t="shared" si="0"/>
        <v>2002SP - ATNP 210</v>
      </c>
      <c r="J152" t="e">
        <f>VLOOKUP(I152,'[2]BASE DE DADOS'!$A:$J,10,FALSE)</f>
        <v>#N/A</v>
      </c>
      <c r="K152" s="2"/>
      <c r="L152" s="2"/>
      <c r="N152" t="str">
        <f t="shared" si="1"/>
        <v>7142002</v>
      </c>
    </row>
    <row r="153" spans="1:14" x14ac:dyDescent="0.35">
      <c r="A153" s="21">
        <v>132132690</v>
      </c>
      <c r="B153">
        <v>0</v>
      </c>
      <c r="C153" s="18">
        <v>2002</v>
      </c>
      <c r="F153" s="2" t="s">
        <v>220</v>
      </c>
      <c r="G153">
        <v>714</v>
      </c>
      <c r="H153">
        <f>VLOOKUP(N153,[1]REGRA!$C$2:$D$15,2,FALSE)</f>
        <v>10</v>
      </c>
      <c r="I153" t="str">
        <f t="shared" si="0"/>
        <v>2002SP - CENTRO10</v>
      </c>
      <c r="J153" t="e">
        <f>VLOOKUP(I153,'[2]BASE DE DADOS'!$A:$J,10,FALSE)</f>
        <v>#N/A</v>
      </c>
      <c r="K153" s="2"/>
      <c r="L153" s="2"/>
      <c r="N153" t="str">
        <f t="shared" si="1"/>
        <v>7142002</v>
      </c>
    </row>
    <row r="154" spans="1:14" x14ac:dyDescent="0.35">
      <c r="A154" s="21">
        <v>132132708</v>
      </c>
      <c r="B154">
        <v>0</v>
      </c>
      <c r="C154" s="18">
        <v>2002</v>
      </c>
      <c r="F154" s="2" t="s">
        <v>233</v>
      </c>
      <c r="G154">
        <v>714</v>
      </c>
      <c r="H154">
        <f>VLOOKUP(N154,[1]REGRA!$C$2:$D$15,2,FALSE)</f>
        <v>10</v>
      </c>
      <c r="I154" t="str">
        <f t="shared" si="0"/>
        <v>2002NE - SALVADOR10</v>
      </c>
      <c r="J154" t="e">
        <f>VLOOKUP(I154,'[2]BASE DE DADOS'!$A:$J,10,FALSE)</f>
        <v>#N/A</v>
      </c>
      <c r="K154" s="2"/>
      <c r="L154" s="2"/>
      <c r="N154" t="str">
        <f t="shared" si="1"/>
        <v>7142002</v>
      </c>
    </row>
    <row r="155" spans="1:14" x14ac:dyDescent="0.35">
      <c r="A155" s="21">
        <v>132133055</v>
      </c>
      <c r="B155">
        <v>0</v>
      </c>
      <c r="C155" s="18">
        <v>2002</v>
      </c>
      <c r="F155" s="2" t="s">
        <v>220</v>
      </c>
      <c r="G155">
        <v>714</v>
      </c>
      <c r="H155">
        <f>VLOOKUP(N155,[1]REGRA!$C$2:$D$15,2,FALSE)</f>
        <v>10</v>
      </c>
      <c r="I155" t="str">
        <f t="shared" si="0"/>
        <v>2002SP - CENTRO10</v>
      </c>
      <c r="J155" t="e">
        <f>VLOOKUP(I155,'[2]BASE DE DADOS'!$A:$J,10,FALSE)</f>
        <v>#N/A</v>
      </c>
      <c r="K155" s="2"/>
      <c r="L155" s="2"/>
      <c r="N155" t="str">
        <f t="shared" si="1"/>
        <v>7142002</v>
      </c>
    </row>
    <row r="156" spans="1:14" x14ac:dyDescent="0.35">
      <c r="A156" s="21">
        <v>132133239</v>
      </c>
      <c r="B156">
        <v>0</v>
      </c>
      <c r="C156" s="18">
        <v>2002</v>
      </c>
      <c r="F156" s="2" t="s">
        <v>211</v>
      </c>
      <c r="G156">
        <v>714</v>
      </c>
      <c r="H156">
        <f>VLOOKUP(N156,[1]REGRA!$C$2:$D$15,2,FALSE)</f>
        <v>10</v>
      </c>
      <c r="I156" t="str">
        <f t="shared" si="0"/>
        <v>2002SUL - FLORIANOPOLIS10</v>
      </c>
      <c r="J156" t="e">
        <f>VLOOKUP(I156,'[2]BASE DE DADOS'!$A:$J,10,FALSE)</f>
        <v>#N/A</v>
      </c>
      <c r="K156" s="2"/>
      <c r="L156" s="2"/>
      <c r="N156" t="str">
        <f t="shared" si="1"/>
        <v>7142002</v>
      </c>
    </row>
    <row r="157" spans="1:14" x14ac:dyDescent="0.35">
      <c r="A157" s="21">
        <v>132133269</v>
      </c>
      <c r="B157">
        <v>0</v>
      </c>
      <c r="C157" s="18">
        <v>2002</v>
      </c>
      <c r="F157" s="2" t="s">
        <v>224</v>
      </c>
      <c r="G157">
        <v>714</v>
      </c>
      <c r="H157">
        <f>VLOOKUP(N157,[1]REGRA!$C$2:$D$15,2,FALSE)</f>
        <v>10</v>
      </c>
      <c r="I157" t="str">
        <f t="shared" si="0"/>
        <v>2002PARCERIAS CO/MG/NE10</v>
      </c>
      <c r="J157" t="e">
        <f>VLOOKUP(I157,'[2]BASE DE DADOS'!$A:$J,10,FALSE)</f>
        <v>#N/A</v>
      </c>
      <c r="K157" s="2"/>
      <c r="L157" s="2"/>
      <c r="N157" t="str">
        <f t="shared" si="1"/>
        <v>7142002</v>
      </c>
    </row>
    <row r="158" spans="1:14" x14ac:dyDescent="0.35">
      <c r="A158" s="21">
        <v>132133418</v>
      </c>
      <c r="B158">
        <v>0</v>
      </c>
      <c r="C158" s="18">
        <v>2002</v>
      </c>
      <c r="F158" s="2" t="s">
        <v>233</v>
      </c>
      <c r="G158">
        <v>714</v>
      </c>
      <c r="H158">
        <f>VLOOKUP(N158,[1]REGRA!$C$2:$D$15,2,FALSE)</f>
        <v>10</v>
      </c>
      <c r="I158" t="str">
        <f t="shared" si="0"/>
        <v>2002NE - SALVADOR10</v>
      </c>
      <c r="J158" t="e">
        <f>VLOOKUP(I158,'[2]BASE DE DADOS'!$A:$J,10,FALSE)</f>
        <v>#N/A</v>
      </c>
      <c r="K158" s="2"/>
      <c r="L158" s="2"/>
      <c r="N158" t="str">
        <f t="shared" si="1"/>
        <v>7142002</v>
      </c>
    </row>
    <row r="159" spans="1:14" x14ac:dyDescent="0.35">
      <c r="A159" s="21">
        <v>132134392</v>
      </c>
      <c r="B159">
        <v>0</v>
      </c>
      <c r="C159" s="18">
        <v>2002</v>
      </c>
      <c r="F159" s="2" t="s">
        <v>218</v>
      </c>
      <c r="G159">
        <v>714</v>
      </c>
      <c r="H159">
        <f>VLOOKUP(N159,[1]REGRA!$C$2:$D$15,2,FALSE)</f>
        <v>10</v>
      </c>
      <c r="I159" t="str">
        <f t="shared" si="0"/>
        <v>2002RJ - INTERIOR/NITEROI10</v>
      </c>
      <c r="J159" t="e">
        <f>VLOOKUP(I159,'[2]BASE DE DADOS'!$A:$J,10,FALSE)</f>
        <v>#N/A</v>
      </c>
      <c r="K159" s="2"/>
      <c r="L159" s="2"/>
      <c r="N159" t="str">
        <f t="shared" si="1"/>
        <v>7142002</v>
      </c>
    </row>
    <row r="160" spans="1:14" x14ac:dyDescent="0.35">
      <c r="A160" s="21">
        <v>132134411</v>
      </c>
      <c r="B160">
        <v>0</v>
      </c>
      <c r="C160" s="18">
        <v>2002</v>
      </c>
      <c r="F160" s="2" t="s">
        <v>230</v>
      </c>
      <c r="G160">
        <v>714</v>
      </c>
      <c r="H160">
        <f>VLOOKUP(N160,[1]REGRA!$C$2:$D$15,2,FALSE)</f>
        <v>10</v>
      </c>
      <c r="I160" t="str">
        <f t="shared" si="0"/>
        <v>2002SUL - CURITIBA10</v>
      </c>
      <c r="J160" t="e">
        <f>VLOOKUP(I160,'[2]BASE DE DADOS'!$A:$J,10,FALSE)</f>
        <v>#N/A</v>
      </c>
      <c r="K160" s="2"/>
      <c r="L160" s="2"/>
      <c r="N160" t="str">
        <f t="shared" si="1"/>
        <v>7142002</v>
      </c>
    </row>
    <row r="161" spans="1:14" x14ac:dyDescent="0.35">
      <c r="A161" s="21">
        <v>132134648</v>
      </c>
      <c r="B161">
        <v>0</v>
      </c>
      <c r="C161" s="18">
        <v>2002</v>
      </c>
      <c r="F161" s="2" t="s">
        <v>212</v>
      </c>
      <c r="G161">
        <v>714</v>
      </c>
      <c r="H161">
        <f>VLOOKUP(N161,[1]REGRA!$C$2:$D$15,2,FALSE)</f>
        <v>10</v>
      </c>
      <c r="I161" t="str">
        <f t="shared" si="0"/>
        <v>2002N/NE - ATNP10</v>
      </c>
      <c r="J161" t="e">
        <f>VLOOKUP(I161,'[2]BASE DE DADOS'!$A:$J,10,FALSE)</f>
        <v>#N/A</v>
      </c>
      <c r="K161" s="2"/>
      <c r="L161" s="2"/>
      <c r="N161" t="str">
        <f t="shared" si="1"/>
        <v>7142002</v>
      </c>
    </row>
    <row r="162" spans="1:14" x14ac:dyDescent="0.35">
      <c r="A162" s="21">
        <v>132134791</v>
      </c>
      <c r="B162">
        <v>0</v>
      </c>
      <c r="C162" s="18">
        <v>2002</v>
      </c>
      <c r="F162" s="2" t="s">
        <v>234</v>
      </c>
      <c r="G162">
        <v>714</v>
      </c>
      <c r="H162">
        <f>VLOOKUP(N162,[1]REGRA!$C$2:$D$15,2,FALSE)</f>
        <v>10</v>
      </c>
      <c r="I162" t="str">
        <f t="shared" si="0"/>
        <v>2002NE - RECIFE10</v>
      </c>
      <c r="J162" t="e">
        <f>VLOOKUP(I162,'[2]BASE DE DADOS'!$A:$J,10,FALSE)</f>
        <v>#N/A</v>
      </c>
      <c r="K162" s="2"/>
      <c r="L162" s="2"/>
      <c r="N162" t="str">
        <f t="shared" si="1"/>
        <v>7142002</v>
      </c>
    </row>
    <row r="163" spans="1:14" x14ac:dyDescent="0.35">
      <c r="A163" s="21">
        <v>132134905</v>
      </c>
      <c r="B163">
        <v>0</v>
      </c>
      <c r="C163" s="18">
        <v>2002</v>
      </c>
      <c r="F163" s="2" t="s">
        <v>235</v>
      </c>
      <c r="G163">
        <v>714</v>
      </c>
      <c r="H163">
        <f>VLOOKUP(N163,[1]REGRA!$C$2:$D$15,2,FALSE)</f>
        <v>10</v>
      </c>
      <c r="I163" t="str">
        <f t="shared" si="0"/>
        <v>2002RJ - RIO10</v>
      </c>
      <c r="J163" t="e">
        <f>VLOOKUP(I163,'[2]BASE DE DADOS'!$A:$J,10,FALSE)</f>
        <v>#N/A</v>
      </c>
      <c r="K163" s="2"/>
      <c r="L163" s="2"/>
      <c r="N163" t="str">
        <f t="shared" si="1"/>
        <v>7142002</v>
      </c>
    </row>
    <row r="164" spans="1:14" x14ac:dyDescent="0.35">
      <c r="A164" s="21">
        <v>132135260</v>
      </c>
      <c r="B164">
        <v>0</v>
      </c>
      <c r="C164" s="18">
        <v>2002</v>
      </c>
      <c r="F164" s="2" t="s">
        <v>236</v>
      </c>
      <c r="G164">
        <v>714</v>
      </c>
      <c r="H164">
        <f>VLOOKUP(N164,[1]REGRA!$C$2:$D$15,2,FALSE)</f>
        <v>10</v>
      </c>
      <c r="I164" t="str">
        <f t="shared" si="0"/>
        <v>2002INT - VALE DO PARAIBA10</v>
      </c>
      <c r="J164" t="e">
        <f>VLOOKUP(I164,'[2]BASE DE DADOS'!$A:$J,10,FALSE)</f>
        <v>#N/A</v>
      </c>
      <c r="K164" s="2"/>
      <c r="L164" s="2"/>
      <c r="N164" t="str">
        <f t="shared" si="1"/>
        <v>7142002</v>
      </c>
    </row>
    <row r="165" spans="1:14" x14ac:dyDescent="0.35">
      <c r="A165" s="21">
        <v>132136528</v>
      </c>
      <c r="B165">
        <v>0</v>
      </c>
      <c r="C165" s="18">
        <v>2002</v>
      </c>
      <c r="F165" s="2" t="s">
        <v>235</v>
      </c>
      <c r="G165">
        <v>714</v>
      </c>
      <c r="H165">
        <f>VLOOKUP(N165,[1]REGRA!$C$2:$D$15,2,FALSE)</f>
        <v>10</v>
      </c>
      <c r="I165" t="str">
        <f t="shared" si="0"/>
        <v>2002RJ - RIO10</v>
      </c>
      <c r="J165" t="e">
        <f>VLOOKUP(I165,'[2]BASE DE DADOS'!$A:$J,10,FALSE)</f>
        <v>#N/A</v>
      </c>
      <c r="K165" s="2"/>
      <c r="L165" s="2"/>
      <c r="N165" t="str">
        <f t="shared" si="1"/>
        <v>7142002</v>
      </c>
    </row>
    <row r="166" spans="1:14" x14ac:dyDescent="0.35">
      <c r="A166" s="21">
        <v>132136703</v>
      </c>
      <c r="B166">
        <v>0</v>
      </c>
      <c r="C166" s="18">
        <v>2002</v>
      </c>
      <c r="F166" s="2" t="s">
        <v>237</v>
      </c>
      <c r="G166">
        <v>714</v>
      </c>
      <c r="H166">
        <f>VLOOKUP(N166,[1]REGRA!$C$2:$D$15,2,FALSE)</f>
        <v>10</v>
      </c>
      <c r="I166" t="str">
        <f t="shared" si="0"/>
        <v>2002NE - NATAL/JOAO PESSOA10</v>
      </c>
      <c r="J166" t="e">
        <f>VLOOKUP(I166,'[2]BASE DE DADOS'!$A:$J,10,FALSE)</f>
        <v>#N/A</v>
      </c>
      <c r="K166" s="2"/>
      <c r="L166" s="2"/>
      <c r="N166" t="str">
        <f t="shared" si="1"/>
        <v>7142002</v>
      </c>
    </row>
    <row r="167" spans="1:14" x14ac:dyDescent="0.35">
      <c r="A167" s="21">
        <v>132137172</v>
      </c>
      <c r="B167">
        <v>0</v>
      </c>
      <c r="C167" s="18">
        <v>2002</v>
      </c>
      <c r="F167" s="2" t="s">
        <v>235</v>
      </c>
      <c r="G167">
        <v>714</v>
      </c>
      <c r="H167">
        <f>VLOOKUP(N167,[1]REGRA!$C$2:$D$15,2,FALSE)</f>
        <v>10</v>
      </c>
      <c r="I167" t="str">
        <f t="shared" si="0"/>
        <v>2002RJ - RIO10</v>
      </c>
      <c r="J167" t="e">
        <f>VLOOKUP(I167,'[2]BASE DE DADOS'!$A:$J,10,FALSE)</f>
        <v>#N/A</v>
      </c>
      <c r="K167" s="2"/>
      <c r="L167" s="2"/>
      <c r="N167" t="str">
        <f t="shared" si="1"/>
        <v>7142002</v>
      </c>
    </row>
    <row r="168" spans="1:14" x14ac:dyDescent="0.35">
      <c r="A168" s="21">
        <v>132137203</v>
      </c>
      <c r="B168">
        <v>0</v>
      </c>
      <c r="C168" s="18">
        <v>2002</v>
      </c>
      <c r="F168" s="2" t="s">
        <v>217</v>
      </c>
      <c r="G168">
        <v>714</v>
      </c>
      <c r="H168">
        <f>VLOOKUP(N168,[1]REGRA!$C$2:$D$15,2,FALSE)</f>
        <v>10</v>
      </c>
      <c r="I168" t="str">
        <f t="shared" ref="I168:I223" si="2">C168&amp;F168&amp;H168</f>
        <v>2002SP - ATNP 210</v>
      </c>
      <c r="J168" t="e">
        <f>VLOOKUP(I168,'[2]BASE DE DADOS'!$A:$J,10,FALSE)</f>
        <v>#N/A</v>
      </c>
      <c r="K168" s="2"/>
      <c r="L168" s="2"/>
      <c r="N168" t="str">
        <f t="shared" si="1"/>
        <v>7142002</v>
      </c>
    </row>
    <row r="169" spans="1:14" x14ac:dyDescent="0.35">
      <c r="A169" s="21">
        <v>132137447</v>
      </c>
      <c r="B169">
        <v>0</v>
      </c>
      <c r="C169" s="18">
        <v>2002</v>
      </c>
      <c r="F169" s="2" t="s">
        <v>210</v>
      </c>
      <c r="G169">
        <v>714</v>
      </c>
      <c r="H169">
        <f>VLOOKUP(N169,[1]REGRA!$C$2:$D$15,2,FALSE)</f>
        <v>10</v>
      </c>
      <c r="I169" t="str">
        <f t="shared" si="2"/>
        <v>2002SUL - PORTO ALEGRE10</v>
      </c>
      <c r="J169" t="e">
        <f>VLOOKUP(I169,'[2]BASE DE DADOS'!$A:$J,10,FALSE)</f>
        <v>#N/A</v>
      </c>
      <c r="K169" s="2"/>
      <c r="L169" s="2"/>
      <c r="N169" t="str">
        <f t="shared" si="1"/>
        <v>7142002</v>
      </c>
    </row>
    <row r="170" spans="1:14" x14ac:dyDescent="0.35">
      <c r="A170" s="21">
        <v>132137526</v>
      </c>
      <c r="B170">
        <v>0</v>
      </c>
      <c r="C170" s="18">
        <v>2002</v>
      </c>
      <c r="F170" s="2" t="s">
        <v>220</v>
      </c>
      <c r="G170">
        <v>714</v>
      </c>
      <c r="H170">
        <f>VLOOKUP(N170,[1]REGRA!$C$2:$D$15,2,FALSE)</f>
        <v>10</v>
      </c>
      <c r="I170" t="str">
        <f t="shared" si="2"/>
        <v>2002SP - CENTRO10</v>
      </c>
      <c r="J170" t="e">
        <f>VLOOKUP(I170,'[2]BASE DE DADOS'!$A:$J,10,FALSE)</f>
        <v>#N/A</v>
      </c>
      <c r="K170" s="2"/>
      <c r="L170" s="2"/>
      <c r="N170" t="str">
        <f t="shared" si="1"/>
        <v>7142002</v>
      </c>
    </row>
    <row r="171" spans="1:14" x14ac:dyDescent="0.35">
      <c r="A171" s="21">
        <v>132137575</v>
      </c>
      <c r="B171">
        <v>0</v>
      </c>
      <c r="C171" s="18">
        <v>2002</v>
      </c>
      <c r="F171" s="2" t="s">
        <v>235</v>
      </c>
      <c r="G171">
        <v>714</v>
      </c>
      <c r="H171">
        <f>VLOOKUP(N171,[1]REGRA!$C$2:$D$15,2,FALSE)</f>
        <v>10</v>
      </c>
      <c r="I171" t="str">
        <f t="shared" si="2"/>
        <v>2002RJ - RIO10</v>
      </c>
      <c r="J171" t="e">
        <f>VLOOKUP(I171,'[2]BASE DE DADOS'!$A:$J,10,FALSE)</f>
        <v>#N/A</v>
      </c>
      <c r="K171" s="2"/>
      <c r="L171" s="2"/>
      <c r="N171" t="str">
        <f t="shared" si="1"/>
        <v>7142002</v>
      </c>
    </row>
    <row r="172" spans="1:14" x14ac:dyDescent="0.35">
      <c r="A172" s="21">
        <v>132137796</v>
      </c>
      <c r="B172">
        <v>0</v>
      </c>
      <c r="C172" s="18">
        <v>2002</v>
      </c>
      <c r="F172" s="2" t="s">
        <v>224</v>
      </c>
      <c r="G172">
        <v>714</v>
      </c>
      <c r="H172">
        <f>VLOOKUP(N172,[1]REGRA!$C$2:$D$15,2,FALSE)</f>
        <v>10</v>
      </c>
      <c r="I172" t="str">
        <f t="shared" si="2"/>
        <v>2002PARCERIAS CO/MG/NE10</v>
      </c>
      <c r="J172" t="e">
        <f>VLOOKUP(I172,'[2]BASE DE DADOS'!$A:$J,10,FALSE)</f>
        <v>#N/A</v>
      </c>
      <c r="K172" s="2"/>
      <c r="L172" s="2"/>
      <c r="N172" t="str">
        <f t="shared" si="1"/>
        <v>7142002</v>
      </c>
    </row>
    <row r="173" spans="1:14" x14ac:dyDescent="0.35">
      <c r="A173" s="21">
        <v>132137893</v>
      </c>
      <c r="B173">
        <v>0</v>
      </c>
      <c r="C173" s="18">
        <v>2002</v>
      </c>
      <c r="F173" s="2" t="s">
        <v>220</v>
      </c>
      <c r="G173">
        <v>714</v>
      </c>
      <c r="H173">
        <f>VLOOKUP(N173,[1]REGRA!$C$2:$D$15,2,FALSE)</f>
        <v>10</v>
      </c>
      <c r="I173" t="str">
        <f t="shared" si="2"/>
        <v>2002SP - CENTRO10</v>
      </c>
      <c r="J173" t="e">
        <f>VLOOKUP(I173,'[2]BASE DE DADOS'!$A:$J,10,FALSE)</f>
        <v>#N/A</v>
      </c>
      <c r="K173" s="2"/>
      <c r="L173" s="2"/>
      <c r="N173" t="str">
        <f t="shared" si="1"/>
        <v>7142002</v>
      </c>
    </row>
    <row r="174" spans="1:14" x14ac:dyDescent="0.35">
      <c r="A174" s="21">
        <v>132138558</v>
      </c>
      <c r="B174">
        <v>0</v>
      </c>
      <c r="C174" s="18">
        <v>2002</v>
      </c>
      <c r="F174" s="2" t="s">
        <v>238</v>
      </c>
      <c r="G174">
        <v>714</v>
      </c>
      <c r="H174">
        <f>VLOOKUP(N174,[1]REGRA!$C$2:$D$15,2,FALSE)</f>
        <v>10</v>
      </c>
      <c r="I174" t="str">
        <f t="shared" si="2"/>
        <v>2002NE - TERESINA/SAO LUIS10</v>
      </c>
      <c r="J174" t="e">
        <f>VLOOKUP(I174,'[2]BASE DE DADOS'!$A:$J,10,FALSE)</f>
        <v>#N/A</v>
      </c>
      <c r="K174" s="2"/>
      <c r="L174" s="2"/>
      <c r="N174" t="str">
        <f t="shared" si="1"/>
        <v>7142002</v>
      </c>
    </row>
    <row r="175" spans="1:14" x14ac:dyDescent="0.35">
      <c r="A175" s="21">
        <v>132138605</v>
      </c>
      <c r="B175">
        <v>0</v>
      </c>
      <c r="C175" s="18">
        <v>2002</v>
      </c>
      <c r="F175" s="2" t="s">
        <v>215</v>
      </c>
      <c r="G175">
        <v>714</v>
      </c>
      <c r="H175">
        <f>VLOOKUP(N175,[1]REGRA!$C$2:$D$15,2,FALSE)</f>
        <v>10</v>
      </c>
      <c r="I175" t="str">
        <f t="shared" si="2"/>
        <v>2002SUL - BLUMENAU10</v>
      </c>
      <c r="J175" t="e">
        <f>VLOOKUP(I175,'[2]BASE DE DADOS'!$A:$J,10,FALSE)</f>
        <v>#N/A</v>
      </c>
      <c r="K175" s="2"/>
      <c r="L175" s="2"/>
      <c r="N175" t="str">
        <f t="shared" si="1"/>
        <v>7142002</v>
      </c>
    </row>
    <row r="176" spans="1:14" x14ac:dyDescent="0.35">
      <c r="A176" s="21">
        <v>132138663</v>
      </c>
      <c r="B176">
        <v>0</v>
      </c>
      <c r="C176" s="18">
        <v>2002</v>
      </c>
      <c r="F176" s="2" t="s">
        <v>239</v>
      </c>
      <c r="G176">
        <v>714</v>
      </c>
      <c r="H176">
        <f>VLOOKUP(N176,[1]REGRA!$C$2:$D$15,2,FALSE)</f>
        <v>10</v>
      </c>
      <c r="I176" t="str">
        <f t="shared" si="2"/>
        <v>2002NE - FORTALEZA/ASSESSORIA10</v>
      </c>
      <c r="J176" t="e">
        <f>VLOOKUP(I176,'[2]BASE DE DADOS'!$A:$J,10,FALSE)</f>
        <v>#N/A</v>
      </c>
      <c r="K176" s="2"/>
      <c r="L176" s="2"/>
      <c r="N176" t="str">
        <f t="shared" si="1"/>
        <v>7142002</v>
      </c>
    </row>
    <row r="177" spans="1:14" x14ac:dyDescent="0.35">
      <c r="A177" s="21">
        <v>132138939</v>
      </c>
      <c r="B177">
        <v>0</v>
      </c>
      <c r="C177" s="18">
        <v>2002</v>
      </c>
      <c r="F177" s="2" t="s">
        <v>240</v>
      </c>
      <c r="G177">
        <v>714</v>
      </c>
      <c r="H177">
        <f>VLOOKUP(N177,[1]REGRA!$C$2:$D$15,2,FALSE)</f>
        <v>10</v>
      </c>
      <c r="I177" t="str">
        <f t="shared" si="2"/>
        <v>2002SP - ABC/SANTOS10</v>
      </c>
      <c r="J177" t="e">
        <f>VLOOKUP(I177,'[2]BASE DE DADOS'!$A:$J,10,FALSE)</f>
        <v>#N/A</v>
      </c>
      <c r="K177" s="2"/>
      <c r="L177" s="2"/>
      <c r="N177" t="str">
        <f t="shared" si="1"/>
        <v>7142002</v>
      </c>
    </row>
    <row r="178" spans="1:14" x14ac:dyDescent="0.35">
      <c r="A178" s="21">
        <v>132139851</v>
      </c>
      <c r="B178">
        <v>0</v>
      </c>
      <c r="C178" s="18">
        <v>2002</v>
      </c>
      <c r="F178" s="2" t="s">
        <v>227</v>
      </c>
      <c r="G178">
        <v>714</v>
      </c>
      <c r="H178">
        <f>VLOOKUP(N178,[1]REGRA!$C$2:$D$15,2,FALSE)</f>
        <v>10</v>
      </c>
      <c r="I178" t="str">
        <f t="shared" si="2"/>
        <v>2002SUL - ATNP 110</v>
      </c>
      <c r="J178" t="e">
        <f>VLOOKUP(I178,'[2]BASE DE DADOS'!$A:$J,10,FALSE)</f>
        <v>#N/A</v>
      </c>
      <c r="K178" s="2"/>
      <c r="L178" s="2"/>
      <c r="N178" t="str">
        <f t="shared" si="1"/>
        <v>7142002</v>
      </c>
    </row>
    <row r="179" spans="1:14" x14ac:dyDescent="0.35">
      <c r="A179" s="21">
        <v>132140061</v>
      </c>
      <c r="B179">
        <v>0</v>
      </c>
      <c r="C179" s="18">
        <v>2002</v>
      </c>
      <c r="F179" s="2" t="s">
        <v>211</v>
      </c>
      <c r="G179">
        <v>714</v>
      </c>
      <c r="H179">
        <f>VLOOKUP(N179,[1]REGRA!$C$2:$D$15,2,FALSE)</f>
        <v>10</v>
      </c>
      <c r="I179" t="str">
        <f t="shared" si="2"/>
        <v>2002SUL - FLORIANOPOLIS10</v>
      </c>
      <c r="J179" t="e">
        <f>VLOOKUP(I179,'[2]BASE DE DADOS'!$A:$J,10,FALSE)</f>
        <v>#N/A</v>
      </c>
      <c r="K179" s="2"/>
      <c r="L179" s="2"/>
      <c r="N179" t="str">
        <f t="shared" si="1"/>
        <v>7142002</v>
      </c>
    </row>
    <row r="180" spans="1:14" x14ac:dyDescent="0.35">
      <c r="A180" s="21">
        <v>132140225</v>
      </c>
      <c r="B180">
        <v>0</v>
      </c>
      <c r="C180" s="18">
        <v>2002</v>
      </c>
      <c r="F180" s="2" t="s">
        <v>241</v>
      </c>
      <c r="G180">
        <v>714</v>
      </c>
      <c r="H180">
        <f>VLOOKUP(N180,[1]REGRA!$C$2:$D$15,2,FALSE)</f>
        <v>10</v>
      </c>
      <c r="I180" t="str">
        <f t="shared" si="2"/>
        <v>2002SUL - SANTO ANGELO10</v>
      </c>
      <c r="J180" t="e">
        <f>VLOOKUP(I180,'[2]BASE DE DADOS'!$A:$J,10,FALSE)</f>
        <v>#N/A</v>
      </c>
      <c r="K180" s="2"/>
      <c r="L180" s="2"/>
      <c r="N180" t="str">
        <f t="shared" si="1"/>
        <v>7142002</v>
      </c>
    </row>
    <row r="181" spans="1:14" x14ac:dyDescent="0.35">
      <c r="A181" s="21">
        <v>132140316</v>
      </c>
      <c r="B181">
        <v>0</v>
      </c>
      <c r="C181" s="18">
        <v>2002</v>
      </c>
      <c r="F181" s="2" t="s">
        <v>224</v>
      </c>
      <c r="G181">
        <v>714</v>
      </c>
      <c r="H181">
        <f>VLOOKUP(N181,[1]REGRA!$C$2:$D$15,2,FALSE)</f>
        <v>10</v>
      </c>
      <c r="I181" t="str">
        <f t="shared" si="2"/>
        <v>2002PARCERIAS CO/MG/NE10</v>
      </c>
      <c r="J181" t="e">
        <f>VLOOKUP(I181,'[2]BASE DE DADOS'!$A:$J,10,FALSE)</f>
        <v>#N/A</v>
      </c>
      <c r="K181" s="2"/>
      <c r="L181" s="2"/>
      <c r="N181" t="str">
        <f t="shared" si="1"/>
        <v>7142002</v>
      </c>
    </row>
    <row r="182" spans="1:14" x14ac:dyDescent="0.35">
      <c r="A182" s="21">
        <v>132141063</v>
      </c>
      <c r="B182">
        <v>0</v>
      </c>
      <c r="C182" s="18">
        <v>2002</v>
      </c>
      <c r="F182" s="2" t="s">
        <v>219</v>
      </c>
      <c r="G182">
        <v>714</v>
      </c>
      <c r="H182">
        <f>VLOOKUP(N182,[1]REGRA!$C$2:$D$15,2,FALSE)</f>
        <v>10</v>
      </c>
      <c r="I182" t="str">
        <f t="shared" si="2"/>
        <v>2002MG – BELO HORIZONTE10</v>
      </c>
      <c r="J182" t="e">
        <f>VLOOKUP(I182,'[2]BASE DE DADOS'!$A:$J,10,FALSE)</f>
        <v>#N/A</v>
      </c>
      <c r="K182" s="2"/>
      <c r="L182" s="2"/>
      <c r="N182" t="str">
        <f t="shared" si="1"/>
        <v>7142002</v>
      </c>
    </row>
    <row r="183" spans="1:14" x14ac:dyDescent="0.35">
      <c r="A183" s="21">
        <v>132141652</v>
      </c>
      <c r="B183">
        <v>0</v>
      </c>
      <c r="C183" s="18">
        <v>2002</v>
      </c>
      <c r="F183" s="2" t="s">
        <v>211</v>
      </c>
      <c r="G183">
        <v>714</v>
      </c>
      <c r="H183">
        <f>VLOOKUP(N183,[1]REGRA!$C$2:$D$15,2,FALSE)</f>
        <v>10</v>
      </c>
      <c r="I183" t="str">
        <f t="shared" si="2"/>
        <v>2002SUL - FLORIANOPOLIS10</v>
      </c>
      <c r="J183" t="e">
        <f>VLOOKUP(I183,'[2]BASE DE DADOS'!$A:$J,10,FALSE)</f>
        <v>#N/A</v>
      </c>
      <c r="K183" s="2"/>
      <c r="L183" s="2"/>
      <c r="N183" t="str">
        <f t="shared" si="1"/>
        <v>7142002</v>
      </c>
    </row>
    <row r="184" spans="1:14" x14ac:dyDescent="0.35">
      <c r="A184" s="21">
        <v>132141773</v>
      </c>
      <c r="B184">
        <v>0</v>
      </c>
      <c r="C184" s="18">
        <v>2002</v>
      </c>
      <c r="F184" s="2" t="s">
        <v>223</v>
      </c>
      <c r="G184">
        <v>714</v>
      </c>
      <c r="H184">
        <f>VLOOKUP(N184,[1]REGRA!$C$2:$D$15,2,FALSE)</f>
        <v>10</v>
      </c>
      <c r="I184" t="str">
        <f t="shared" si="2"/>
        <v>2002SP - ASSESSORIAS10</v>
      </c>
      <c r="J184" t="e">
        <f>VLOOKUP(I184,'[2]BASE DE DADOS'!$A:$J,10,FALSE)</f>
        <v>#N/A</v>
      </c>
      <c r="K184" s="2"/>
      <c r="L184" s="2"/>
      <c r="N184" t="str">
        <f t="shared" si="1"/>
        <v>7142002</v>
      </c>
    </row>
    <row r="185" spans="1:14" x14ac:dyDescent="0.35">
      <c r="A185" s="21">
        <v>132141834</v>
      </c>
      <c r="B185">
        <v>0</v>
      </c>
      <c r="C185" s="18">
        <v>2002</v>
      </c>
      <c r="F185" s="2" t="s">
        <v>241</v>
      </c>
      <c r="G185">
        <v>714</v>
      </c>
      <c r="H185">
        <f>VLOOKUP(N185,[1]REGRA!$C$2:$D$15,2,FALSE)</f>
        <v>10</v>
      </c>
      <c r="I185" t="str">
        <f t="shared" si="2"/>
        <v>2002SUL - SANTO ANGELO10</v>
      </c>
      <c r="J185" t="e">
        <f>VLOOKUP(I185,'[2]BASE DE DADOS'!$A:$J,10,FALSE)</f>
        <v>#N/A</v>
      </c>
      <c r="K185" s="2"/>
      <c r="L185" s="2"/>
      <c r="N185" t="str">
        <f t="shared" si="1"/>
        <v>7142002</v>
      </c>
    </row>
    <row r="186" spans="1:14" x14ac:dyDescent="0.35">
      <c r="A186" s="21">
        <v>132141916</v>
      </c>
      <c r="B186">
        <v>0</v>
      </c>
      <c r="C186" s="18">
        <v>2002</v>
      </c>
      <c r="F186" s="2" t="s">
        <v>210</v>
      </c>
      <c r="G186">
        <v>714</v>
      </c>
      <c r="H186">
        <f>VLOOKUP(N186,[1]REGRA!$C$2:$D$15,2,FALSE)</f>
        <v>10</v>
      </c>
      <c r="I186" t="str">
        <f t="shared" si="2"/>
        <v>2002SUL - PORTO ALEGRE10</v>
      </c>
      <c r="J186" t="e">
        <f>VLOOKUP(I186,'[2]BASE DE DADOS'!$A:$J,10,FALSE)</f>
        <v>#N/A</v>
      </c>
      <c r="K186" s="2"/>
      <c r="L186" s="2"/>
      <c r="N186" t="str">
        <f t="shared" si="1"/>
        <v>7142002</v>
      </c>
    </row>
    <row r="187" spans="1:14" x14ac:dyDescent="0.35">
      <c r="A187" s="21">
        <v>132142344</v>
      </c>
      <c r="B187">
        <v>0</v>
      </c>
      <c r="C187" s="18">
        <v>2002</v>
      </c>
      <c r="F187" s="2" t="s">
        <v>211</v>
      </c>
      <c r="G187">
        <v>714</v>
      </c>
      <c r="H187">
        <f>VLOOKUP(N187,[1]REGRA!$C$2:$D$15,2,FALSE)</f>
        <v>10</v>
      </c>
      <c r="I187" t="str">
        <f t="shared" si="2"/>
        <v>2002SUL - FLORIANOPOLIS10</v>
      </c>
      <c r="J187" t="e">
        <f>VLOOKUP(I187,'[2]BASE DE DADOS'!$A:$J,10,FALSE)</f>
        <v>#N/A</v>
      </c>
      <c r="K187" s="2"/>
      <c r="L187" s="2"/>
      <c r="N187" t="str">
        <f t="shared" si="1"/>
        <v>7142002</v>
      </c>
    </row>
    <row r="188" spans="1:14" x14ac:dyDescent="0.35">
      <c r="A188" s="21">
        <v>132070029</v>
      </c>
      <c r="B188">
        <v>0</v>
      </c>
      <c r="C188" s="18">
        <v>2002</v>
      </c>
      <c r="F188" s="2" t="s">
        <v>210</v>
      </c>
      <c r="G188">
        <v>1701</v>
      </c>
      <c r="H188">
        <f>VLOOKUP(N188,[1]REGRA!$C$2:$D$15,2,FALSE)</f>
        <v>20</v>
      </c>
      <c r="I188" t="str">
        <f t="shared" si="2"/>
        <v>2002SUL - PORTO ALEGRE20</v>
      </c>
      <c r="J188" t="e">
        <f>VLOOKUP(I188,'[2]BASE DE DADOS'!$A:$J,10,FALSE)</f>
        <v>#N/A</v>
      </c>
      <c r="K188" s="2"/>
      <c r="L188" s="2"/>
      <c r="N188" t="str">
        <f t="shared" si="1"/>
        <v>17012002</v>
      </c>
    </row>
    <row r="189" spans="1:14" x14ac:dyDescent="0.35">
      <c r="A189" s="21">
        <v>132070457</v>
      </c>
      <c r="B189">
        <v>0</v>
      </c>
      <c r="C189" s="18">
        <v>2002</v>
      </c>
      <c r="F189" s="2" t="s">
        <v>211</v>
      </c>
      <c r="G189">
        <v>1701</v>
      </c>
      <c r="H189">
        <f>VLOOKUP(N189,[1]REGRA!$C$2:$D$15,2,FALSE)</f>
        <v>20</v>
      </c>
      <c r="I189" t="str">
        <f t="shared" si="2"/>
        <v>2002SUL - FLORIANOPOLIS20</v>
      </c>
      <c r="J189" t="e">
        <f>VLOOKUP(I189,'[2]BASE DE DADOS'!$A:$J,10,FALSE)</f>
        <v>#N/A</v>
      </c>
      <c r="K189" s="2"/>
      <c r="L189" s="2"/>
      <c r="N189" t="str">
        <f t="shared" si="1"/>
        <v>17012002</v>
      </c>
    </row>
    <row r="190" spans="1:14" x14ac:dyDescent="0.35">
      <c r="A190" s="21">
        <v>132072818</v>
      </c>
      <c r="B190">
        <v>0</v>
      </c>
      <c r="C190" s="18">
        <v>2002</v>
      </c>
      <c r="F190" s="2" t="s">
        <v>242</v>
      </c>
      <c r="G190">
        <v>1701</v>
      </c>
      <c r="H190">
        <f>VLOOKUP(N190,[1]REGRA!$C$2:$D$15,2,FALSE)</f>
        <v>20</v>
      </c>
      <c r="I190" t="str">
        <f t="shared" si="2"/>
        <v>2002INT - ATNP 120</v>
      </c>
      <c r="J190" t="e">
        <f>VLOOKUP(I190,'[2]BASE DE DADOS'!$A:$J,10,FALSE)</f>
        <v>#N/A</v>
      </c>
      <c r="K190" s="2"/>
      <c r="L190" s="2"/>
      <c r="N190" t="str">
        <f t="shared" si="1"/>
        <v>17012002</v>
      </c>
    </row>
    <row r="191" spans="1:14" x14ac:dyDescent="0.35">
      <c r="A191" s="21">
        <v>132080683</v>
      </c>
      <c r="B191">
        <v>0</v>
      </c>
      <c r="C191" s="18">
        <v>2002</v>
      </c>
      <c r="F191" s="2" t="s">
        <v>217</v>
      </c>
      <c r="G191">
        <v>1701</v>
      </c>
      <c r="H191">
        <f>VLOOKUP(N191,[1]REGRA!$C$2:$D$15,2,FALSE)</f>
        <v>20</v>
      </c>
      <c r="I191" t="str">
        <f t="shared" si="2"/>
        <v>2002SP - ATNP 220</v>
      </c>
      <c r="J191" t="e">
        <f>VLOOKUP(I191,'[2]BASE DE DADOS'!$A:$J,10,FALSE)</f>
        <v>#N/A</v>
      </c>
      <c r="K191" s="2"/>
      <c r="L191" s="2"/>
      <c r="N191" t="str">
        <f t="shared" si="1"/>
        <v>17012002</v>
      </c>
    </row>
    <row r="192" spans="1:14" x14ac:dyDescent="0.35">
      <c r="A192" s="21">
        <v>132081088</v>
      </c>
      <c r="B192">
        <v>0</v>
      </c>
      <c r="C192" s="18">
        <v>2002</v>
      </c>
      <c r="F192" s="2" t="s">
        <v>231</v>
      </c>
      <c r="G192">
        <v>1701</v>
      </c>
      <c r="H192">
        <f>VLOOKUP(N192,[1]REGRA!$C$2:$D$15,2,FALSE)</f>
        <v>20</v>
      </c>
      <c r="I192" t="str">
        <f t="shared" si="2"/>
        <v>2002MG - CENTRO LESTE MINEIRO20</v>
      </c>
      <c r="J192" t="e">
        <f>VLOOKUP(I192,'[2]BASE DE DADOS'!$A:$J,10,FALSE)</f>
        <v>#N/A</v>
      </c>
      <c r="K192" s="2"/>
      <c r="L192" s="2"/>
      <c r="N192" t="str">
        <f t="shared" si="1"/>
        <v>17012002</v>
      </c>
    </row>
    <row r="193" spans="1:14" x14ac:dyDescent="0.35">
      <c r="A193" s="21">
        <v>132085627</v>
      </c>
      <c r="B193">
        <v>0</v>
      </c>
      <c r="C193" s="18">
        <v>2002</v>
      </c>
      <c r="F193" s="2" t="s">
        <v>244</v>
      </c>
      <c r="G193">
        <v>1701</v>
      </c>
      <c r="H193">
        <f>VLOOKUP(N193,[1]REGRA!$C$2:$D$15,2,FALSE)</f>
        <v>20</v>
      </c>
      <c r="I193" t="str">
        <f t="shared" si="2"/>
        <v>2002ES - VITORIA20</v>
      </c>
      <c r="J193" t="e">
        <f>VLOOKUP(I193,'[2]BASE DE DADOS'!$A:$J,10,FALSE)</f>
        <v>#N/A</v>
      </c>
      <c r="K193" s="2"/>
      <c r="L193" s="2"/>
      <c r="N193" t="str">
        <f t="shared" si="1"/>
        <v>17012002</v>
      </c>
    </row>
    <row r="194" spans="1:14" x14ac:dyDescent="0.35">
      <c r="A194" s="21">
        <v>132090045</v>
      </c>
      <c r="B194">
        <v>0</v>
      </c>
      <c r="C194" s="18">
        <v>2002</v>
      </c>
      <c r="F194" s="2" t="s">
        <v>235</v>
      </c>
      <c r="G194">
        <v>1701</v>
      </c>
      <c r="H194">
        <f>VLOOKUP(N194,[1]REGRA!$C$2:$D$15,2,FALSE)</f>
        <v>20</v>
      </c>
      <c r="I194" t="str">
        <f t="shared" si="2"/>
        <v>2002RJ - RIO20</v>
      </c>
      <c r="J194" t="e">
        <f>VLOOKUP(I194,'[2]BASE DE DADOS'!$A:$J,10,FALSE)</f>
        <v>#N/A</v>
      </c>
      <c r="K194" s="2"/>
      <c r="L194" s="2"/>
      <c r="N194" t="str">
        <f t="shared" ref="N194" si="3">G194&amp;C194</f>
        <v>17012002</v>
      </c>
    </row>
    <row r="195" spans="1:14" x14ac:dyDescent="0.35">
      <c r="A195" s="21">
        <v>132094241</v>
      </c>
      <c r="B195">
        <v>0</v>
      </c>
      <c r="C195" s="18">
        <v>2002</v>
      </c>
      <c r="F195" s="2" t="s">
        <v>223</v>
      </c>
      <c r="G195">
        <v>1701</v>
      </c>
      <c r="H195" t="e">
        <f>VLOOKUP(N195,[1]REGRA!$C$2:$D$15,2,FALSE)</f>
        <v>#N/A</v>
      </c>
      <c r="I195" t="e">
        <f t="shared" si="2"/>
        <v>#N/A</v>
      </c>
      <c r="J195" t="e">
        <f>VLOOKUP(I195,'[2]BASE DE DADOS'!$A:$J,10,FALSE)</f>
        <v>#N/A</v>
      </c>
      <c r="K195" s="2"/>
      <c r="L195" s="2"/>
    </row>
    <row r="196" spans="1:14" x14ac:dyDescent="0.35">
      <c r="A196" s="21">
        <v>132098033</v>
      </c>
      <c r="B196">
        <v>0</v>
      </c>
      <c r="C196" s="18">
        <v>2002</v>
      </c>
      <c r="F196" s="2" t="s">
        <v>211</v>
      </c>
      <c r="G196">
        <v>1701</v>
      </c>
      <c r="H196" t="e">
        <f>VLOOKUP(N196,[1]REGRA!$C$2:$D$15,2,FALSE)</f>
        <v>#N/A</v>
      </c>
      <c r="I196" t="e">
        <f t="shared" si="2"/>
        <v>#N/A</v>
      </c>
      <c r="J196" t="e">
        <f>VLOOKUP(I196,'[2]BASE DE DADOS'!$A:$J,10,FALSE)</f>
        <v>#N/A</v>
      </c>
      <c r="K196" s="2"/>
      <c r="L196" s="2"/>
    </row>
    <row r="197" spans="1:14" x14ac:dyDescent="0.35">
      <c r="A197" s="21">
        <v>132099827</v>
      </c>
      <c r="B197">
        <v>0</v>
      </c>
      <c r="C197" s="18">
        <v>2002</v>
      </c>
      <c r="F197" s="2" t="s">
        <v>222</v>
      </c>
      <c r="G197">
        <v>1701</v>
      </c>
      <c r="H197" t="e">
        <f>VLOOKUP(N197,[1]REGRA!$C$2:$D$15,2,FALSE)</f>
        <v>#N/A</v>
      </c>
      <c r="I197" t="e">
        <f t="shared" si="2"/>
        <v>#N/A</v>
      </c>
      <c r="J197" t="e">
        <f>VLOOKUP(I197,'[2]BASE DE DADOS'!$A:$J,10,FALSE)</f>
        <v>#N/A</v>
      </c>
      <c r="K197" s="2"/>
      <c r="L197" s="2"/>
    </row>
    <row r="198" spans="1:14" x14ac:dyDescent="0.35">
      <c r="A198" s="21">
        <v>132099867</v>
      </c>
      <c r="B198">
        <v>0</v>
      </c>
      <c r="C198" s="18">
        <v>2002</v>
      </c>
      <c r="F198" s="2" t="s">
        <v>220</v>
      </c>
      <c r="G198">
        <v>1701</v>
      </c>
      <c r="H198" t="e">
        <f>VLOOKUP(N198,[1]REGRA!$C$2:$D$15,2,FALSE)</f>
        <v>#N/A</v>
      </c>
      <c r="I198" t="e">
        <f t="shared" si="2"/>
        <v>#N/A</v>
      </c>
      <c r="J198" t="e">
        <f>VLOOKUP(I198,'[2]BASE DE DADOS'!$A:$J,10,FALSE)</f>
        <v>#N/A</v>
      </c>
      <c r="K198" s="2"/>
      <c r="L198" s="2"/>
    </row>
    <row r="199" spans="1:14" x14ac:dyDescent="0.35">
      <c r="A199" s="21">
        <v>132102714</v>
      </c>
      <c r="B199">
        <v>0</v>
      </c>
      <c r="C199" s="18">
        <v>2002</v>
      </c>
      <c r="F199" s="2" t="s">
        <v>221</v>
      </c>
      <c r="G199">
        <v>1701</v>
      </c>
      <c r="H199" t="e">
        <f>VLOOKUP(N199,[1]REGRA!$C$2:$D$15,2,FALSE)</f>
        <v>#N/A</v>
      </c>
      <c r="I199" t="e">
        <f t="shared" si="2"/>
        <v>#N/A</v>
      </c>
      <c r="J199" t="e">
        <f>VLOOKUP(I199,'[2]BASE DE DADOS'!$A:$J,10,FALSE)</f>
        <v>#N/A</v>
      </c>
      <c r="K199" s="2"/>
      <c r="L199" s="2"/>
    </row>
    <row r="200" spans="1:14" x14ac:dyDescent="0.35">
      <c r="A200" s="21">
        <v>132103031</v>
      </c>
      <c r="B200">
        <v>0</v>
      </c>
      <c r="C200" s="18">
        <v>2002</v>
      </c>
      <c r="F200" s="2" t="s">
        <v>211</v>
      </c>
      <c r="G200">
        <v>1701</v>
      </c>
      <c r="H200" t="e">
        <f>VLOOKUP(N200,[1]REGRA!$C$2:$D$15,2,FALSE)</f>
        <v>#N/A</v>
      </c>
      <c r="I200" t="e">
        <f t="shared" si="2"/>
        <v>#N/A</v>
      </c>
      <c r="J200" t="e">
        <f>VLOOKUP(I200,'[2]BASE DE DADOS'!$A:$J,10,FALSE)</f>
        <v>#N/A</v>
      </c>
      <c r="K200" s="2"/>
      <c r="L200" s="2"/>
    </row>
    <row r="201" spans="1:14" x14ac:dyDescent="0.35">
      <c r="A201" s="21">
        <v>132112089</v>
      </c>
      <c r="B201">
        <v>0</v>
      </c>
      <c r="C201" s="18">
        <v>2002</v>
      </c>
      <c r="F201" s="2" t="s">
        <v>243</v>
      </c>
      <c r="G201">
        <v>1701</v>
      </c>
      <c r="H201" t="e">
        <f>VLOOKUP(N201,[1]REGRA!$C$2:$D$15,2,FALSE)</f>
        <v>#N/A</v>
      </c>
      <c r="I201" t="e">
        <f t="shared" si="2"/>
        <v>#N/A</v>
      </c>
      <c r="J201" t="e">
        <f>VLOOKUP(I201,'[2]BASE DE DADOS'!$A:$J,10,FALSE)</f>
        <v>#N/A</v>
      </c>
      <c r="K201" s="2"/>
      <c r="L201" s="2"/>
    </row>
    <row r="202" spans="1:14" x14ac:dyDescent="0.35">
      <c r="A202" s="21">
        <v>132115177</v>
      </c>
      <c r="B202">
        <v>0</v>
      </c>
      <c r="C202" s="18">
        <v>2002</v>
      </c>
      <c r="F202" s="2" t="s">
        <v>227</v>
      </c>
      <c r="G202">
        <v>1701</v>
      </c>
      <c r="H202" t="e">
        <f>VLOOKUP(N202,[1]REGRA!$C$2:$D$15,2,FALSE)</f>
        <v>#N/A</v>
      </c>
      <c r="I202" t="e">
        <f t="shared" si="2"/>
        <v>#N/A</v>
      </c>
      <c r="J202" t="e">
        <f>VLOOKUP(I202,'[2]BASE DE DADOS'!$A:$J,10,FALSE)</f>
        <v>#N/A</v>
      </c>
      <c r="K202" s="2"/>
      <c r="L202" s="2"/>
    </row>
    <row r="203" spans="1:14" x14ac:dyDescent="0.35">
      <c r="A203" s="21">
        <v>132118528</v>
      </c>
      <c r="B203">
        <v>0</v>
      </c>
      <c r="C203" s="18">
        <v>2002</v>
      </c>
      <c r="F203" s="2" t="s">
        <v>245</v>
      </c>
      <c r="G203">
        <v>1701</v>
      </c>
      <c r="H203" t="e">
        <f>VLOOKUP(N203,[1]REGRA!$C$2:$D$15,2,FALSE)</f>
        <v>#N/A</v>
      </c>
      <c r="I203" t="e">
        <f t="shared" si="2"/>
        <v>#N/A</v>
      </c>
      <c r="J203" t="e">
        <f>VLOOKUP(I203,'[2]BASE DE DADOS'!$A:$J,10,FALSE)</f>
        <v>#N/A</v>
      </c>
      <c r="K203" s="2"/>
      <c r="L203" s="2"/>
    </row>
    <row r="204" spans="1:14" x14ac:dyDescent="0.35">
      <c r="A204" s="21">
        <v>132129671</v>
      </c>
      <c r="B204">
        <v>0</v>
      </c>
      <c r="C204" s="18">
        <v>2002</v>
      </c>
      <c r="F204" s="2" t="s">
        <v>235</v>
      </c>
      <c r="G204">
        <v>1701</v>
      </c>
      <c r="H204" t="e">
        <f>VLOOKUP(N204,[1]REGRA!$C$2:$D$15,2,FALSE)</f>
        <v>#N/A</v>
      </c>
      <c r="I204" t="e">
        <f t="shared" si="2"/>
        <v>#N/A</v>
      </c>
      <c r="J204" t="e">
        <f>VLOOKUP(I204,'[2]BASE DE DADOS'!$A:$J,10,FALSE)</f>
        <v>#N/A</v>
      </c>
      <c r="K204" s="2"/>
      <c r="L204" s="2"/>
    </row>
    <row r="205" spans="1:14" x14ac:dyDescent="0.35">
      <c r="A205" s="21">
        <v>132133868</v>
      </c>
      <c r="B205">
        <v>0</v>
      </c>
      <c r="C205" s="18">
        <v>2002</v>
      </c>
      <c r="F205" s="2" t="s">
        <v>246</v>
      </c>
      <c r="G205">
        <v>1701</v>
      </c>
      <c r="H205" t="e">
        <f>VLOOKUP(N205,[1]REGRA!$C$2:$D$15,2,FALSE)</f>
        <v>#N/A</v>
      </c>
      <c r="I205" t="e">
        <f t="shared" si="2"/>
        <v>#N/A</v>
      </c>
      <c r="J205" t="e">
        <f>VLOOKUP(I205,'[2]BASE DE DADOS'!$A:$J,10,FALSE)</f>
        <v>#N/A</v>
      </c>
      <c r="K205" s="2"/>
      <c r="L205" s="2"/>
    </row>
    <row r="206" spans="1:14" x14ac:dyDescent="0.35">
      <c r="A206" s="21">
        <v>132136755</v>
      </c>
      <c r="B206">
        <v>0</v>
      </c>
      <c r="C206" s="18">
        <v>2002</v>
      </c>
      <c r="F206" s="2" t="s">
        <v>221</v>
      </c>
      <c r="G206">
        <v>1701</v>
      </c>
      <c r="H206" t="e">
        <f>VLOOKUP(N206,[1]REGRA!$C$2:$D$15,2,FALSE)</f>
        <v>#N/A</v>
      </c>
      <c r="I206" t="e">
        <f t="shared" si="2"/>
        <v>#N/A</v>
      </c>
      <c r="J206" t="e">
        <f>VLOOKUP(I206,'[2]BASE DE DADOS'!$A:$J,10,FALSE)</f>
        <v>#N/A</v>
      </c>
      <c r="K206" s="2"/>
      <c r="L206" s="2"/>
    </row>
    <row r="207" spans="1:14" x14ac:dyDescent="0.35">
      <c r="A207" s="21">
        <v>132137705</v>
      </c>
      <c r="B207">
        <v>0</v>
      </c>
      <c r="C207" s="18">
        <v>2002</v>
      </c>
      <c r="F207" s="2" t="s">
        <v>220</v>
      </c>
      <c r="G207">
        <v>1701</v>
      </c>
      <c r="H207" t="e">
        <f>VLOOKUP(N207,[1]REGRA!$C$2:$D$15,2,FALSE)</f>
        <v>#N/A</v>
      </c>
      <c r="I207" t="e">
        <f t="shared" si="2"/>
        <v>#N/A</v>
      </c>
      <c r="J207" t="e">
        <f>VLOOKUP(I207,'[2]BASE DE DADOS'!$A:$J,10,FALSE)</f>
        <v>#N/A</v>
      </c>
      <c r="K207" s="2"/>
      <c r="L207" s="2"/>
    </row>
    <row r="208" spans="1:14" x14ac:dyDescent="0.35">
      <c r="A208" s="21">
        <v>132139867</v>
      </c>
      <c r="B208">
        <v>0</v>
      </c>
      <c r="C208" s="18">
        <v>2002</v>
      </c>
      <c r="F208" s="2" t="s">
        <v>225</v>
      </c>
      <c r="G208">
        <v>1701</v>
      </c>
      <c r="H208" t="e">
        <f>VLOOKUP(N208,[1]REGRA!$C$2:$D$15,2,FALSE)</f>
        <v>#N/A</v>
      </c>
      <c r="I208" t="e">
        <f t="shared" si="2"/>
        <v>#N/A</v>
      </c>
      <c r="J208" t="e">
        <f>VLOOKUP(I208,'[2]BASE DE DADOS'!$A:$J,10,FALSE)</f>
        <v>#N/A</v>
      </c>
      <c r="K208" s="2"/>
      <c r="L208" s="2"/>
    </row>
    <row r="209" spans="1:12" x14ac:dyDescent="0.35">
      <c r="A209" s="21">
        <v>132139869</v>
      </c>
      <c r="B209">
        <v>0</v>
      </c>
      <c r="C209" s="18">
        <v>2002</v>
      </c>
      <c r="F209" s="2" t="s">
        <v>219</v>
      </c>
      <c r="G209">
        <v>1701</v>
      </c>
      <c r="H209" t="e">
        <f>VLOOKUP(N209,[1]REGRA!$C$2:$D$15,2,FALSE)</f>
        <v>#N/A</v>
      </c>
      <c r="I209" t="e">
        <f t="shared" si="2"/>
        <v>#N/A</v>
      </c>
      <c r="J209" t="e">
        <f>VLOOKUP(I209,'[2]BASE DE DADOS'!$A:$J,10,FALSE)</f>
        <v>#N/A</v>
      </c>
      <c r="K209" s="2"/>
      <c r="L209" s="2"/>
    </row>
    <row r="210" spans="1:12" x14ac:dyDescent="0.35">
      <c r="A210" s="21">
        <v>132163713</v>
      </c>
      <c r="B210">
        <v>0</v>
      </c>
      <c r="C210" s="18">
        <v>2002</v>
      </c>
      <c r="F210" s="2" t="s">
        <v>244</v>
      </c>
      <c r="G210">
        <v>1701</v>
      </c>
      <c r="H210" t="e">
        <f>VLOOKUP(N210,[1]REGRA!$C$2:$D$15,2,FALSE)</f>
        <v>#N/A</v>
      </c>
      <c r="I210" t="e">
        <f t="shared" si="2"/>
        <v>#N/A</v>
      </c>
      <c r="J210" t="e">
        <f>VLOOKUP(I210,'[2]BASE DE DADOS'!$A:$J,10,FALSE)</f>
        <v>#N/A</v>
      </c>
      <c r="K210" s="2"/>
      <c r="L210" s="2"/>
    </row>
    <row r="211" spans="1:12" x14ac:dyDescent="0.35">
      <c r="A211" s="21">
        <v>132201471</v>
      </c>
      <c r="B211">
        <v>0</v>
      </c>
      <c r="C211" s="18">
        <v>2002</v>
      </c>
      <c r="F211" s="2" t="s">
        <v>234</v>
      </c>
      <c r="G211">
        <v>2279</v>
      </c>
      <c r="H211" t="e">
        <f>VLOOKUP(N211,[1]REGRA!$C$2:$D$15,2,FALSE)</f>
        <v>#N/A</v>
      </c>
      <c r="I211" t="e">
        <f t="shared" si="2"/>
        <v>#N/A</v>
      </c>
      <c r="J211" t="e">
        <f>VLOOKUP(I211,'[2]BASE DE DADOS'!$A:$J,10,FALSE)</f>
        <v>#N/A</v>
      </c>
      <c r="K211" s="2"/>
      <c r="L211" s="2"/>
    </row>
    <row r="212" spans="1:12" x14ac:dyDescent="0.35">
      <c r="A212" s="21">
        <v>132185755</v>
      </c>
      <c r="B212">
        <v>0</v>
      </c>
      <c r="C212" s="18">
        <v>2002</v>
      </c>
      <c r="F212" s="2" t="s">
        <v>212</v>
      </c>
      <c r="G212">
        <v>8039</v>
      </c>
      <c r="H212" t="e">
        <f>VLOOKUP(N212,[1]REGRA!$C$2:$D$15,2,FALSE)</f>
        <v>#N/A</v>
      </c>
      <c r="I212" t="e">
        <f t="shared" si="2"/>
        <v>#N/A</v>
      </c>
      <c r="J212" t="e">
        <f>VLOOKUP(I212,'[2]BASE DE DADOS'!$A:$J,10,FALSE)</f>
        <v>#N/A</v>
      </c>
      <c r="K212" s="2"/>
      <c r="L212" s="2"/>
    </row>
    <row r="213" spans="1:12" x14ac:dyDescent="0.35">
      <c r="A213" s="21">
        <v>132186165</v>
      </c>
      <c r="B213">
        <v>0</v>
      </c>
      <c r="C213" s="18">
        <v>2002</v>
      </c>
      <c r="F213" s="2" t="s">
        <v>224</v>
      </c>
      <c r="G213">
        <v>8039</v>
      </c>
      <c r="H213" t="e">
        <f>VLOOKUP(N213,[1]REGRA!$C$2:$D$15,2,FALSE)</f>
        <v>#N/A</v>
      </c>
      <c r="I213" t="e">
        <f t="shared" si="2"/>
        <v>#N/A</v>
      </c>
      <c r="J213" t="e">
        <f>VLOOKUP(I213,'[2]BASE DE DADOS'!$A:$J,10,FALSE)</f>
        <v>#N/A</v>
      </c>
      <c r="K213" s="2"/>
      <c r="L213" s="2"/>
    </row>
    <row r="214" spans="1:12" x14ac:dyDescent="0.35">
      <c r="A214" s="21">
        <v>132186820</v>
      </c>
      <c r="B214">
        <v>0</v>
      </c>
      <c r="C214" s="18">
        <v>2002</v>
      </c>
      <c r="F214" s="2" t="s">
        <v>245</v>
      </c>
      <c r="G214">
        <v>8039</v>
      </c>
      <c r="H214" t="e">
        <f>VLOOKUP(N214,[1]REGRA!$C$2:$D$15,2,FALSE)</f>
        <v>#N/A</v>
      </c>
      <c r="I214" t="e">
        <f t="shared" si="2"/>
        <v>#N/A</v>
      </c>
      <c r="J214" t="e">
        <f>VLOOKUP(I214,'[2]BASE DE DADOS'!$A:$J,10,FALSE)</f>
        <v>#N/A</v>
      </c>
      <c r="K214" s="2"/>
      <c r="L214" s="2"/>
    </row>
    <row r="215" spans="1:12" x14ac:dyDescent="0.35">
      <c r="A215" s="21">
        <v>132190208</v>
      </c>
      <c r="B215">
        <v>0</v>
      </c>
      <c r="C215" s="18">
        <v>2002</v>
      </c>
      <c r="F215" s="2" t="s">
        <v>234</v>
      </c>
      <c r="G215">
        <v>8039</v>
      </c>
      <c r="H215" t="e">
        <f>VLOOKUP(N215,[1]REGRA!$C$2:$D$15,2,FALSE)</f>
        <v>#N/A</v>
      </c>
      <c r="I215" t="e">
        <f t="shared" si="2"/>
        <v>#N/A</v>
      </c>
      <c r="J215" t="e">
        <f>VLOOKUP(I215,'[2]BASE DE DADOS'!$A:$J,10,FALSE)</f>
        <v>#N/A</v>
      </c>
      <c r="K215" s="2"/>
      <c r="L215" s="2"/>
    </row>
    <row r="216" spans="1:12" x14ac:dyDescent="0.35">
      <c r="A216" s="21">
        <v>132194157</v>
      </c>
      <c r="B216">
        <v>0</v>
      </c>
      <c r="C216" s="18">
        <v>2002</v>
      </c>
      <c r="F216" s="2" t="s">
        <v>242</v>
      </c>
      <c r="G216">
        <v>8039</v>
      </c>
      <c r="H216" t="e">
        <f>VLOOKUP(N216,[1]REGRA!$C$2:$D$15,2,FALSE)</f>
        <v>#N/A</v>
      </c>
      <c r="I216" t="e">
        <f t="shared" si="2"/>
        <v>#N/A</v>
      </c>
      <c r="J216" t="e">
        <f>VLOOKUP(I216,'[2]BASE DE DADOS'!$A:$J,10,FALSE)</f>
        <v>#N/A</v>
      </c>
      <c r="K216" s="2"/>
      <c r="L216" s="2"/>
    </row>
    <row r="217" spans="1:12" x14ac:dyDescent="0.35">
      <c r="A217" s="21">
        <v>132195870</v>
      </c>
      <c r="B217">
        <v>0</v>
      </c>
      <c r="C217" s="18">
        <v>2002</v>
      </c>
      <c r="F217" s="2" t="s">
        <v>245</v>
      </c>
      <c r="G217">
        <v>8039</v>
      </c>
      <c r="H217" t="e">
        <f>VLOOKUP(N217,[1]REGRA!$C$2:$D$15,2,FALSE)</f>
        <v>#N/A</v>
      </c>
      <c r="I217" t="e">
        <f t="shared" si="2"/>
        <v>#N/A</v>
      </c>
      <c r="J217" t="e">
        <f>VLOOKUP(I217,'[2]BASE DE DADOS'!$A:$J,10,FALSE)</f>
        <v>#N/A</v>
      </c>
      <c r="K217" s="2"/>
      <c r="L217" s="2"/>
    </row>
    <row r="218" spans="1:12" x14ac:dyDescent="0.35">
      <c r="A218" s="21">
        <v>132196300</v>
      </c>
      <c r="B218">
        <v>0</v>
      </c>
      <c r="C218" s="18">
        <v>2002</v>
      </c>
      <c r="F218" s="2" t="s">
        <v>247</v>
      </c>
      <c r="G218">
        <v>8039</v>
      </c>
      <c r="H218" t="e">
        <f>VLOOKUP(N218,[1]REGRA!$C$2:$D$15,2,FALSE)</f>
        <v>#N/A</v>
      </c>
      <c r="I218" t="e">
        <f t="shared" si="2"/>
        <v>#N/A</v>
      </c>
      <c r="J218" t="e">
        <f>VLOOKUP(I218,'[2]BASE DE DADOS'!$A:$J,10,FALSE)</f>
        <v>#N/A</v>
      </c>
      <c r="K218" s="2"/>
      <c r="L218" s="2"/>
    </row>
    <row r="219" spans="1:12" x14ac:dyDescent="0.35">
      <c r="A219" s="21">
        <v>132198277</v>
      </c>
      <c r="B219">
        <v>0</v>
      </c>
      <c r="C219" s="18">
        <v>2002</v>
      </c>
      <c r="F219" s="2" t="s">
        <v>234</v>
      </c>
      <c r="G219">
        <v>8039</v>
      </c>
      <c r="H219" t="e">
        <f>VLOOKUP(N219,[1]REGRA!$C$2:$D$15,2,FALSE)</f>
        <v>#N/A</v>
      </c>
      <c r="I219" t="e">
        <f t="shared" si="2"/>
        <v>#N/A</v>
      </c>
      <c r="J219" t="e">
        <f>VLOOKUP(I219,'[2]BASE DE DADOS'!$A:$J,10,FALSE)</f>
        <v>#N/A</v>
      </c>
      <c r="K219" s="2"/>
      <c r="L219" s="2"/>
    </row>
    <row r="220" spans="1:12" x14ac:dyDescent="0.35">
      <c r="A220" s="21">
        <v>132199477</v>
      </c>
      <c r="B220">
        <v>0</v>
      </c>
      <c r="C220" s="18">
        <v>2002</v>
      </c>
      <c r="F220" s="2" t="s">
        <v>219</v>
      </c>
      <c r="G220">
        <v>8039</v>
      </c>
      <c r="H220" t="e">
        <f>VLOOKUP(N220,[1]REGRA!$C$2:$D$15,2,FALSE)</f>
        <v>#N/A</v>
      </c>
      <c r="I220" t="e">
        <f t="shared" si="2"/>
        <v>#N/A</v>
      </c>
      <c r="J220" t="e">
        <f>VLOOKUP(I220,'[2]BASE DE DADOS'!$A:$J,10,FALSE)</f>
        <v>#N/A</v>
      </c>
      <c r="K220" s="2"/>
      <c r="L220" s="2"/>
    </row>
    <row r="221" spans="1:12" x14ac:dyDescent="0.35">
      <c r="A221" s="21">
        <v>132200014</v>
      </c>
      <c r="B221">
        <v>0</v>
      </c>
      <c r="C221" s="18">
        <v>2002</v>
      </c>
      <c r="F221" s="2" t="s">
        <v>240</v>
      </c>
      <c r="G221">
        <v>8039</v>
      </c>
      <c r="H221" t="e">
        <f>VLOOKUP(N221,[1]REGRA!$C$2:$D$15,2,FALSE)</f>
        <v>#N/A</v>
      </c>
      <c r="I221" t="e">
        <f t="shared" si="2"/>
        <v>#N/A</v>
      </c>
      <c r="J221" t="e">
        <f>VLOOKUP(I221,'[2]BASE DE DADOS'!$A:$J,10,FALSE)</f>
        <v>#N/A</v>
      </c>
      <c r="K221" s="2"/>
      <c r="L221" s="2"/>
    </row>
    <row r="222" spans="1:12" x14ac:dyDescent="0.35">
      <c r="A222" s="21">
        <v>132203044</v>
      </c>
      <c r="B222">
        <v>0</v>
      </c>
      <c r="C222" s="18">
        <v>2002</v>
      </c>
      <c r="F222" s="2" t="s">
        <v>225</v>
      </c>
      <c r="G222">
        <v>8039</v>
      </c>
      <c r="H222" t="e">
        <f>VLOOKUP(N222,[1]REGRA!$C$2:$D$15,2,FALSE)</f>
        <v>#N/A</v>
      </c>
      <c r="I222" t="e">
        <f t="shared" si="2"/>
        <v>#N/A</v>
      </c>
      <c r="J222" t="e">
        <f>VLOOKUP(I222,'[2]BASE DE DADOS'!$A:$J,10,FALSE)</f>
        <v>#N/A</v>
      </c>
      <c r="K222" s="2"/>
      <c r="L222" s="2"/>
    </row>
    <row r="223" spans="1:12" x14ac:dyDescent="0.35">
      <c r="A223" s="21">
        <v>132203156</v>
      </c>
      <c r="B223">
        <v>0</v>
      </c>
      <c r="C223" s="18">
        <v>2002</v>
      </c>
      <c r="F223" s="2" t="s">
        <v>212</v>
      </c>
      <c r="G223">
        <v>8039</v>
      </c>
      <c r="H223" t="e">
        <f>VLOOKUP(N223,[1]REGRA!$C$2:$D$15,2,FALSE)</f>
        <v>#N/A</v>
      </c>
      <c r="I223" t="e">
        <f t="shared" si="2"/>
        <v>#N/A</v>
      </c>
      <c r="J223" t="e">
        <f>VLOOKUP(I223,'[2]BASE DE DADOS'!$A:$J,10,FALSE)</f>
        <v>#N/A</v>
      </c>
      <c r="K223" s="2"/>
      <c r="L223" s="2"/>
    </row>
    <row r="224" spans="1:12" x14ac:dyDescent="0.35">
      <c r="A224" s="2"/>
      <c r="I224"/>
      <c r="K224" s="2"/>
      <c r="L224" s="2"/>
    </row>
    <row r="225" spans="1:12" x14ac:dyDescent="0.35">
      <c r="A225" s="2"/>
      <c r="I225"/>
      <c r="K225" s="2"/>
      <c r="L225" s="2"/>
    </row>
    <row r="226" spans="1:12" x14ac:dyDescent="0.35">
      <c r="A226" s="2"/>
      <c r="I226"/>
      <c r="K226" s="2"/>
      <c r="L226" s="2"/>
    </row>
    <row r="227" spans="1:12" x14ac:dyDescent="0.35">
      <c r="A227" s="2"/>
      <c r="I227"/>
      <c r="K227" s="2"/>
      <c r="L227" s="2"/>
    </row>
    <row r="228" spans="1:12" x14ac:dyDescent="0.35">
      <c r="A228" s="2"/>
      <c r="I228"/>
      <c r="K228" s="2"/>
      <c r="L228" s="2"/>
    </row>
    <row r="229" spans="1:12" x14ac:dyDescent="0.35">
      <c r="A229" s="2"/>
      <c r="I229"/>
      <c r="K229" s="2"/>
      <c r="L229" s="2"/>
    </row>
    <row r="230" spans="1:12" x14ac:dyDescent="0.35">
      <c r="A230" s="2"/>
      <c r="I230"/>
      <c r="K230" s="2"/>
      <c r="L230" s="2"/>
    </row>
    <row r="231" spans="1:12" x14ac:dyDescent="0.35">
      <c r="A231" s="2"/>
      <c r="I231"/>
      <c r="K231" s="2"/>
      <c r="L231" s="2"/>
    </row>
    <row r="232" spans="1:12" x14ac:dyDescent="0.35">
      <c r="A232" s="2"/>
      <c r="I232"/>
      <c r="K232" s="2"/>
      <c r="L232" s="2"/>
    </row>
    <row r="233" spans="1:12" x14ac:dyDescent="0.35">
      <c r="A233" s="2"/>
      <c r="I233"/>
      <c r="K233" s="2"/>
      <c r="L233" s="2"/>
    </row>
    <row r="234" spans="1:12" x14ac:dyDescent="0.35">
      <c r="A234" s="2"/>
      <c r="I234"/>
      <c r="K234" s="2"/>
      <c r="L234" s="2"/>
    </row>
    <row r="235" spans="1:12" x14ac:dyDescent="0.35">
      <c r="A235" s="2"/>
      <c r="I235"/>
      <c r="K235" s="2"/>
      <c r="L235" s="2"/>
    </row>
    <row r="236" spans="1:12" x14ac:dyDescent="0.35">
      <c r="A236" s="2"/>
      <c r="I236"/>
      <c r="K236" s="2"/>
      <c r="L236" s="2"/>
    </row>
    <row r="237" spans="1:12" x14ac:dyDescent="0.35">
      <c r="A237" s="2"/>
      <c r="I237"/>
      <c r="K237" s="2"/>
      <c r="L237" s="2"/>
    </row>
    <row r="238" spans="1:12" x14ac:dyDescent="0.35">
      <c r="A238" s="2"/>
      <c r="I238"/>
      <c r="K238" s="2"/>
      <c r="L238" s="2"/>
    </row>
    <row r="239" spans="1:12" x14ac:dyDescent="0.35">
      <c r="A239" s="2"/>
      <c r="I239"/>
      <c r="K239" s="2"/>
      <c r="L239" s="2"/>
    </row>
    <row r="240" spans="1:12" x14ac:dyDescent="0.35">
      <c r="A240" s="2"/>
      <c r="I240"/>
      <c r="K240" s="2"/>
      <c r="L240" s="2"/>
    </row>
    <row r="241" spans="1:12" x14ac:dyDescent="0.35">
      <c r="A241" s="2"/>
      <c r="I241"/>
      <c r="K241" s="2"/>
      <c r="L241" s="2"/>
    </row>
    <row r="242" spans="1:12" x14ac:dyDescent="0.35">
      <c r="A242" s="2"/>
      <c r="I242"/>
      <c r="K242" s="2"/>
      <c r="L242" s="2"/>
    </row>
    <row r="243" spans="1:12" x14ac:dyDescent="0.35">
      <c r="A243" s="2"/>
      <c r="I243"/>
      <c r="K243" s="2"/>
      <c r="L243" s="2"/>
    </row>
    <row r="244" spans="1:12" x14ac:dyDescent="0.35">
      <c r="A244" s="2"/>
      <c r="I244"/>
      <c r="K244" s="2"/>
      <c r="L244" s="2"/>
    </row>
    <row r="245" spans="1:12" x14ac:dyDescent="0.35">
      <c r="A245" s="2"/>
      <c r="I245"/>
      <c r="K245" s="2"/>
      <c r="L245" s="2"/>
    </row>
    <row r="246" spans="1:12" x14ac:dyDescent="0.35">
      <c r="A246" s="2"/>
      <c r="I246"/>
      <c r="K246" s="2"/>
      <c r="L246" s="2"/>
    </row>
    <row r="247" spans="1:12" x14ac:dyDescent="0.35">
      <c r="A247" s="2"/>
      <c r="I247"/>
      <c r="K247" s="2"/>
      <c r="L247" s="2"/>
    </row>
    <row r="248" spans="1:12" x14ac:dyDescent="0.35">
      <c r="A248" s="2"/>
      <c r="I248"/>
      <c r="K248" s="2"/>
      <c r="L248" s="2"/>
    </row>
    <row r="249" spans="1:12" x14ac:dyDescent="0.35">
      <c r="A249" s="2"/>
      <c r="I249"/>
      <c r="K249" s="2"/>
      <c r="L249" s="2"/>
    </row>
    <row r="250" spans="1:12" x14ac:dyDescent="0.35">
      <c r="A250" s="2"/>
      <c r="I250"/>
      <c r="K250" s="2"/>
      <c r="L250" s="2"/>
    </row>
    <row r="251" spans="1:12" x14ac:dyDescent="0.35">
      <c r="A251" s="2"/>
      <c r="I251"/>
      <c r="K251" s="2"/>
      <c r="L251" s="2"/>
    </row>
    <row r="252" spans="1:12" x14ac:dyDescent="0.35">
      <c r="A252" s="2"/>
      <c r="I252"/>
      <c r="K252" s="2"/>
      <c r="L252" s="2"/>
    </row>
    <row r="253" spans="1:12" x14ac:dyDescent="0.35">
      <c r="A253" s="2"/>
      <c r="I253"/>
      <c r="K253" s="2"/>
      <c r="L253" s="2"/>
    </row>
    <row r="254" spans="1:12" x14ac:dyDescent="0.35">
      <c r="A254" s="2"/>
      <c r="I254"/>
      <c r="K254" s="2"/>
      <c r="L254" s="2"/>
    </row>
    <row r="255" spans="1:12" x14ac:dyDescent="0.35">
      <c r="A255" s="2"/>
      <c r="I255"/>
      <c r="K255" s="2"/>
      <c r="L255" s="2"/>
    </row>
    <row r="256" spans="1:12" x14ac:dyDescent="0.35">
      <c r="I256"/>
      <c r="K256" s="2"/>
      <c r="L256" s="2"/>
    </row>
    <row r="257" spans="9:12" x14ac:dyDescent="0.35">
      <c r="I257"/>
      <c r="K257" s="2"/>
      <c r="L257" s="2"/>
    </row>
    <row r="258" spans="9:12" x14ac:dyDescent="0.35">
      <c r="I258"/>
      <c r="K258" s="2"/>
      <c r="L258" s="2"/>
    </row>
    <row r="259" spans="9:12" x14ac:dyDescent="0.35">
      <c r="I259"/>
      <c r="K259" s="2"/>
      <c r="L259" s="2"/>
    </row>
    <row r="260" spans="9:12" x14ac:dyDescent="0.35">
      <c r="I260"/>
      <c r="K260" s="2"/>
      <c r="L260" s="2"/>
    </row>
    <row r="261" spans="9:12" x14ac:dyDescent="0.35">
      <c r="I261"/>
      <c r="K261" s="2"/>
      <c r="L261" s="2"/>
    </row>
    <row r="262" spans="9:12" x14ac:dyDescent="0.35">
      <c r="I262"/>
      <c r="K262" s="2"/>
      <c r="L262" s="2"/>
    </row>
    <row r="263" spans="9:12" x14ac:dyDescent="0.35">
      <c r="I263"/>
      <c r="K263" s="2"/>
      <c r="L263" s="2"/>
    </row>
    <row r="264" spans="9:12" x14ac:dyDescent="0.35">
      <c r="I264"/>
      <c r="K264" s="2"/>
      <c r="L264" s="2"/>
    </row>
    <row r="265" spans="9:12" x14ac:dyDescent="0.35">
      <c r="I265"/>
      <c r="K265" s="2"/>
      <c r="L265" s="2"/>
    </row>
    <row r="266" spans="9:12" x14ac:dyDescent="0.35">
      <c r="I266"/>
      <c r="K266" s="2"/>
      <c r="L266" s="2"/>
    </row>
    <row r="267" spans="9:12" x14ac:dyDescent="0.35">
      <c r="I267"/>
      <c r="K267" s="2"/>
      <c r="L267" s="2"/>
    </row>
    <row r="268" spans="9:12" x14ac:dyDescent="0.35">
      <c r="I268"/>
      <c r="K268" s="2"/>
      <c r="L268" s="2"/>
    </row>
    <row r="269" spans="9:12" x14ac:dyDescent="0.35">
      <c r="I269"/>
      <c r="K269" s="2"/>
      <c r="L269" s="2"/>
    </row>
    <row r="270" spans="9:12" x14ac:dyDescent="0.35">
      <c r="I270"/>
      <c r="K270" s="2"/>
      <c r="L270" s="2"/>
    </row>
    <row r="271" spans="9:12" x14ac:dyDescent="0.35">
      <c r="I271"/>
      <c r="K271" s="2"/>
      <c r="L271" s="2"/>
    </row>
    <row r="272" spans="9:12" x14ac:dyDescent="0.35">
      <c r="I272"/>
      <c r="K272" s="2"/>
      <c r="L272" s="2"/>
    </row>
    <row r="273" spans="9:12" x14ac:dyDescent="0.35">
      <c r="I273"/>
      <c r="K273" s="2"/>
      <c r="L273" s="2"/>
    </row>
    <row r="274" spans="9:12" x14ac:dyDescent="0.35">
      <c r="I274"/>
      <c r="K274" s="2"/>
      <c r="L274" s="2"/>
    </row>
    <row r="275" spans="9:12" x14ac:dyDescent="0.35">
      <c r="I275"/>
      <c r="K275" s="2"/>
      <c r="L275" s="2"/>
    </row>
    <row r="276" spans="9:12" x14ac:dyDescent="0.35">
      <c r="I276"/>
      <c r="K276" s="2"/>
      <c r="L276" s="2"/>
    </row>
    <row r="277" spans="9:12" x14ac:dyDescent="0.35">
      <c r="I277"/>
      <c r="K277" s="2"/>
      <c r="L277" s="2"/>
    </row>
    <row r="278" spans="9:12" x14ac:dyDescent="0.35">
      <c r="I278"/>
      <c r="K278" s="2"/>
      <c r="L278" s="2"/>
    </row>
    <row r="279" spans="9:12" x14ac:dyDescent="0.35">
      <c r="I279"/>
      <c r="K279" s="2"/>
      <c r="L279" s="2"/>
    </row>
    <row r="280" spans="9:12" x14ac:dyDescent="0.35">
      <c r="I280"/>
      <c r="K280" s="2"/>
      <c r="L280" s="2"/>
    </row>
    <row r="281" spans="9:12" x14ac:dyDescent="0.35">
      <c r="I281"/>
      <c r="K281" s="2"/>
      <c r="L281" s="2"/>
    </row>
    <row r="282" spans="9:12" x14ac:dyDescent="0.35">
      <c r="I282"/>
      <c r="K282" s="2"/>
      <c r="L282" s="2"/>
    </row>
    <row r="283" spans="9:12" x14ac:dyDescent="0.35">
      <c r="I283"/>
      <c r="K283" s="2"/>
      <c r="L283" s="2"/>
    </row>
    <row r="284" spans="9:12" x14ac:dyDescent="0.35">
      <c r="I284"/>
      <c r="K284" s="2"/>
      <c r="L284" s="2"/>
    </row>
    <row r="285" spans="9:12" x14ac:dyDescent="0.35">
      <c r="I285"/>
      <c r="K285" s="2"/>
      <c r="L285" s="2"/>
    </row>
    <row r="286" spans="9:12" x14ac:dyDescent="0.35">
      <c r="I286"/>
      <c r="K286" s="2"/>
      <c r="L286" s="2"/>
    </row>
    <row r="287" spans="9:12" x14ac:dyDescent="0.35">
      <c r="I287"/>
      <c r="K287" s="2"/>
      <c r="L287" s="2"/>
    </row>
    <row r="288" spans="9:12" x14ac:dyDescent="0.35">
      <c r="I288"/>
      <c r="K288" s="2"/>
      <c r="L288" s="2"/>
    </row>
    <row r="289" spans="9:12" x14ac:dyDescent="0.35">
      <c r="I289"/>
      <c r="K289" s="2"/>
      <c r="L289" s="2"/>
    </row>
    <row r="290" spans="9:12" x14ac:dyDescent="0.35">
      <c r="I290"/>
      <c r="K290" s="2"/>
      <c r="L290" s="2"/>
    </row>
    <row r="291" spans="9:12" x14ac:dyDescent="0.35">
      <c r="I291"/>
      <c r="K291" s="2"/>
      <c r="L291" s="2"/>
    </row>
    <row r="292" spans="9:12" x14ac:dyDescent="0.35">
      <c r="I292"/>
      <c r="K292" s="2"/>
      <c r="L292" s="2"/>
    </row>
    <row r="293" spans="9:12" x14ac:dyDescent="0.35">
      <c r="I293"/>
      <c r="K293" s="2"/>
      <c r="L293" s="2"/>
    </row>
    <row r="294" spans="9:12" x14ac:dyDescent="0.35">
      <c r="I294"/>
      <c r="K294" s="2"/>
      <c r="L294" s="2"/>
    </row>
    <row r="295" spans="9:12" x14ac:dyDescent="0.35">
      <c r="I295"/>
      <c r="K295" s="2"/>
      <c r="L295" s="2"/>
    </row>
    <row r="296" spans="9:12" x14ac:dyDescent="0.35">
      <c r="I296"/>
      <c r="K296" s="2"/>
      <c r="L296" s="2"/>
    </row>
    <row r="297" spans="9:12" x14ac:dyDescent="0.35">
      <c r="I297"/>
      <c r="K297" s="2"/>
      <c r="L297" s="2"/>
    </row>
    <row r="298" spans="9:12" x14ac:dyDescent="0.35">
      <c r="I298"/>
      <c r="K298" s="2"/>
      <c r="L298" s="2"/>
    </row>
    <row r="299" spans="9:12" x14ac:dyDescent="0.35">
      <c r="I299"/>
      <c r="K299" s="2"/>
      <c r="L299" s="2"/>
    </row>
    <row r="300" spans="9:12" x14ac:dyDescent="0.35">
      <c r="I300"/>
      <c r="K300" s="2"/>
      <c r="L300" s="2"/>
    </row>
    <row r="301" spans="9:12" x14ac:dyDescent="0.35">
      <c r="I301"/>
      <c r="K301" s="2"/>
      <c r="L301" s="2"/>
    </row>
    <row r="302" spans="9:12" x14ac:dyDescent="0.35">
      <c r="I302"/>
      <c r="K302" s="2"/>
      <c r="L302" s="2"/>
    </row>
    <row r="303" spans="9:12" x14ac:dyDescent="0.35">
      <c r="I303"/>
      <c r="K303" s="2"/>
      <c r="L303" s="2"/>
    </row>
    <row r="304" spans="9:12" x14ac:dyDescent="0.35">
      <c r="I304"/>
      <c r="K304" s="2"/>
      <c r="L304" s="2"/>
    </row>
    <row r="305" spans="9:12" x14ac:dyDescent="0.35">
      <c r="I305"/>
      <c r="K305" s="2"/>
      <c r="L305" s="2"/>
    </row>
    <row r="306" spans="9:12" x14ac:dyDescent="0.35">
      <c r="I306"/>
      <c r="K306" s="2"/>
      <c r="L306" s="2"/>
    </row>
    <row r="307" spans="9:12" x14ac:dyDescent="0.35">
      <c r="I307"/>
      <c r="K307" s="2"/>
      <c r="L307" s="2"/>
    </row>
    <row r="308" spans="9:12" x14ac:dyDescent="0.35">
      <c r="I308"/>
      <c r="K308" s="2"/>
      <c r="L308" s="2"/>
    </row>
    <row r="309" spans="9:12" x14ac:dyDescent="0.35">
      <c r="I309"/>
      <c r="K309" s="2"/>
      <c r="L309" s="2"/>
    </row>
    <row r="310" spans="9:12" x14ac:dyDescent="0.35">
      <c r="I310"/>
      <c r="K310" s="2"/>
      <c r="L310" s="2"/>
    </row>
    <row r="311" spans="9:12" x14ac:dyDescent="0.35">
      <c r="I311"/>
      <c r="K311" s="2"/>
      <c r="L311" s="2"/>
    </row>
    <row r="312" spans="9:12" x14ac:dyDescent="0.35">
      <c r="I312"/>
      <c r="K312" s="2"/>
      <c r="L312" s="2"/>
    </row>
    <row r="313" spans="9:12" x14ac:dyDescent="0.35">
      <c r="I313"/>
      <c r="K313" s="2"/>
      <c r="L313" s="2"/>
    </row>
    <row r="314" spans="9:12" x14ac:dyDescent="0.35">
      <c r="I314"/>
      <c r="K314" s="2"/>
      <c r="L314" s="2"/>
    </row>
    <row r="315" spans="9:12" x14ac:dyDescent="0.35">
      <c r="I315"/>
      <c r="K315" s="2"/>
      <c r="L315" s="2"/>
    </row>
    <row r="316" spans="9:12" x14ac:dyDescent="0.35">
      <c r="I316"/>
      <c r="K316" s="2"/>
      <c r="L316" s="2"/>
    </row>
    <row r="317" spans="9:12" x14ac:dyDescent="0.35">
      <c r="I317"/>
      <c r="K317" s="2"/>
      <c r="L317" s="2"/>
    </row>
    <row r="318" spans="9:12" x14ac:dyDescent="0.35">
      <c r="I318"/>
      <c r="K318" s="2"/>
      <c r="L318" s="2"/>
    </row>
    <row r="319" spans="9:12" x14ac:dyDescent="0.35">
      <c r="I319"/>
      <c r="K319" s="2"/>
      <c r="L319" s="2"/>
    </row>
    <row r="320" spans="9:12" x14ac:dyDescent="0.35">
      <c r="I320"/>
      <c r="K320" s="2"/>
      <c r="L320" s="2"/>
    </row>
    <row r="321" spans="9:12" x14ac:dyDescent="0.35">
      <c r="I321"/>
      <c r="K321" s="2"/>
      <c r="L321" s="2"/>
    </row>
    <row r="322" spans="9:12" x14ac:dyDescent="0.35">
      <c r="I322"/>
      <c r="K322" s="2"/>
      <c r="L322" s="2"/>
    </row>
    <row r="323" spans="9:12" x14ac:dyDescent="0.35">
      <c r="I323"/>
      <c r="K323" s="2"/>
      <c r="L323" s="2"/>
    </row>
    <row r="324" spans="9:12" x14ac:dyDescent="0.35">
      <c r="I324"/>
      <c r="K324" s="2"/>
      <c r="L324" s="2"/>
    </row>
    <row r="325" spans="9:12" x14ac:dyDescent="0.35">
      <c r="I325"/>
      <c r="K325" s="2"/>
      <c r="L325" s="2"/>
    </row>
    <row r="326" spans="9:12" x14ac:dyDescent="0.35">
      <c r="I326"/>
      <c r="K326" s="2"/>
      <c r="L326" s="2"/>
    </row>
    <row r="327" spans="9:12" x14ac:dyDescent="0.35">
      <c r="I327"/>
      <c r="K327" s="2"/>
      <c r="L327" s="2"/>
    </row>
    <row r="328" spans="9:12" x14ac:dyDescent="0.35">
      <c r="I328"/>
      <c r="K328" s="2"/>
      <c r="L328" s="2"/>
    </row>
    <row r="329" spans="9:12" x14ac:dyDescent="0.35">
      <c r="I329"/>
      <c r="K329" s="2"/>
      <c r="L329" s="2"/>
    </row>
    <row r="330" spans="9:12" x14ac:dyDescent="0.35">
      <c r="I330"/>
      <c r="K330" s="2"/>
      <c r="L330" s="2"/>
    </row>
    <row r="331" spans="9:12" x14ac:dyDescent="0.35">
      <c r="I331"/>
      <c r="K331" s="2"/>
      <c r="L331" s="2"/>
    </row>
    <row r="332" spans="9:12" x14ac:dyDescent="0.35">
      <c r="I332"/>
      <c r="K332" s="2"/>
      <c r="L332" s="2"/>
    </row>
    <row r="333" spans="9:12" x14ac:dyDescent="0.35">
      <c r="I333"/>
      <c r="K333" s="2"/>
      <c r="L333" s="2"/>
    </row>
    <row r="334" spans="9:12" x14ac:dyDescent="0.35">
      <c r="I334"/>
      <c r="K334" s="2"/>
      <c r="L334" s="2"/>
    </row>
    <row r="335" spans="9:12" x14ac:dyDescent="0.35">
      <c r="I335"/>
      <c r="K335" s="2"/>
      <c r="L335" s="2"/>
    </row>
    <row r="336" spans="9:12" x14ac:dyDescent="0.35">
      <c r="I336"/>
      <c r="K336" s="2"/>
      <c r="L336" s="2"/>
    </row>
    <row r="337" spans="9:12" x14ac:dyDescent="0.35">
      <c r="I337"/>
      <c r="K337" s="2"/>
      <c r="L337" s="2"/>
    </row>
    <row r="338" spans="9:12" x14ac:dyDescent="0.35">
      <c r="I338"/>
      <c r="K338" s="2"/>
      <c r="L338" s="2"/>
    </row>
    <row r="339" spans="9:12" x14ac:dyDescent="0.35">
      <c r="I339"/>
      <c r="K339" s="2"/>
      <c r="L339" s="2"/>
    </row>
    <row r="340" spans="9:12" x14ac:dyDescent="0.35">
      <c r="I340"/>
      <c r="K340" s="2"/>
      <c r="L340" s="2"/>
    </row>
    <row r="341" spans="9:12" x14ac:dyDescent="0.35">
      <c r="I341"/>
      <c r="K341" s="2"/>
      <c r="L341" s="2"/>
    </row>
    <row r="342" spans="9:12" x14ac:dyDescent="0.35">
      <c r="I342"/>
      <c r="K342" s="2"/>
      <c r="L342" s="2"/>
    </row>
    <row r="343" spans="9:12" x14ac:dyDescent="0.35">
      <c r="I343"/>
      <c r="K343" s="2"/>
      <c r="L343" s="2"/>
    </row>
    <row r="344" spans="9:12" x14ac:dyDescent="0.35">
      <c r="I344"/>
      <c r="K344" s="2"/>
      <c r="L344" s="2"/>
    </row>
    <row r="345" spans="9:12" x14ac:dyDescent="0.35">
      <c r="I345"/>
      <c r="K345" s="2"/>
      <c r="L345" s="2"/>
    </row>
    <row r="346" spans="9:12" x14ac:dyDescent="0.35">
      <c r="I346"/>
      <c r="K346" s="2"/>
      <c r="L346" s="2"/>
    </row>
    <row r="347" spans="9:12" x14ac:dyDescent="0.35">
      <c r="I347"/>
      <c r="K347" s="2"/>
      <c r="L347" s="2"/>
    </row>
    <row r="348" spans="9:12" x14ac:dyDescent="0.35">
      <c r="I348"/>
      <c r="K348" s="2"/>
      <c r="L348" s="2"/>
    </row>
    <row r="349" spans="9:12" x14ac:dyDescent="0.35">
      <c r="I349"/>
      <c r="K349" s="2"/>
      <c r="L349" s="2"/>
    </row>
    <row r="350" spans="9:12" x14ac:dyDescent="0.35">
      <c r="I350"/>
      <c r="K350" s="2"/>
      <c r="L350" s="2"/>
    </row>
    <row r="351" spans="9:12" x14ac:dyDescent="0.35">
      <c r="I351"/>
      <c r="K351" s="2"/>
      <c r="L351" s="2"/>
    </row>
  </sheetData>
  <phoneticPr fontId="2" type="noConversion"/>
  <conditionalFormatting sqref="A256:A1048576 A1">
    <cfRule type="duplicateValues" dxfId="10" priority="10"/>
  </conditionalFormatting>
  <conditionalFormatting sqref="A1">
    <cfRule type="duplicateValues" dxfId="9" priority="13"/>
  </conditionalFormatting>
  <conditionalFormatting sqref="A2:A93">
    <cfRule type="duplicateValues" dxfId="8" priority="15"/>
  </conditionalFormatting>
  <conditionalFormatting sqref="A94:A187 A224:A255">
    <cfRule type="duplicateValues" dxfId="7" priority="7"/>
    <cfRule type="duplicateValues" dxfId="6" priority="8"/>
  </conditionalFormatting>
  <conditionalFormatting sqref="A188:A210">
    <cfRule type="duplicateValues" dxfId="5" priority="5"/>
    <cfRule type="duplicateValues" dxfId="4" priority="6"/>
  </conditionalFormatting>
  <conditionalFormatting sqref="A211">
    <cfRule type="duplicateValues" dxfId="3" priority="3"/>
    <cfRule type="duplicateValues" dxfId="2" priority="4"/>
  </conditionalFormatting>
  <conditionalFormatting sqref="A212:A223">
    <cfRule type="duplicateValues" dxfId="1" priority="1"/>
    <cfRule type="duplicateValues" dxfId="0" priority="2"/>
  </conditionalFormatting>
  <pageMargins left="0.511811024" right="0.511811024" top="0.78740157499999996" bottom="0.78740157499999996" header="0.31496062000000002" footer="0.31496062000000002"/>
  <pageSetup paperSize="9" orientation="portrait" r:id="rId1"/>
  <headerFooter>
    <oddHeader>&amp;C&amp;"Calibri"&amp;10&amp;K000000Internal&amp;1#</oddHeader>
    <oddFooter>&amp;L&amp;"Calibri,Regular"&amp;08&amp;B&amp;K7F7F7FClassificação Allianz:&amp;K595959 &amp;K7F7F7FPÚBLICO</oddFooter>
    <evenFooter>&amp;L&amp;"Calibri,Regular"&amp;08&amp;B&amp;K7F7F7FClassificação Allianz:&amp;K595959 &amp;K7F7F7FPÚBLICO</evenFooter>
    <firstFooter>&amp;L&amp;"Calibri,Regular"&amp;08&amp;B&amp;K7F7F7FClassificação Allianz:&amp;K595959 &amp;K7F7F7FPÚBLICO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90E6C-8DCE-46C7-A606-D135B08051D0}">
  <sheetPr codeName="Planilha2">
    <pageSetUpPr autoPageBreaks="0"/>
  </sheetPr>
  <dimension ref="A1"/>
  <sheetViews>
    <sheetView workbookViewId="0"/>
  </sheetViews>
  <sheetFormatPr defaultRowHeight="14.5" x14ac:dyDescent="0.35"/>
  <sheetData/>
  <pageMargins left="0.511811024" right="0.511811024" top="0.78740157499999996" bottom="0.78740157499999996" header="0.31496062000000002" footer="0.31496062000000002"/>
  <pageSetup paperSize="9" orientation="portrait" horizontalDpi="90" verticalDpi="90" r:id="rId1"/>
  <headerFooter>
    <oddHeader>&amp;C&amp;"Calibri"&amp;10&amp;K000000Internal&amp;1#</oddHeader>
    <oddFooter>&amp;L&amp;"Calibri,Regular"&amp;08&amp;B&amp;K7F7F7FClassificação Allianz:&amp;K595959 &amp;K7F7F7FPÚBLICO</oddFooter>
    <evenFooter>&amp;L&amp;"Calibri,Regular"&amp;08&amp;B&amp;K7F7F7FClassificação Allianz:&amp;K595959 &amp;K7F7F7FPÚBLICO</evenFooter>
    <firstFooter>&amp;L&amp;"Calibri,Regular"&amp;08&amp;B&amp;K7F7F7FClassificação Allianz:&amp;K595959 &amp;K7F7F7FPÚBLICO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8AF74-AD3F-4782-9683-FCBB989498F6}">
  <sheetPr codeName="Planilha4">
    <pageSetUpPr autoPageBreaks="0"/>
  </sheetPr>
  <dimension ref="A2:F13"/>
  <sheetViews>
    <sheetView topLeftCell="A37" workbookViewId="0">
      <selection activeCell="E49" sqref="E49"/>
    </sheetView>
  </sheetViews>
  <sheetFormatPr defaultRowHeight="14.5" x14ac:dyDescent="0.35"/>
  <cols>
    <col min="1" max="1" width="9.1796875" style="19"/>
    <col min="2" max="2" width="9.1796875" style="5"/>
    <col min="3" max="3" width="11.453125" style="5" bestFit="1" customWidth="1"/>
    <col min="4" max="4" width="9.1796875" style="5"/>
  </cols>
  <sheetData>
    <row r="2" spans="1:6" x14ac:dyDescent="0.35">
      <c r="A2" s="19">
        <v>2002</v>
      </c>
      <c r="B2" s="5">
        <v>1701</v>
      </c>
      <c r="C2" s="5" t="str">
        <f t="shared" ref="C2:C13" si="0">B2&amp;A2</f>
        <v>17012002</v>
      </c>
      <c r="D2" s="5">
        <v>20</v>
      </c>
      <c r="F2">
        <v>24</v>
      </c>
    </row>
    <row r="3" spans="1:6" x14ac:dyDescent="0.35">
      <c r="A3" s="19">
        <v>2002</v>
      </c>
      <c r="B3" s="5">
        <v>2279</v>
      </c>
      <c r="C3" s="5" t="str">
        <f t="shared" si="0"/>
        <v>22792002</v>
      </c>
      <c r="D3" s="5">
        <v>20</v>
      </c>
      <c r="F3">
        <v>714</v>
      </c>
    </row>
    <row r="4" spans="1:6" x14ac:dyDescent="0.35">
      <c r="A4" s="19">
        <v>2002</v>
      </c>
      <c r="B4" s="5">
        <v>8003</v>
      </c>
      <c r="C4" s="5" t="str">
        <f t="shared" si="0"/>
        <v>80032002</v>
      </c>
      <c r="D4" s="5">
        <v>20</v>
      </c>
      <c r="F4" s="5">
        <v>888</v>
      </c>
    </row>
    <row r="5" spans="1:6" x14ac:dyDescent="0.35">
      <c r="A5" s="19">
        <v>2002</v>
      </c>
      <c r="B5" s="5" t="s">
        <v>49</v>
      </c>
      <c r="C5" s="5" t="str">
        <f t="shared" si="0"/>
        <v>AMPLO2002</v>
      </c>
      <c r="D5" s="5">
        <v>20</v>
      </c>
      <c r="F5" s="5">
        <v>20</v>
      </c>
    </row>
    <row r="6" spans="1:6" x14ac:dyDescent="0.35">
      <c r="A6" s="19">
        <v>2002</v>
      </c>
      <c r="B6" s="5">
        <v>714</v>
      </c>
      <c r="C6" s="5" t="str">
        <f t="shared" si="0"/>
        <v>7142002</v>
      </c>
      <c r="D6">
        <v>10</v>
      </c>
      <c r="F6">
        <v>714</v>
      </c>
    </row>
    <row r="7" spans="1:6" x14ac:dyDescent="0.35">
      <c r="A7" s="19">
        <v>2024</v>
      </c>
      <c r="B7" s="5">
        <v>1701</v>
      </c>
      <c r="C7" s="5" t="str">
        <f t="shared" si="0"/>
        <v>17012024</v>
      </c>
      <c r="D7">
        <v>24</v>
      </c>
    </row>
    <row r="8" spans="1:6" x14ac:dyDescent="0.35">
      <c r="A8" s="19">
        <v>2024</v>
      </c>
      <c r="B8" s="5">
        <v>2279</v>
      </c>
      <c r="C8" s="5" t="str">
        <f t="shared" si="0"/>
        <v>22792024</v>
      </c>
      <c r="D8">
        <v>24</v>
      </c>
    </row>
    <row r="9" spans="1:6" x14ac:dyDescent="0.35">
      <c r="A9" s="19">
        <v>2024</v>
      </c>
      <c r="B9" s="5">
        <v>8002</v>
      </c>
      <c r="C9" s="5" t="str">
        <f t="shared" si="0"/>
        <v>80022024</v>
      </c>
      <c r="D9">
        <v>24</v>
      </c>
    </row>
    <row r="10" spans="1:6" x14ac:dyDescent="0.35">
      <c r="A10" s="19">
        <v>2024</v>
      </c>
      <c r="B10" s="5">
        <v>8027</v>
      </c>
      <c r="C10" s="5" t="str">
        <f t="shared" si="0"/>
        <v>80272024</v>
      </c>
      <c r="D10">
        <v>24</v>
      </c>
    </row>
    <row r="11" spans="1:6" x14ac:dyDescent="0.35">
      <c r="A11" s="19">
        <v>2024</v>
      </c>
      <c r="B11" s="5">
        <v>714</v>
      </c>
      <c r="C11" s="5" t="str">
        <f t="shared" si="0"/>
        <v>7142024</v>
      </c>
      <c r="D11">
        <v>22</v>
      </c>
    </row>
    <row r="12" spans="1:6" x14ac:dyDescent="0.35">
      <c r="A12" s="19">
        <v>2024</v>
      </c>
      <c r="B12" s="5">
        <v>888</v>
      </c>
      <c r="C12" s="5" t="str">
        <f t="shared" si="0"/>
        <v>8882024</v>
      </c>
      <c r="D12" s="5">
        <v>15</v>
      </c>
    </row>
    <row r="13" spans="1:6" x14ac:dyDescent="0.35">
      <c r="A13" s="19">
        <v>2002</v>
      </c>
      <c r="B13" s="5">
        <v>8013</v>
      </c>
      <c r="C13" s="5" t="str">
        <f t="shared" si="0"/>
        <v>80132002</v>
      </c>
      <c r="D13" s="5">
        <v>10</v>
      </c>
    </row>
  </sheetData>
  <pageMargins left="0.511811024" right="0.511811024" top="0.78740157499999996" bottom="0.78740157499999996" header="0.31496062000000002" footer="0.31496062000000002"/>
  <pageSetup paperSize="9" orientation="portrait" horizontalDpi="90" verticalDpi="90" r:id="rId1"/>
  <headerFooter>
    <oddHeader>&amp;C&amp;"Calibri"&amp;10&amp;K000000Internal&amp;1#</oddHeader>
    <oddFooter>&amp;L&amp;"Calibri,Regular"&amp;08&amp;B&amp;K7F7F7FClassificação Allianz:&amp;K595959 &amp;K7F7F7FPÚBLICO</oddFooter>
    <evenFooter>&amp;L&amp;"Calibri,Regular"&amp;08&amp;B&amp;K7F7F7FClassificação Allianz:&amp;K595959 &amp;K7F7F7FPÚBLICO</evenFooter>
    <firstFooter>&amp;L&amp;"Calibri,Regular"&amp;08&amp;B&amp;K7F7F7FClassificação Allianz:&amp;K595959 &amp;K7F7F7FPÚBLICO</first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AA4C3-E364-44A1-A034-BE8524379AC8}">
  <sheetPr codeName="Planilha5">
    <pageSetUpPr autoPageBreaks="0"/>
  </sheetPr>
  <dimension ref="A1:K501"/>
  <sheetViews>
    <sheetView topLeftCell="B1" zoomScale="90" zoomScaleNormal="90" workbookViewId="0">
      <selection activeCell="D4" sqref="D4"/>
    </sheetView>
  </sheetViews>
  <sheetFormatPr defaultRowHeight="14.5" x14ac:dyDescent="0.35"/>
  <cols>
    <col min="1" max="1" width="47.26953125" style="2" customWidth="1"/>
    <col min="2" max="2" width="18.81640625" customWidth="1"/>
    <col min="3" max="3" width="6.453125" customWidth="1"/>
    <col min="4" max="4" width="28.7265625" bestFit="1" customWidth="1"/>
    <col min="5" max="5" width="9.1796875" customWidth="1"/>
    <col min="6" max="6" width="41.1796875" customWidth="1"/>
    <col min="7" max="7" width="15" bestFit="1" customWidth="1"/>
    <col min="8" max="8" width="5.453125" customWidth="1"/>
    <col min="9" max="9" width="37.54296875" bestFit="1" customWidth="1"/>
  </cols>
  <sheetData>
    <row r="1" spans="1:11" x14ac:dyDescent="0.35">
      <c r="A1" s="2" t="s">
        <v>42</v>
      </c>
      <c r="B1" t="s">
        <v>43</v>
      </c>
      <c r="D1" t="s">
        <v>44</v>
      </c>
      <c r="H1" t="s">
        <v>45</v>
      </c>
      <c r="I1" t="s">
        <v>46</v>
      </c>
      <c r="J1" t="s">
        <v>47</v>
      </c>
      <c r="K1" t="s">
        <v>48</v>
      </c>
    </row>
    <row r="2" spans="1:11" x14ac:dyDescent="0.35">
      <c r="A2" s="21" t="str">
        <f t="shared" ref="A2:A65" si="0">K2&amp;D2&amp;H2</f>
        <v>2002SP - ABC                           20</v>
      </c>
      <c r="B2" t="s">
        <v>5</v>
      </c>
      <c r="C2" s="4">
        <v>190</v>
      </c>
      <c r="D2" t="s">
        <v>129</v>
      </c>
      <c r="E2" s="5" t="s">
        <v>7</v>
      </c>
      <c r="F2" t="s">
        <v>8</v>
      </c>
      <c r="G2" t="s">
        <v>164</v>
      </c>
      <c r="H2" s="5">
        <v>20</v>
      </c>
      <c r="I2" s="7" t="s">
        <v>6</v>
      </c>
      <c r="J2" s="7">
        <v>994</v>
      </c>
      <c r="K2">
        <v>2002</v>
      </c>
    </row>
    <row r="3" spans="1:11" x14ac:dyDescent="0.35">
      <c r="A3" s="21" t="str">
        <f t="shared" si="0"/>
        <v>2002SP - ASSESSORIAS                   20</v>
      </c>
      <c r="B3" t="s">
        <v>5</v>
      </c>
      <c r="C3" s="4">
        <v>203</v>
      </c>
      <c r="D3" t="s">
        <v>127</v>
      </c>
      <c r="E3" s="5" t="s">
        <v>9</v>
      </c>
      <c r="F3" t="s">
        <v>10</v>
      </c>
      <c r="G3" t="s">
        <v>164</v>
      </c>
      <c r="H3" s="5">
        <v>20</v>
      </c>
      <c r="I3" s="7" t="s">
        <v>6</v>
      </c>
      <c r="J3" s="7">
        <v>994</v>
      </c>
      <c r="K3">
        <v>2002</v>
      </c>
    </row>
    <row r="4" spans="1:11" x14ac:dyDescent="0.35">
      <c r="A4" s="21" t="str">
        <f t="shared" si="0"/>
        <v>2002SP - ATNP 1                        20</v>
      </c>
      <c r="B4" t="s">
        <v>5</v>
      </c>
      <c r="C4" s="4">
        <v>305</v>
      </c>
      <c r="D4" s="18" t="s">
        <v>184</v>
      </c>
      <c r="E4" s="5" t="s">
        <v>11</v>
      </c>
      <c r="F4" t="s">
        <v>12</v>
      </c>
      <c r="G4" t="s">
        <v>164</v>
      </c>
      <c r="H4" s="5">
        <v>20</v>
      </c>
      <c r="I4" s="7" t="s">
        <v>6</v>
      </c>
      <c r="J4" s="7">
        <v>994</v>
      </c>
      <c r="K4">
        <v>2002</v>
      </c>
    </row>
    <row r="5" spans="1:11" x14ac:dyDescent="0.35">
      <c r="A5" s="21" t="str">
        <f t="shared" si="0"/>
        <v>2002SP - CENTRO                        20</v>
      </c>
      <c r="B5" t="s">
        <v>5</v>
      </c>
      <c r="C5" s="4">
        <v>106</v>
      </c>
      <c r="D5" t="s">
        <v>133</v>
      </c>
      <c r="E5" s="5" t="s">
        <v>13</v>
      </c>
      <c r="F5" t="s">
        <v>14</v>
      </c>
      <c r="G5" t="s">
        <v>160</v>
      </c>
      <c r="H5" s="5">
        <v>20</v>
      </c>
      <c r="I5" s="7" t="s">
        <v>6</v>
      </c>
      <c r="J5" s="7">
        <v>994</v>
      </c>
      <c r="K5">
        <v>2002</v>
      </c>
    </row>
    <row r="6" spans="1:11" x14ac:dyDescent="0.35">
      <c r="A6" s="21" t="str">
        <f t="shared" si="0"/>
        <v>2002SP - LAPA                          20</v>
      </c>
      <c r="B6" t="s">
        <v>5</v>
      </c>
      <c r="C6" s="4">
        <v>136</v>
      </c>
      <c r="D6" t="s">
        <v>128</v>
      </c>
      <c r="E6" s="5" t="s">
        <v>15</v>
      </c>
      <c r="F6" t="s">
        <v>16</v>
      </c>
      <c r="G6" t="s">
        <v>160</v>
      </c>
      <c r="H6" s="5">
        <v>20</v>
      </c>
      <c r="I6" s="7" t="s">
        <v>6</v>
      </c>
      <c r="J6" s="7">
        <v>994</v>
      </c>
      <c r="K6">
        <v>2002</v>
      </c>
    </row>
    <row r="7" spans="1:11" x14ac:dyDescent="0.35">
      <c r="A7" s="21" t="str">
        <f t="shared" si="0"/>
        <v>2002SP - MORUMBI                       20</v>
      </c>
      <c r="B7" t="s">
        <v>5</v>
      </c>
      <c r="C7" s="4">
        <v>189</v>
      </c>
      <c r="D7" t="s">
        <v>134</v>
      </c>
      <c r="E7" s="5" t="s">
        <v>17</v>
      </c>
      <c r="F7" t="s">
        <v>18</v>
      </c>
      <c r="G7" t="s">
        <v>160</v>
      </c>
      <c r="H7" s="5">
        <v>20</v>
      </c>
      <c r="I7" s="7" t="s">
        <v>6</v>
      </c>
      <c r="J7" s="7">
        <v>994</v>
      </c>
      <c r="K7">
        <v>2002</v>
      </c>
    </row>
    <row r="8" spans="1:11" x14ac:dyDescent="0.35">
      <c r="A8" s="21" t="str">
        <f t="shared" si="0"/>
        <v>2002SP - PAULISTA                      20</v>
      </c>
      <c r="B8" t="s">
        <v>5</v>
      </c>
      <c r="C8" s="4">
        <v>36</v>
      </c>
      <c r="D8" t="s">
        <v>132</v>
      </c>
      <c r="E8" s="5">
        <v>44</v>
      </c>
      <c r="F8" t="s">
        <v>19</v>
      </c>
      <c r="G8" t="s">
        <v>160</v>
      </c>
      <c r="H8" s="5">
        <v>20</v>
      </c>
      <c r="I8" s="7" t="s">
        <v>6</v>
      </c>
      <c r="J8" s="7">
        <v>994</v>
      </c>
      <c r="K8">
        <v>2002</v>
      </c>
    </row>
    <row r="9" spans="1:11" x14ac:dyDescent="0.35">
      <c r="A9" s="21" t="str">
        <f t="shared" si="0"/>
        <v>2002SP - SANTANA                       20</v>
      </c>
      <c r="B9" t="s">
        <v>5</v>
      </c>
      <c r="C9" s="4">
        <v>33</v>
      </c>
      <c r="D9" t="s">
        <v>131</v>
      </c>
      <c r="E9" s="5" t="s">
        <v>20</v>
      </c>
      <c r="F9" t="s">
        <v>21</v>
      </c>
      <c r="G9" s="8" t="s">
        <v>165</v>
      </c>
      <c r="H9" s="5">
        <v>20</v>
      </c>
      <c r="I9" s="7" t="s">
        <v>6</v>
      </c>
      <c r="J9" s="7">
        <v>994</v>
      </c>
      <c r="K9">
        <v>2002</v>
      </c>
    </row>
    <row r="10" spans="1:11" x14ac:dyDescent="0.35">
      <c r="A10" s="21" t="str">
        <f t="shared" si="0"/>
        <v>2002SP - SANTOS                        20</v>
      </c>
      <c r="B10" t="s">
        <v>5</v>
      </c>
      <c r="C10" s="4">
        <v>79</v>
      </c>
      <c r="D10" t="s">
        <v>173</v>
      </c>
      <c r="E10" s="5" t="s">
        <v>22</v>
      </c>
      <c r="F10" t="s">
        <v>23</v>
      </c>
      <c r="G10" s="8" t="s">
        <v>165</v>
      </c>
      <c r="H10" s="5">
        <v>20</v>
      </c>
      <c r="I10" s="7" t="s">
        <v>6</v>
      </c>
      <c r="J10" s="7">
        <v>994</v>
      </c>
      <c r="K10">
        <v>2002</v>
      </c>
    </row>
    <row r="11" spans="1:11" x14ac:dyDescent="0.35">
      <c r="A11" s="21" t="str">
        <f t="shared" si="0"/>
        <v>2002SP - TATUAPE                       20</v>
      </c>
      <c r="B11" t="s">
        <v>5</v>
      </c>
      <c r="C11" s="4">
        <v>186</v>
      </c>
      <c r="D11" t="s">
        <v>143</v>
      </c>
      <c r="E11" s="5" t="s">
        <v>24</v>
      </c>
      <c r="F11" t="s">
        <v>25</v>
      </c>
      <c r="G11" s="8" t="s">
        <v>165</v>
      </c>
      <c r="H11" s="5">
        <v>20</v>
      </c>
      <c r="I11" s="7" t="s">
        <v>6</v>
      </c>
      <c r="J11" s="7">
        <v>994</v>
      </c>
      <c r="K11">
        <v>2002</v>
      </c>
    </row>
    <row r="12" spans="1:11" x14ac:dyDescent="0.35">
      <c r="A12" s="21" t="str">
        <f t="shared" si="0"/>
        <v>2002SP - ABC                           10</v>
      </c>
      <c r="B12" t="s">
        <v>5</v>
      </c>
      <c r="C12" s="4">
        <v>190</v>
      </c>
      <c r="D12" t="s">
        <v>129</v>
      </c>
      <c r="E12" s="5" t="s">
        <v>7</v>
      </c>
      <c r="F12" t="s">
        <v>8</v>
      </c>
      <c r="G12" t="s">
        <v>164</v>
      </c>
      <c r="H12" s="9">
        <v>10</v>
      </c>
      <c r="I12" s="7" t="s">
        <v>26</v>
      </c>
      <c r="J12" s="7">
        <v>995</v>
      </c>
      <c r="K12">
        <v>2002</v>
      </c>
    </row>
    <row r="13" spans="1:11" x14ac:dyDescent="0.35">
      <c r="A13" s="21" t="str">
        <f t="shared" si="0"/>
        <v>2002SP - ASSESSORIAS                   10</v>
      </c>
      <c r="B13" t="s">
        <v>5</v>
      </c>
      <c r="C13" s="4">
        <v>203</v>
      </c>
      <c r="D13" t="s">
        <v>127</v>
      </c>
      <c r="E13" s="5" t="s">
        <v>9</v>
      </c>
      <c r="F13" t="s">
        <v>10</v>
      </c>
      <c r="G13" t="s">
        <v>164</v>
      </c>
      <c r="H13" s="9">
        <v>10</v>
      </c>
      <c r="I13" s="7" t="s">
        <v>26</v>
      </c>
      <c r="J13" s="7">
        <v>995</v>
      </c>
      <c r="K13">
        <v>2002</v>
      </c>
    </row>
    <row r="14" spans="1:11" x14ac:dyDescent="0.35">
      <c r="A14" s="21" t="str">
        <f t="shared" si="0"/>
        <v>2002SP - ATNP 1                        10</v>
      </c>
      <c r="B14" t="s">
        <v>5</v>
      </c>
      <c r="C14" s="4">
        <v>305</v>
      </c>
      <c r="D14" s="18" t="s">
        <v>184</v>
      </c>
      <c r="E14" s="5" t="s">
        <v>11</v>
      </c>
      <c r="F14" t="s">
        <v>12</v>
      </c>
      <c r="G14" t="s">
        <v>164</v>
      </c>
      <c r="H14" s="9">
        <v>10</v>
      </c>
      <c r="I14" s="7" t="s">
        <v>26</v>
      </c>
      <c r="J14" s="7">
        <v>995</v>
      </c>
      <c r="K14">
        <v>2002</v>
      </c>
    </row>
    <row r="15" spans="1:11" x14ac:dyDescent="0.35">
      <c r="A15" s="21" t="str">
        <f t="shared" si="0"/>
        <v>2002SP - CENTRO                        10</v>
      </c>
      <c r="B15" t="s">
        <v>5</v>
      </c>
      <c r="C15" s="4">
        <v>106</v>
      </c>
      <c r="D15" t="s">
        <v>133</v>
      </c>
      <c r="E15" s="5" t="s">
        <v>13</v>
      </c>
      <c r="F15" t="s">
        <v>14</v>
      </c>
      <c r="G15" t="s">
        <v>160</v>
      </c>
      <c r="H15" s="9">
        <v>10</v>
      </c>
      <c r="I15" s="7" t="s">
        <v>26</v>
      </c>
      <c r="J15" s="7">
        <v>995</v>
      </c>
      <c r="K15">
        <v>2002</v>
      </c>
    </row>
    <row r="16" spans="1:11" x14ac:dyDescent="0.35">
      <c r="A16" s="21" t="str">
        <f t="shared" si="0"/>
        <v>2002SP - LAPA                          10</v>
      </c>
      <c r="B16" t="s">
        <v>5</v>
      </c>
      <c r="C16" s="4">
        <v>136</v>
      </c>
      <c r="D16" t="s">
        <v>128</v>
      </c>
      <c r="E16" s="5" t="s">
        <v>15</v>
      </c>
      <c r="F16" t="s">
        <v>16</v>
      </c>
      <c r="G16" t="s">
        <v>160</v>
      </c>
      <c r="H16" s="9">
        <v>10</v>
      </c>
      <c r="I16" s="7" t="s">
        <v>26</v>
      </c>
      <c r="J16" s="7">
        <v>995</v>
      </c>
      <c r="K16">
        <v>2002</v>
      </c>
    </row>
    <row r="17" spans="1:11" x14ac:dyDescent="0.35">
      <c r="A17" s="21" t="str">
        <f t="shared" si="0"/>
        <v>2002SP - MORUMBI                       10</v>
      </c>
      <c r="B17" t="s">
        <v>5</v>
      </c>
      <c r="C17" s="4">
        <v>189</v>
      </c>
      <c r="D17" t="s">
        <v>134</v>
      </c>
      <c r="E17" s="5" t="s">
        <v>17</v>
      </c>
      <c r="F17" t="s">
        <v>18</v>
      </c>
      <c r="G17" t="s">
        <v>160</v>
      </c>
      <c r="H17" s="9">
        <v>10</v>
      </c>
      <c r="I17" s="7" t="s">
        <v>26</v>
      </c>
      <c r="J17" s="7">
        <v>995</v>
      </c>
      <c r="K17">
        <v>2002</v>
      </c>
    </row>
    <row r="18" spans="1:11" x14ac:dyDescent="0.35">
      <c r="A18" s="21" t="str">
        <f t="shared" si="0"/>
        <v>2002SP - PAULISTA                      10</v>
      </c>
      <c r="B18" t="s">
        <v>5</v>
      </c>
      <c r="C18" s="4">
        <v>36</v>
      </c>
      <c r="D18" t="s">
        <v>132</v>
      </c>
      <c r="E18" s="5">
        <v>44</v>
      </c>
      <c r="F18" t="s">
        <v>19</v>
      </c>
      <c r="G18" t="s">
        <v>160</v>
      </c>
      <c r="H18" s="9">
        <v>10</v>
      </c>
      <c r="I18" s="7" t="s">
        <v>26</v>
      </c>
      <c r="J18" s="7">
        <v>995</v>
      </c>
      <c r="K18">
        <v>2002</v>
      </c>
    </row>
    <row r="19" spans="1:11" x14ac:dyDescent="0.35">
      <c r="A19" s="21" t="str">
        <f t="shared" si="0"/>
        <v>2002SP - SANTANA                       10</v>
      </c>
      <c r="B19" t="s">
        <v>5</v>
      </c>
      <c r="C19" s="4">
        <v>33</v>
      </c>
      <c r="D19" t="s">
        <v>131</v>
      </c>
      <c r="E19" s="5" t="s">
        <v>20</v>
      </c>
      <c r="F19" t="s">
        <v>21</v>
      </c>
      <c r="G19" s="8" t="s">
        <v>165</v>
      </c>
      <c r="H19" s="9">
        <v>10</v>
      </c>
      <c r="I19" s="7" t="s">
        <v>26</v>
      </c>
      <c r="J19" s="7">
        <v>995</v>
      </c>
      <c r="K19">
        <v>2002</v>
      </c>
    </row>
    <row r="20" spans="1:11" x14ac:dyDescent="0.35">
      <c r="A20" s="21" t="str">
        <f t="shared" si="0"/>
        <v>2002SP - SANTOS                        10</v>
      </c>
      <c r="B20" t="s">
        <v>5</v>
      </c>
      <c r="C20" s="4">
        <v>79</v>
      </c>
      <c r="D20" t="s">
        <v>173</v>
      </c>
      <c r="E20" s="5" t="s">
        <v>22</v>
      </c>
      <c r="F20" t="s">
        <v>23</v>
      </c>
      <c r="G20" s="8" t="s">
        <v>165</v>
      </c>
      <c r="H20" s="9">
        <v>10</v>
      </c>
      <c r="I20" s="7" t="s">
        <v>26</v>
      </c>
      <c r="J20" s="7">
        <v>995</v>
      </c>
      <c r="K20">
        <v>2002</v>
      </c>
    </row>
    <row r="21" spans="1:11" x14ac:dyDescent="0.35">
      <c r="A21" s="21" t="str">
        <f t="shared" si="0"/>
        <v>2002SP - TATUAPE                       10</v>
      </c>
      <c r="B21" t="s">
        <v>5</v>
      </c>
      <c r="C21" s="4">
        <v>186</v>
      </c>
      <c r="D21" t="s">
        <v>143</v>
      </c>
      <c r="E21" s="5" t="s">
        <v>24</v>
      </c>
      <c r="F21" t="s">
        <v>25</v>
      </c>
      <c r="G21" s="8" t="s">
        <v>165</v>
      </c>
      <c r="H21" s="9">
        <v>10</v>
      </c>
      <c r="I21" s="7" t="s">
        <v>26</v>
      </c>
      <c r="J21" s="7">
        <v>995</v>
      </c>
      <c r="K21">
        <v>2002</v>
      </c>
    </row>
    <row r="22" spans="1:11" x14ac:dyDescent="0.35">
      <c r="A22" s="21" t="str">
        <f t="shared" si="0"/>
        <v>2024SP - ABC                           24</v>
      </c>
      <c r="B22" t="s">
        <v>5</v>
      </c>
      <c r="C22" s="4">
        <v>190</v>
      </c>
      <c r="D22" t="s">
        <v>129</v>
      </c>
      <c r="E22" s="5" t="s">
        <v>7</v>
      </c>
      <c r="F22" t="s">
        <v>8</v>
      </c>
      <c r="G22" t="s">
        <v>164</v>
      </c>
      <c r="H22">
        <v>24</v>
      </c>
      <c r="I22" s="10" t="s">
        <v>27</v>
      </c>
      <c r="J22" s="10">
        <v>1012</v>
      </c>
      <c r="K22">
        <v>2024</v>
      </c>
    </row>
    <row r="23" spans="1:11" x14ac:dyDescent="0.35">
      <c r="A23" s="21" t="str">
        <f t="shared" si="0"/>
        <v>2024SP - ASSESSORIAS                   24</v>
      </c>
      <c r="B23" t="s">
        <v>5</v>
      </c>
      <c r="C23" s="4">
        <v>203</v>
      </c>
      <c r="D23" t="s">
        <v>127</v>
      </c>
      <c r="E23" s="5" t="s">
        <v>9</v>
      </c>
      <c r="F23" t="s">
        <v>10</v>
      </c>
      <c r="G23" t="s">
        <v>164</v>
      </c>
      <c r="H23">
        <v>24</v>
      </c>
      <c r="I23" s="10" t="s">
        <v>27</v>
      </c>
      <c r="J23" s="10">
        <v>1012</v>
      </c>
      <c r="K23">
        <v>2024</v>
      </c>
    </row>
    <row r="24" spans="1:11" x14ac:dyDescent="0.35">
      <c r="A24" s="21" t="str">
        <f t="shared" si="0"/>
        <v>2024SP - ATNP 1                        24</v>
      </c>
      <c r="B24" t="s">
        <v>5</v>
      </c>
      <c r="C24" s="4">
        <v>305</v>
      </c>
      <c r="D24" s="18" t="s">
        <v>184</v>
      </c>
      <c r="E24" s="5" t="s">
        <v>11</v>
      </c>
      <c r="F24" t="s">
        <v>12</v>
      </c>
      <c r="G24" t="s">
        <v>164</v>
      </c>
      <c r="H24">
        <v>24</v>
      </c>
      <c r="I24" s="10" t="s">
        <v>27</v>
      </c>
      <c r="J24" s="10">
        <v>1012</v>
      </c>
      <c r="K24">
        <v>2024</v>
      </c>
    </row>
    <row r="25" spans="1:11" x14ac:dyDescent="0.35">
      <c r="A25" s="21" t="str">
        <f t="shared" si="0"/>
        <v>2024SP - CENTRO                        24</v>
      </c>
      <c r="B25" t="s">
        <v>5</v>
      </c>
      <c r="C25" s="4">
        <v>106</v>
      </c>
      <c r="D25" t="s">
        <v>133</v>
      </c>
      <c r="E25" s="5" t="s">
        <v>13</v>
      </c>
      <c r="F25" t="s">
        <v>14</v>
      </c>
      <c r="G25" t="s">
        <v>160</v>
      </c>
      <c r="H25">
        <v>24</v>
      </c>
      <c r="I25" s="10" t="s">
        <v>27</v>
      </c>
      <c r="J25" s="10">
        <v>1012</v>
      </c>
      <c r="K25">
        <v>2024</v>
      </c>
    </row>
    <row r="26" spans="1:11" x14ac:dyDescent="0.35">
      <c r="A26" s="21" t="str">
        <f t="shared" si="0"/>
        <v>2024SP - LAPA                          24</v>
      </c>
      <c r="B26" t="s">
        <v>5</v>
      </c>
      <c r="C26" s="4">
        <v>136</v>
      </c>
      <c r="D26" t="s">
        <v>128</v>
      </c>
      <c r="E26" s="5" t="s">
        <v>15</v>
      </c>
      <c r="F26" t="s">
        <v>16</v>
      </c>
      <c r="G26" t="s">
        <v>160</v>
      </c>
      <c r="H26">
        <v>24</v>
      </c>
      <c r="I26" s="10" t="s">
        <v>27</v>
      </c>
      <c r="J26" s="10">
        <v>1012</v>
      </c>
      <c r="K26">
        <v>2024</v>
      </c>
    </row>
    <row r="27" spans="1:11" x14ac:dyDescent="0.35">
      <c r="A27" s="21" t="str">
        <f t="shared" si="0"/>
        <v>2024SP - MORUMBI                       24</v>
      </c>
      <c r="B27" t="s">
        <v>5</v>
      </c>
      <c r="C27" s="4">
        <v>189</v>
      </c>
      <c r="D27" t="s">
        <v>134</v>
      </c>
      <c r="E27" s="5" t="s">
        <v>17</v>
      </c>
      <c r="F27" t="s">
        <v>18</v>
      </c>
      <c r="G27" t="s">
        <v>160</v>
      </c>
      <c r="H27">
        <v>24</v>
      </c>
      <c r="I27" s="10" t="s">
        <v>27</v>
      </c>
      <c r="J27" s="10">
        <v>1012</v>
      </c>
      <c r="K27">
        <v>2024</v>
      </c>
    </row>
    <row r="28" spans="1:11" x14ac:dyDescent="0.35">
      <c r="A28" s="21" t="str">
        <f t="shared" si="0"/>
        <v>2024SP - PAULISTA                      24</v>
      </c>
      <c r="B28" t="s">
        <v>5</v>
      </c>
      <c r="C28" s="4">
        <v>36</v>
      </c>
      <c r="D28" t="s">
        <v>132</v>
      </c>
      <c r="E28" s="5">
        <v>44</v>
      </c>
      <c r="F28" t="s">
        <v>19</v>
      </c>
      <c r="G28" t="s">
        <v>160</v>
      </c>
      <c r="H28">
        <v>24</v>
      </c>
      <c r="I28" s="10" t="s">
        <v>27</v>
      </c>
      <c r="J28" s="10">
        <v>1012</v>
      </c>
      <c r="K28">
        <v>2024</v>
      </c>
    </row>
    <row r="29" spans="1:11" x14ac:dyDescent="0.35">
      <c r="A29" s="21" t="str">
        <f t="shared" si="0"/>
        <v>2024SP - SANTANA                       24</v>
      </c>
      <c r="B29" t="s">
        <v>5</v>
      </c>
      <c r="C29" s="4">
        <v>33</v>
      </c>
      <c r="D29" t="s">
        <v>131</v>
      </c>
      <c r="E29" s="5" t="s">
        <v>20</v>
      </c>
      <c r="F29" t="s">
        <v>21</v>
      </c>
      <c r="G29" s="8" t="s">
        <v>165</v>
      </c>
      <c r="H29">
        <v>24</v>
      </c>
      <c r="I29" s="10" t="s">
        <v>27</v>
      </c>
      <c r="J29" s="10">
        <v>1012</v>
      </c>
      <c r="K29">
        <v>2024</v>
      </c>
    </row>
    <row r="30" spans="1:11" x14ac:dyDescent="0.35">
      <c r="A30" s="21" t="str">
        <f t="shared" si="0"/>
        <v>2024SP - SANTOS                        24</v>
      </c>
      <c r="B30" t="s">
        <v>5</v>
      </c>
      <c r="C30" s="4">
        <v>79</v>
      </c>
      <c r="D30" t="s">
        <v>173</v>
      </c>
      <c r="E30" s="5" t="s">
        <v>22</v>
      </c>
      <c r="F30" t="s">
        <v>23</v>
      </c>
      <c r="G30" s="8" t="s">
        <v>165</v>
      </c>
      <c r="H30">
        <v>24</v>
      </c>
      <c r="I30" s="10" t="s">
        <v>27</v>
      </c>
      <c r="J30" s="10">
        <v>1012</v>
      </c>
      <c r="K30">
        <v>2024</v>
      </c>
    </row>
    <row r="31" spans="1:11" x14ac:dyDescent="0.35">
      <c r="A31" s="21" t="str">
        <f t="shared" si="0"/>
        <v>2024SP - TATUAPE                       24</v>
      </c>
      <c r="B31" t="s">
        <v>5</v>
      </c>
      <c r="C31" s="4">
        <v>186</v>
      </c>
      <c r="D31" t="s">
        <v>143</v>
      </c>
      <c r="E31" s="5" t="s">
        <v>24</v>
      </c>
      <c r="F31" t="s">
        <v>25</v>
      </c>
      <c r="G31" s="8" t="s">
        <v>165</v>
      </c>
      <c r="H31">
        <v>24</v>
      </c>
      <c r="I31" s="10" t="s">
        <v>27</v>
      </c>
      <c r="J31" s="10">
        <v>1012</v>
      </c>
      <c r="K31">
        <v>2024</v>
      </c>
    </row>
    <row r="32" spans="1:11" x14ac:dyDescent="0.35">
      <c r="A32" s="21" t="str">
        <f t="shared" si="0"/>
        <v>2024SP - ABC                           22</v>
      </c>
      <c r="B32" t="s">
        <v>5</v>
      </c>
      <c r="C32" s="4">
        <v>190</v>
      </c>
      <c r="D32" t="s">
        <v>129</v>
      </c>
      <c r="E32" s="5" t="s">
        <v>7</v>
      </c>
      <c r="F32" t="s">
        <v>8</v>
      </c>
      <c r="G32" t="s">
        <v>164</v>
      </c>
      <c r="H32" s="9">
        <v>22</v>
      </c>
      <c r="I32" s="10" t="s">
        <v>28</v>
      </c>
      <c r="J32" s="10">
        <v>1013</v>
      </c>
      <c r="K32">
        <v>2024</v>
      </c>
    </row>
    <row r="33" spans="1:11" x14ac:dyDescent="0.35">
      <c r="A33" s="21" t="str">
        <f t="shared" si="0"/>
        <v>2024SP - ASSESSORIAS                   22</v>
      </c>
      <c r="B33" t="s">
        <v>5</v>
      </c>
      <c r="C33" s="4">
        <v>203</v>
      </c>
      <c r="D33" t="s">
        <v>127</v>
      </c>
      <c r="E33" s="5" t="s">
        <v>9</v>
      </c>
      <c r="F33" t="s">
        <v>10</v>
      </c>
      <c r="G33" t="s">
        <v>164</v>
      </c>
      <c r="H33" s="9">
        <v>22</v>
      </c>
      <c r="I33" s="10" t="s">
        <v>28</v>
      </c>
      <c r="J33" s="10">
        <v>1013</v>
      </c>
      <c r="K33">
        <v>2024</v>
      </c>
    </row>
    <row r="34" spans="1:11" x14ac:dyDescent="0.35">
      <c r="A34" s="21" t="str">
        <f t="shared" si="0"/>
        <v>2024SP - ATNP 1                        22</v>
      </c>
      <c r="B34" t="s">
        <v>5</v>
      </c>
      <c r="C34" s="4">
        <v>305</v>
      </c>
      <c r="D34" s="18" t="s">
        <v>184</v>
      </c>
      <c r="E34" s="5" t="s">
        <v>11</v>
      </c>
      <c r="F34" t="s">
        <v>12</v>
      </c>
      <c r="G34" t="s">
        <v>164</v>
      </c>
      <c r="H34" s="9">
        <v>22</v>
      </c>
      <c r="I34" s="10" t="s">
        <v>28</v>
      </c>
      <c r="J34" s="10">
        <v>1013</v>
      </c>
      <c r="K34">
        <v>2024</v>
      </c>
    </row>
    <row r="35" spans="1:11" x14ac:dyDescent="0.35">
      <c r="A35" s="21" t="str">
        <f t="shared" si="0"/>
        <v>2024SP - CENTRO                        22</v>
      </c>
      <c r="B35" t="s">
        <v>5</v>
      </c>
      <c r="C35" s="4">
        <v>106</v>
      </c>
      <c r="D35" t="s">
        <v>133</v>
      </c>
      <c r="E35" s="5" t="s">
        <v>13</v>
      </c>
      <c r="F35" t="s">
        <v>14</v>
      </c>
      <c r="G35" t="s">
        <v>160</v>
      </c>
      <c r="H35" s="9">
        <v>22</v>
      </c>
      <c r="I35" s="10" t="s">
        <v>28</v>
      </c>
      <c r="J35" s="10">
        <v>1013</v>
      </c>
      <c r="K35">
        <v>2024</v>
      </c>
    </row>
    <row r="36" spans="1:11" x14ac:dyDescent="0.35">
      <c r="A36" s="21" t="str">
        <f t="shared" si="0"/>
        <v>2024SP - LAPA                          22</v>
      </c>
      <c r="B36" t="s">
        <v>5</v>
      </c>
      <c r="C36" s="4">
        <v>136</v>
      </c>
      <c r="D36" t="s">
        <v>128</v>
      </c>
      <c r="E36" s="5" t="s">
        <v>15</v>
      </c>
      <c r="F36" t="s">
        <v>16</v>
      </c>
      <c r="G36" t="s">
        <v>160</v>
      </c>
      <c r="H36" s="9">
        <v>22</v>
      </c>
      <c r="I36" s="10" t="s">
        <v>28</v>
      </c>
      <c r="J36" s="10">
        <v>1013</v>
      </c>
      <c r="K36">
        <v>2024</v>
      </c>
    </row>
    <row r="37" spans="1:11" x14ac:dyDescent="0.35">
      <c r="A37" s="21" t="str">
        <f t="shared" si="0"/>
        <v>2024SP - MORUMBI                       22</v>
      </c>
      <c r="B37" t="s">
        <v>5</v>
      </c>
      <c r="C37" s="4">
        <v>189</v>
      </c>
      <c r="D37" t="s">
        <v>134</v>
      </c>
      <c r="E37" s="5" t="s">
        <v>17</v>
      </c>
      <c r="F37" t="s">
        <v>18</v>
      </c>
      <c r="G37" t="s">
        <v>160</v>
      </c>
      <c r="H37" s="9">
        <v>22</v>
      </c>
      <c r="I37" s="10" t="s">
        <v>28</v>
      </c>
      <c r="J37" s="10">
        <v>1013</v>
      </c>
      <c r="K37">
        <v>2024</v>
      </c>
    </row>
    <row r="38" spans="1:11" x14ac:dyDescent="0.35">
      <c r="A38" s="21" t="str">
        <f t="shared" si="0"/>
        <v>2024SP - PAULISTA                      22</v>
      </c>
      <c r="B38" t="s">
        <v>5</v>
      </c>
      <c r="C38" s="4">
        <v>36</v>
      </c>
      <c r="D38" t="s">
        <v>132</v>
      </c>
      <c r="E38" s="5">
        <v>44</v>
      </c>
      <c r="F38" t="s">
        <v>19</v>
      </c>
      <c r="G38" t="s">
        <v>160</v>
      </c>
      <c r="H38" s="9">
        <v>22</v>
      </c>
      <c r="I38" s="10" t="s">
        <v>28</v>
      </c>
      <c r="J38" s="10">
        <v>1013</v>
      </c>
      <c r="K38">
        <v>2024</v>
      </c>
    </row>
    <row r="39" spans="1:11" x14ac:dyDescent="0.35">
      <c r="A39" s="21" t="str">
        <f t="shared" si="0"/>
        <v>2024SP - SANTANA                       22</v>
      </c>
      <c r="B39" t="s">
        <v>5</v>
      </c>
      <c r="C39" s="4">
        <v>33</v>
      </c>
      <c r="D39" t="s">
        <v>131</v>
      </c>
      <c r="E39" s="5" t="s">
        <v>20</v>
      </c>
      <c r="F39" t="s">
        <v>21</v>
      </c>
      <c r="G39" s="8" t="s">
        <v>165</v>
      </c>
      <c r="H39" s="9">
        <v>22</v>
      </c>
      <c r="I39" s="10" t="s">
        <v>28</v>
      </c>
      <c r="J39" s="10">
        <v>1013</v>
      </c>
      <c r="K39">
        <v>2024</v>
      </c>
    </row>
    <row r="40" spans="1:11" x14ac:dyDescent="0.35">
      <c r="A40" s="21" t="str">
        <f t="shared" si="0"/>
        <v>2024SP - SANTOS                        22</v>
      </c>
      <c r="B40" t="s">
        <v>5</v>
      </c>
      <c r="C40" s="4">
        <v>79</v>
      </c>
      <c r="D40" t="s">
        <v>173</v>
      </c>
      <c r="E40" s="5" t="s">
        <v>22</v>
      </c>
      <c r="F40" t="s">
        <v>23</v>
      </c>
      <c r="G40" s="8" t="s">
        <v>165</v>
      </c>
      <c r="H40" s="9">
        <v>22</v>
      </c>
      <c r="I40" s="10" t="s">
        <v>28</v>
      </c>
      <c r="J40" s="10">
        <v>1013</v>
      </c>
      <c r="K40">
        <v>2024</v>
      </c>
    </row>
    <row r="41" spans="1:11" x14ac:dyDescent="0.35">
      <c r="A41" s="21" t="str">
        <f t="shared" si="0"/>
        <v>2024SP - TATUAPE                       22</v>
      </c>
      <c r="B41" t="s">
        <v>5</v>
      </c>
      <c r="C41" s="4">
        <v>186</v>
      </c>
      <c r="D41" t="s">
        <v>143</v>
      </c>
      <c r="E41" s="5" t="s">
        <v>24</v>
      </c>
      <c r="F41" t="s">
        <v>25</v>
      </c>
      <c r="G41" s="8" t="s">
        <v>165</v>
      </c>
      <c r="H41" s="9">
        <v>22</v>
      </c>
      <c r="I41" s="10" t="s">
        <v>28</v>
      </c>
      <c r="J41" s="10">
        <v>1013</v>
      </c>
      <c r="K41">
        <v>2024</v>
      </c>
    </row>
    <row r="42" spans="1:11" x14ac:dyDescent="0.35">
      <c r="A42" s="21" t="str">
        <f t="shared" si="0"/>
        <v>2024SP - ABC                           15</v>
      </c>
      <c r="B42" t="s">
        <v>5</v>
      </c>
      <c r="C42" s="4">
        <v>190</v>
      </c>
      <c r="D42" t="s">
        <v>129</v>
      </c>
      <c r="E42" s="5" t="s">
        <v>7</v>
      </c>
      <c r="F42" t="s">
        <v>8</v>
      </c>
      <c r="G42" t="s">
        <v>164</v>
      </c>
      <c r="H42" s="5">
        <v>15</v>
      </c>
      <c r="I42" s="10" t="s">
        <v>29</v>
      </c>
      <c r="J42" s="10">
        <v>1014</v>
      </c>
      <c r="K42">
        <v>2024</v>
      </c>
    </row>
    <row r="43" spans="1:11" x14ac:dyDescent="0.35">
      <c r="A43" s="21" t="str">
        <f t="shared" si="0"/>
        <v>2024SP - ASSESSORIAS                   15</v>
      </c>
      <c r="B43" t="s">
        <v>5</v>
      </c>
      <c r="C43" s="4">
        <v>203</v>
      </c>
      <c r="D43" t="s">
        <v>127</v>
      </c>
      <c r="E43" s="5" t="s">
        <v>9</v>
      </c>
      <c r="F43" t="s">
        <v>10</v>
      </c>
      <c r="G43" t="s">
        <v>164</v>
      </c>
      <c r="H43" s="5">
        <v>15</v>
      </c>
      <c r="I43" s="10" t="s">
        <v>29</v>
      </c>
      <c r="J43" s="10">
        <v>1014</v>
      </c>
      <c r="K43">
        <v>2024</v>
      </c>
    </row>
    <row r="44" spans="1:11" x14ac:dyDescent="0.35">
      <c r="A44" s="21" t="str">
        <f t="shared" si="0"/>
        <v>2024SP - ATNP 1                        15</v>
      </c>
      <c r="B44" t="s">
        <v>5</v>
      </c>
      <c r="C44" s="4">
        <v>305</v>
      </c>
      <c r="D44" s="18" t="s">
        <v>184</v>
      </c>
      <c r="E44" s="5" t="s">
        <v>11</v>
      </c>
      <c r="F44" t="s">
        <v>12</v>
      </c>
      <c r="G44" t="s">
        <v>164</v>
      </c>
      <c r="H44" s="5">
        <v>15</v>
      </c>
      <c r="I44" s="10" t="s">
        <v>29</v>
      </c>
      <c r="J44" s="10">
        <v>1014</v>
      </c>
      <c r="K44">
        <v>2024</v>
      </c>
    </row>
    <row r="45" spans="1:11" x14ac:dyDescent="0.35">
      <c r="A45" s="21" t="str">
        <f t="shared" si="0"/>
        <v>2024SP - CENTRO                        15</v>
      </c>
      <c r="B45" t="s">
        <v>5</v>
      </c>
      <c r="C45" s="4">
        <v>106</v>
      </c>
      <c r="D45" t="s">
        <v>133</v>
      </c>
      <c r="E45" s="5" t="s">
        <v>13</v>
      </c>
      <c r="F45" t="s">
        <v>14</v>
      </c>
      <c r="G45" t="s">
        <v>160</v>
      </c>
      <c r="H45" s="5">
        <v>15</v>
      </c>
      <c r="I45" s="10" t="s">
        <v>29</v>
      </c>
      <c r="J45" s="10">
        <v>1014</v>
      </c>
      <c r="K45">
        <v>2024</v>
      </c>
    </row>
    <row r="46" spans="1:11" x14ac:dyDescent="0.35">
      <c r="A46" s="21" t="str">
        <f t="shared" si="0"/>
        <v>2024SP - LAPA                          15</v>
      </c>
      <c r="B46" t="s">
        <v>5</v>
      </c>
      <c r="C46" s="4">
        <v>136</v>
      </c>
      <c r="D46" t="s">
        <v>128</v>
      </c>
      <c r="E46" s="5" t="s">
        <v>15</v>
      </c>
      <c r="F46" t="s">
        <v>16</v>
      </c>
      <c r="G46" t="s">
        <v>160</v>
      </c>
      <c r="H46" s="5">
        <v>15</v>
      </c>
      <c r="I46" s="10" t="s">
        <v>29</v>
      </c>
      <c r="J46" s="10">
        <v>1014</v>
      </c>
      <c r="K46">
        <v>2024</v>
      </c>
    </row>
    <row r="47" spans="1:11" x14ac:dyDescent="0.35">
      <c r="A47" s="21" t="str">
        <f t="shared" si="0"/>
        <v>2024SP - MORUMBI                       15</v>
      </c>
      <c r="B47" t="s">
        <v>5</v>
      </c>
      <c r="C47" s="4">
        <v>189</v>
      </c>
      <c r="D47" t="s">
        <v>134</v>
      </c>
      <c r="E47" s="5" t="s">
        <v>17</v>
      </c>
      <c r="F47" t="s">
        <v>18</v>
      </c>
      <c r="G47" t="s">
        <v>160</v>
      </c>
      <c r="H47" s="5">
        <v>15</v>
      </c>
      <c r="I47" s="10" t="s">
        <v>29</v>
      </c>
      <c r="J47" s="10">
        <v>1014</v>
      </c>
      <c r="K47">
        <v>2024</v>
      </c>
    </row>
    <row r="48" spans="1:11" x14ac:dyDescent="0.35">
      <c r="A48" s="21" t="str">
        <f t="shared" si="0"/>
        <v>2024SP - PAULISTA                      15</v>
      </c>
      <c r="B48" t="s">
        <v>5</v>
      </c>
      <c r="C48" s="4">
        <v>36</v>
      </c>
      <c r="D48" t="s">
        <v>132</v>
      </c>
      <c r="E48" s="5">
        <v>44</v>
      </c>
      <c r="F48" t="s">
        <v>19</v>
      </c>
      <c r="G48" t="s">
        <v>160</v>
      </c>
      <c r="H48" s="5">
        <v>15</v>
      </c>
      <c r="I48" s="10" t="s">
        <v>29</v>
      </c>
      <c r="J48" s="10">
        <v>1014</v>
      </c>
      <c r="K48">
        <v>2024</v>
      </c>
    </row>
    <row r="49" spans="1:11" x14ac:dyDescent="0.35">
      <c r="A49" s="21" t="str">
        <f t="shared" si="0"/>
        <v>2024SP - SANTANA                       15</v>
      </c>
      <c r="B49" t="s">
        <v>5</v>
      </c>
      <c r="C49" s="4">
        <v>33</v>
      </c>
      <c r="D49" t="s">
        <v>131</v>
      </c>
      <c r="E49" s="5" t="s">
        <v>20</v>
      </c>
      <c r="F49" t="s">
        <v>21</v>
      </c>
      <c r="G49" s="8" t="s">
        <v>165</v>
      </c>
      <c r="H49" s="5">
        <v>15</v>
      </c>
      <c r="I49" s="10" t="s">
        <v>29</v>
      </c>
      <c r="J49" s="10">
        <v>1014</v>
      </c>
      <c r="K49">
        <v>2024</v>
      </c>
    </row>
    <row r="50" spans="1:11" x14ac:dyDescent="0.35">
      <c r="A50" s="21" t="str">
        <f t="shared" si="0"/>
        <v>2024SP - SANTOS                        15</v>
      </c>
      <c r="B50" t="s">
        <v>5</v>
      </c>
      <c r="C50" s="4">
        <v>79</v>
      </c>
      <c r="D50" t="s">
        <v>173</v>
      </c>
      <c r="E50" s="5" t="s">
        <v>22</v>
      </c>
      <c r="F50" t="s">
        <v>23</v>
      </c>
      <c r="G50" s="8" t="s">
        <v>165</v>
      </c>
      <c r="H50" s="5">
        <v>15</v>
      </c>
      <c r="I50" s="10" t="s">
        <v>29</v>
      </c>
      <c r="J50" s="10">
        <v>1014</v>
      </c>
      <c r="K50">
        <v>2024</v>
      </c>
    </row>
    <row r="51" spans="1:11" x14ac:dyDescent="0.35">
      <c r="A51" s="21" t="str">
        <f t="shared" si="0"/>
        <v>2024SP - TATUAPE                       15</v>
      </c>
      <c r="B51" t="s">
        <v>5</v>
      </c>
      <c r="C51" s="4">
        <v>186</v>
      </c>
      <c r="D51" t="s">
        <v>143</v>
      </c>
      <c r="E51" s="5" t="s">
        <v>24</v>
      </c>
      <c r="F51" t="s">
        <v>25</v>
      </c>
      <c r="G51" s="8" t="s">
        <v>165</v>
      </c>
      <c r="H51" s="5">
        <v>15</v>
      </c>
      <c r="I51" s="10" t="s">
        <v>29</v>
      </c>
      <c r="J51" s="10">
        <v>1014</v>
      </c>
      <c r="K51">
        <v>2024</v>
      </c>
    </row>
    <row r="52" spans="1:11" x14ac:dyDescent="0.35">
      <c r="A52" s="21" t="str">
        <f t="shared" si="0"/>
        <v>2024CO - ATNP BRASILIA                 24</v>
      </c>
      <c r="B52" t="s">
        <v>30</v>
      </c>
      <c r="C52" s="4">
        <v>178</v>
      </c>
      <c r="D52" t="s">
        <v>168</v>
      </c>
      <c r="E52" s="5"/>
      <c r="F52" s="6"/>
      <c r="G52" t="s">
        <v>160</v>
      </c>
      <c r="H52">
        <v>24</v>
      </c>
      <c r="I52" s="11" t="s">
        <v>31</v>
      </c>
      <c r="J52" s="11">
        <v>1015</v>
      </c>
      <c r="K52">
        <v>2024</v>
      </c>
    </row>
    <row r="53" spans="1:11" x14ac:dyDescent="0.35">
      <c r="A53" s="21" t="str">
        <f t="shared" si="0"/>
        <v>2024CO - BRASILIA                      24</v>
      </c>
      <c r="B53" t="s">
        <v>30</v>
      </c>
      <c r="C53" s="4">
        <v>48</v>
      </c>
      <c r="D53" t="s">
        <v>146</v>
      </c>
      <c r="E53" s="5"/>
      <c r="G53" t="s">
        <v>160</v>
      </c>
      <c r="H53">
        <v>24</v>
      </c>
      <c r="I53" s="11" t="s">
        <v>31</v>
      </c>
      <c r="J53" s="11">
        <v>1015</v>
      </c>
      <c r="K53">
        <v>2024</v>
      </c>
    </row>
    <row r="54" spans="1:11" x14ac:dyDescent="0.35">
      <c r="A54" s="21" t="str">
        <f t="shared" si="0"/>
        <v>2024CO - CAMPO GRANDE                  24</v>
      </c>
      <c r="B54" t="s">
        <v>30</v>
      </c>
      <c r="C54" s="4">
        <v>354</v>
      </c>
      <c r="D54" t="s">
        <v>32</v>
      </c>
      <c r="E54" s="5"/>
      <c r="G54" t="s">
        <v>160</v>
      </c>
      <c r="H54">
        <v>24</v>
      </c>
      <c r="I54" s="11" t="s">
        <v>31</v>
      </c>
      <c r="J54" s="11">
        <v>1015</v>
      </c>
      <c r="K54">
        <v>2024</v>
      </c>
    </row>
    <row r="55" spans="1:11" x14ac:dyDescent="0.35">
      <c r="A55" s="21" t="str">
        <f t="shared" si="0"/>
        <v>2024CO - CUIABA                        24</v>
      </c>
      <c r="B55" t="s">
        <v>30</v>
      </c>
      <c r="C55" s="4">
        <v>217</v>
      </c>
      <c r="D55" t="s">
        <v>137</v>
      </c>
      <c r="E55" s="5"/>
      <c r="G55" t="s">
        <v>160</v>
      </c>
      <c r="H55">
        <v>24</v>
      </c>
      <c r="I55" s="11" t="s">
        <v>31</v>
      </c>
      <c r="J55" s="11">
        <v>1015</v>
      </c>
      <c r="K55">
        <v>2024</v>
      </c>
    </row>
    <row r="56" spans="1:11" x14ac:dyDescent="0.35">
      <c r="A56" s="21" t="str">
        <f t="shared" si="0"/>
        <v>2024CO - GOIAS                         24</v>
      </c>
      <c r="B56" t="s">
        <v>30</v>
      </c>
      <c r="C56" s="4">
        <v>50</v>
      </c>
      <c r="D56" s="18" t="s">
        <v>181</v>
      </c>
      <c r="E56" s="5"/>
      <c r="G56" t="s">
        <v>160</v>
      </c>
      <c r="H56">
        <v>24</v>
      </c>
      <c r="I56" s="11" t="s">
        <v>31</v>
      </c>
      <c r="J56" s="11">
        <v>1015</v>
      </c>
      <c r="K56">
        <v>2024</v>
      </c>
    </row>
    <row r="57" spans="1:11" x14ac:dyDescent="0.35">
      <c r="A57" s="21" t="str">
        <f t="shared" si="0"/>
        <v>2024N - PORTO VELHO                    24</v>
      </c>
      <c r="B57" t="s">
        <v>77</v>
      </c>
      <c r="C57" s="4">
        <v>255</v>
      </c>
      <c r="D57" t="s">
        <v>33</v>
      </c>
      <c r="E57" s="5"/>
      <c r="G57" t="s">
        <v>162</v>
      </c>
      <c r="H57">
        <v>24</v>
      </c>
      <c r="I57" s="11" t="s">
        <v>31</v>
      </c>
      <c r="J57" s="11">
        <v>1015</v>
      </c>
      <c r="K57">
        <v>2024</v>
      </c>
    </row>
    <row r="58" spans="1:11" x14ac:dyDescent="0.35">
      <c r="A58" s="21" t="str">
        <f t="shared" si="0"/>
        <v>2024CO - SUL GOIANO                    24</v>
      </c>
      <c r="B58" t="s">
        <v>30</v>
      </c>
      <c r="C58" s="4">
        <v>228</v>
      </c>
      <c r="D58" t="s">
        <v>34</v>
      </c>
      <c r="E58" s="5"/>
      <c r="G58" t="s">
        <v>160</v>
      </c>
      <c r="H58">
        <v>24</v>
      </c>
      <c r="I58" s="11" t="s">
        <v>31</v>
      </c>
      <c r="J58" s="11">
        <v>1015</v>
      </c>
      <c r="K58">
        <v>2024</v>
      </c>
    </row>
    <row r="59" spans="1:11" x14ac:dyDescent="0.35">
      <c r="A59" s="21" t="str">
        <f t="shared" si="0"/>
        <v>2024MG - ASSEMBLEIA                    24</v>
      </c>
      <c r="B59" t="s">
        <v>30</v>
      </c>
      <c r="C59" s="4">
        <v>29</v>
      </c>
      <c r="D59" t="s">
        <v>144</v>
      </c>
      <c r="E59" s="5"/>
      <c r="G59" t="s">
        <v>160</v>
      </c>
      <c r="H59">
        <v>24</v>
      </c>
      <c r="I59" s="11" t="s">
        <v>31</v>
      </c>
      <c r="J59" s="11">
        <v>1015</v>
      </c>
      <c r="K59">
        <v>2024</v>
      </c>
    </row>
    <row r="60" spans="1:11" x14ac:dyDescent="0.35">
      <c r="A60" s="21" t="str">
        <f t="shared" si="0"/>
        <v>2024MG/CO - ATNP                       24</v>
      </c>
      <c r="B60" t="s">
        <v>30</v>
      </c>
      <c r="C60" s="4">
        <v>177</v>
      </c>
      <c r="D60" s="18" t="s">
        <v>179</v>
      </c>
      <c r="E60" s="5"/>
      <c r="G60" t="s">
        <v>160</v>
      </c>
      <c r="H60">
        <v>24</v>
      </c>
      <c r="I60" s="11" t="s">
        <v>31</v>
      </c>
      <c r="J60" s="11">
        <v>1015</v>
      </c>
      <c r="K60">
        <v>2024</v>
      </c>
    </row>
    <row r="61" spans="1:11" x14ac:dyDescent="0.35">
      <c r="A61" s="21" t="str">
        <f t="shared" si="0"/>
        <v>2024MG - DIVINOPOLIS                   24</v>
      </c>
      <c r="B61" t="s">
        <v>30</v>
      </c>
      <c r="C61" s="4">
        <v>197</v>
      </c>
      <c r="D61" t="s">
        <v>145</v>
      </c>
      <c r="E61" s="5"/>
      <c r="G61" t="s">
        <v>160</v>
      </c>
      <c r="H61">
        <v>24</v>
      </c>
      <c r="I61" s="11" t="s">
        <v>31</v>
      </c>
      <c r="J61" s="11">
        <v>1015</v>
      </c>
      <c r="K61">
        <v>2024</v>
      </c>
    </row>
    <row r="62" spans="1:11" x14ac:dyDescent="0.35">
      <c r="A62" s="21" t="str">
        <f t="shared" si="0"/>
        <v>2024MG - JUIZ DE FORA                  24</v>
      </c>
      <c r="B62" t="s">
        <v>30</v>
      </c>
      <c r="C62" s="4">
        <v>82</v>
      </c>
      <c r="D62" t="s">
        <v>35</v>
      </c>
      <c r="E62" s="5"/>
      <c r="G62" t="s">
        <v>160</v>
      </c>
      <c r="H62">
        <v>24</v>
      </c>
      <c r="I62" s="11" t="s">
        <v>31</v>
      </c>
      <c r="J62" s="11">
        <v>1015</v>
      </c>
      <c r="K62">
        <v>2024</v>
      </c>
    </row>
    <row r="63" spans="1:11" x14ac:dyDescent="0.35">
      <c r="A63" s="21" t="str">
        <f t="shared" si="0"/>
        <v>2024MG - CENTRO LESTE MINEIRO          24</v>
      </c>
      <c r="B63" t="s">
        <v>30</v>
      </c>
      <c r="C63" s="4">
        <v>149</v>
      </c>
      <c r="D63" t="s">
        <v>138</v>
      </c>
      <c r="E63" s="5"/>
      <c r="G63" t="s">
        <v>160</v>
      </c>
      <c r="H63">
        <v>24</v>
      </c>
      <c r="I63" s="11" t="s">
        <v>31</v>
      </c>
      <c r="J63" s="11">
        <v>1015</v>
      </c>
      <c r="K63">
        <v>2024</v>
      </c>
    </row>
    <row r="64" spans="1:11" x14ac:dyDescent="0.35">
      <c r="A64" s="21" t="str">
        <f t="shared" si="0"/>
        <v>2024MG - SUL MINAS                     24</v>
      </c>
      <c r="B64" t="s">
        <v>30</v>
      </c>
      <c r="C64" s="4">
        <v>85</v>
      </c>
      <c r="D64" t="s">
        <v>130</v>
      </c>
      <c r="E64" s="5"/>
      <c r="G64" t="s">
        <v>160</v>
      </c>
      <c r="H64">
        <v>24</v>
      </c>
      <c r="I64" s="11" t="s">
        <v>31</v>
      </c>
      <c r="J64" s="11">
        <v>1015</v>
      </c>
      <c r="K64">
        <v>2024</v>
      </c>
    </row>
    <row r="65" spans="1:11" x14ac:dyDescent="0.35">
      <c r="A65" s="21" t="str">
        <f t="shared" si="0"/>
        <v>2024MG - SAVASSI                       24</v>
      </c>
      <c r="B65" t="s">
        <v>30</v>
      </c>
      <c r="C65" s="4">
        <v>81</v>
      </c>
      <c r="D65" t="s">
        <v>36</v>
      </c>
      <c r="E65" s="5"/>
      <c r="G65" t="s">
        <v>160</v>
      </c>
      <c r="H65">
        <v>24</v>
      </c>
      <c r="I65" s="11" t="s">
        <v>31</v>
      </c>
      <c r="J65" s="11">
        <v>1015</v>
      </c>
      <c r="K65">
        <v>2024</v>
      </c>
    </row>
    <row r="66" spans="1:11" x14ac:dyDescent="0.35">
      <c r="A66" s="21" t="str">
        <f t="shared" ref="A66:A129" si="1">K66&amp;D66&amp;H66</f>
        <v>2024MG - UBERABA                       24</v>
      </c>
      <c r="B66" t="s">
        <v>30</v>
      </c>
      <c r="C66" s="4">
        <v>90</v>
      </c>
      <c r="D66" t="s">
        <v>37</v>
      </c>
      <c r="E66" s="5"/>
      <c r="F66" s="6"/>
      <c r="G66" t="s">
        <v>160</v>
      </c>
      <c r="H66">
        <v>24</v>
      </c>
      <c r="I66" s="11" t="s">
        <v>31</v>
      </c>
      <c r="J66" s="11">
        <v>1015</v>
      </c>
      <c r="K66">
        <v>2024</v>
      </c>
    </row>
    <row r="67" spans="1:11" x14ac:dyDescent="0.35">
      <c r="A67" s="21" t="str">
        <f t="shared" si="1"/>
        <v>2024MG - TRIANGULO MINEIRO             24</v>
      </c>
      <c r="B67" t="s">
        <v>30</v>
      </c>
      <c r="C67" s="4">
        <v>30</v>
      </c>
      <c r="D67" s="18" t="s">
        <v>178</v>
      </c>
      <c r="E67" s="5"/>
      <c r="G67" t="s">
        <v>160</v>
      </c>
      <c r="H67">
        <v>24</v>
      </c>
      <c r="I67" s="11" t="s">
        <v>31</v>
      </c>
      <c r="J67" s="11">
        <v>1015</v>
      </c>
      <c r="K67">
        <v>2024</v>
      </c>
    </row>
    <row r="68" spans="1:11" x14ac:dyDescent="0.35">
      <c r="A68" s="21" t="str">
        <f t="shared" si="1"/>
        <v>2024RUN-OFF - CO/MG                    24</v>
      </c>
      <c r="B68" t="s">
        <v>30</v>
      </c>
      <c r="C68" s="4">
        <v>0</v>
      </c>
      <c r="D68" t="s">
        <v>175</v>
      </c>
      <c r="E68" s="5"/>
      <c r="G68" t="s">
        <v>160</v>
      </c>
      <c r="H68">
        <v>24</v>
      </c>
      <c r="I68" s="11" t="s">
        <v>31</v>
      </c>
      <c r="J68" s="11">
        <v>1015</v>
      </c>
      <c r="K68">
        <v>2024</v>
      </c>
    </row>
    <row r="69" spans="1:11" x14ac:dyDescent="0.35">
      <c r="A69" s="21" t="str">
        <f t="shared" si="1"/>
        <v>2024CO - ATNP BRASILIA                 22</v>
      </c>
      <c r="B69" t="s">
        <v>30</v>
      </c>
      <c r="C69" s="4">
        <v>178</v>
      </c>
      <c r="D69" t="s">
        <v>168</v>
      </c>
      <c r="E69" s="5"/>
      <c r="G69" t="s">
        <v>160</v>
      </c>
      <c r="H69" s="9">
        <v>22</v>
      </c>
      <c r="I69" s="11" t="s">
        <v>38</v>
      </c>
      <c r="J69" s="11">
        <v>1016</v>
      </c>
      <c r="K69" s="8">
        <v>2024</v>
      </c>
    </row>
    <row r="70" spans="1:11" x14ac:dyDescent="0.35">
      <c r="A70" s="21" t="str">
        <f t="shared" si="1"/>
        <v>2024CO - BRASILIA                      22</v>
      </c>
      <c r="B70" t="s">
        <v>30</v>
      </c>
      <c r="C70" s="4">
        <v>48</v>
      </c>
      <c r="D70" t="s">
        <v>146</v>
      </c>
      <c r="E70" s="5"/>
      <c r="G70" t="s">
        <v>160</v>
      </c>
      <c r="H70" s="9">
        <v>22</v>
      </c>
      <c r="I70" s="11" t="s">
        <v>38</v>
      </c>
      <c r="J70" s="11">
        <v>1016</v>
      </c>
      <c r="K70" s="8">
        <v>2024</v>
      </c>
    </row>
    <row r="71" spans="1:11" x14ac:dyDescent="0.35">
      <c r="A71" s="21" t="str">
        <f t="shared" si="1"/>
        <v>2024CO - CAMPO GRANDE                  22</v>
      </c>
      <c r="B71" t="s">
        <v>30</v>
      </c>
      <c r="C71" s="4">
        <v>354</v>
      </c>
      <c r="D71" t="s">
        <v>32</v>
      </c>
      <c r="E71" s="5"/>
      <c r="G71" t="s">
        <v>160</v>
      </c>
      <c r="H71" s="9">
        <v>22</v>
      </c>
      <c r="I71" s="11" t="s">
        <v>38</v>
      </c>
      <c r="J71" s="11">
        <v>1016</v>
      </c>
      <c r="K71" s="8">
        <v>2024</v>
      </c>
    </row>
    <row r="72" spans="1:11" x14ac:dyDescent="0.35">
      <c r="A72" s="21" t="str">
        <f t="shared" si="1"/>
        <v>2024CO - CUIABA                        22</v>
      </c>
      <c r="B72" t="s">
        <v>30</v>
      </c>
      <c r="C72" s="4">
        <v>217</v>
      </c>
      <c r="D72" t="s">
        <v>137</v>
      </c>
      <c r="E72" s="5"/>
      <c r="G72" t="s">
        <v>160</v>
      </c>
      <c r="H72" s="9">
        <v>22</v>
      </c>
      <c r="I72" s="11" t="s">
        <v>38</v>
      </c>
      <c r="J72" s="11">
        <v>1016</v>
      </c>
      <c r="K72" s="8">
        <v>2024</v>
      </c>
    </row>
    <row r="73" spans="1:11" x14ac:dyDescent="0.35">
      <c r="A73" s="21" t="str">
        <f t="shared" si="1"/>
        <v>2024CO - GOIAS                         22</v>
      </c>
      <c r="B73" t="s">
        <v>30</v>
      </c>
      <c r="C73" s="4">
        <v>50</v>
      </c>
      <c r="D73" s="18" t="s">
        <v>181</v>
      </c>
      <c r="E73" s="5"/>
      <c r="G73" t="s">
        <v>160</v>
      </c>
      <c r="H73" s="9">
        <v>22</v>
      </c>
      <c r="I73" s="11" t="s">
        <v>38</v>
      </c>
      <c r="J73" s="11">
        <v>1016</v>
      </c>
      <c r="K73" s="8">
        <v>2024</v>
      </c>
    </row>
    <row r="74" spans="1:11" x14ac:dyDescent="0.35">
      <c r="A74" s="21" t="str">
        <f t="shared" si="1"/>
        <v>2024N - PORTO VELHO                    22</v>
      </c>
      <c r="B74" t="s">
        <v>77</v>
      </c>
      <c r="C74" s="4">
        <v>255</v>
      </c>
      <c r="D74" t="s">
        <v>33</v>
      </c>
      <c r="E74" s="5"/>
      <c r="G74" t="s">
        <v>162</v>
      </c>
      <c r="H74" s="9">
        <v>22</v>
      </c>
      <c r="I74" s="11" t="s">
        <v>38</v>
      </c>
      <c r="J74" s="11">
        <v>1016</v>
      </c>
      <c r="K74" s="8">
        <v>2024</v>
      </c>
    </row>
    <row r="75" spans="1:11" x14ac:dyDescent="0.35">
      <c r="A75" s="21" t="str">
        <f t="shared" si="1"/>
        <v>2024CO - SUL GOIANO                    22</v>
      </c>
      <c r="B75" t="s">
        <v>30</v>
      </c>
      <c r="C75" s="4">
        <v>228</v>
      </c>
      <c r="D75" t="s">
        <v>34</v>
      </c>
      <c r="E75" s="5"/>
      <c r="G75" t="s">
        <v>160</v>
      </c>
      <c r="H75" s="9">
        <v>22</v>
      </c>
      <c r="I75" s="11" t="s">
        <v>38</v>
      </c>
      <c r="J75" s="11">
        <v>1016</v>
      </c>
      <c r="K75" s="8">
        <v>2024</v>
      </c>
    </row>
    <row r="76" spans="1:11" x14ac:dyDescent="0.35">
      <c r="A76" s="21" t="str">
        <f t="shared" si="1"/>
        <v>2024MG - ASSEMBLEIA                    22</v>
      </c>
      <c r="B76" t="s">
        <v>30</v>
      </c>
      <c r="C76" s="4">
        <v>29</v>
      </c>
      <c r="D76" t="s">
        <v>144</v>
      </c>
      <c r="E76" s="5"/>
      <c r="G76" t="s">
        <v>160</v>
      </c>
      <c r="H76" s="9">
        <v>22</v>
      </c>
      <c r="I76" s="11" t="s">
        <v>38</v>
      </c>
      <c r="J76" s="11">
        <v>1016</v>
      </c>
      <c r="K76" s="8">
        <v>2024</v>
      </c>
    </row>
    <row r="77" spans="1:11" x14ac:dyDescent="0.35">
      <c r="A77" s="21" t="str">
        <f t="shared" si="1"/>
        <v>2024MG/CO - ATNP                       22</v>
      </c>
      <c r="B77" t="s">
        <v>30</v>
      </c>
      <c r="C77" s="4">
        <v>177</v>
      </c>
      <c r="D77" s="18" t="s">
        <v>179</v>
      </c>
      <c r="E77" s="5"/>
      <c r="G77" t="s">
        <v>160</v>
      </c>
      <c r="H77" s="9">
        <v>22</v>
      </c>
      <c r="I77" s="11" t="s">
        <v>38</v>
      </c>
      <c r="J77" s="11">
        <v>1016</v>
      </c>
      <c r="K77" s="8">
        <v>2024</v>
      </c>
    </row>
    <row r="78" spans="1:11" x14ac:dyDescent="0.35">
      <c r="A78" s="21" t="str">
        <f t="shared" si="1"/>
        <v>2024MG - DIVINOPOLIS                   22</v>
      </c>
      <c r="B78" t="s">
        <v>30</v>
      </c>
      <c r="C78" s="4">
        <v>197</v>
      </c>
      <c r="D78" t="s">
        <v>145</v>
      </c>
      <c r="E78" s="5"/>
      <c r="G78" t="s">
        <v>160</v>
      </c>
      <c r="H78" s="9">
        <v>22</v>
      </c>
      <c r="I78" s="11" t="s">
        <v>38</v>
      </c>
      <c r="J78" s="11">
        <v>1016</v>
      </c>
      <c r="K78" s="8">
        <v>2024</v>
      </c>
    </row>
    <row r="79" spans="1:11" x14ac:dyDescent="0.35">
      <c r="A79" s="21" t="str">
        <f t="shared" si="1"/>
        <v>2024MG - JUIZ DE FORA                  22</v>
      </c>
      <c r="B79" t="s">
        <v>30</v>
      </c>
      <c r="C79" s="4">
        <v>82</v>
      </c>
      <c r="D79" t="s">
        <v>35</v>
      </c>
      <c r="E79" s="5"/>
      <c r="G79" t="s">
        <v>160</v>
      </c>
      <c r="H79" s="9">
        <v>22</v>
      </c>
      <c r="I79" s="11" t="s">
        <v>38</v>
      </c>
      <c r="J79" s="11">
        <v>1016</v>
      </c>
      <c r="K79" s="8">
        <v>2024</v>
      </c>
    </row>
    <row r="80" spans="1:11" x14ac:dyDescent="0.35">
      <c r="A80" s="21" t="str">
        <f t="shared" si="1"/>
        <v>2024MG - CENTRO LESTE MINEIRO          22</v>
      </c>
      <c r="B80" t="s">
        <v>30</v>
      </c>
      <c r="C80" s="4">
        <v>149</v>
      </c>
      <c r="D80" t="s">
        <v>138</v>
      </c>
      <c r="E80" s="5"/>
      <c r="F80" s="6"/>
      <c r="G80" t="s">
        <v>160</v>
      </c>
      <c r="H80" s="9">
        <v>22</v>
      </c>
      <c r="I80" s="11" t="s">
        <v>38</v>
      </c>
      <c r="J80" s="11">
        <v>1016</v>
      </c>
      <c r="K80" s="8">
        <v>2024</v>
      </c>
    </row>
    <row r="81" spans="1:11" x14ac:dyDescent="0.35">
      <c r="A81" s="21" t="str">
        <f t="shared" si="1"/>
        <v>2024MG - SUL MINAS                     22</v>
      </c>
      <c r="B81" t="s">
        <v>30</v>
      </c>
      <c r="C81" s="4">
        <v>85</v>
      </c>
      <c r="D81" t="s">
        <v>130</v>
      </c>
      <c r="E81" s="5"/>
      <c r="G81" t="s">
        <v>160</v>
      </c>
      <c r="H81" s="9">
        <v>22</v>
      </c>
      <c r="I81" s="11" t="s">
        <v>38</v>
      </c>
      <c r="J81" s="11">
        <v>1016</v>
      </c>
      <c r="K81" s="8">
        <v>2024</v>
      </c>
    </row>
    <row r="82" spans="1:11" x14ac:dyDescent="0.35">
      <c r="A82" s="21" t="str">
        <f t="shared" si="1"/>
        <v>2024MG - SAVASSI                       22</v>
      </c>
      <c r="B82" t="s">
        <v>30</v>
      </c>
      <c r="C82" s="4">
        <v>81</v>
      </c>
      <c r="D82" t="s">
        <v>36</v>
      </c>
      <c r="E82" s="5"/>
      <c r="G82" t="s">
        <v>160</v>
      </c>
      <c r="H82" s="9">
        <v>22</v>
      </c>
      <c r="I82" s="11" t="s">
        <v>38</v>
      </c>
      <c r="J82" s="11">
        <v>1016</v>
      </c>
      <c r="K82" s="8">
        <v>2024</v>
      </c>
    </row>
    <row r="83" spans="1:11" x14ac:dyDescent="0.35">
      <c r="A83" s="21" t="str">
        <f t="shared" si="1"/>
        <v>2024MG - UBERABA                       22</v>
      </c>
      <c r="B83" t="s">
        <v>30</v>
      </c>
      <c r="C83" s="4">
        <v>90</v>
      </c>
      <c r="D83" t="s">
        <v>37</v>
      </c>
      <c r="E83" s="5"/>
      <c r="G83" t="s">
        <v>160</v>
      </c>
      <c r="H83" s="9">
        <v>22</v>
      </c>
      <c r="I83" s="11" t="s">
        <v>38</v>
      </c>
      <c r="J83" s="11">
        <v>1016</v>
      </c>
      <c r="K83" s="8">
        <v>2024</v>
      </c>
    </row>
    <row r="84" spans="1:11" x14ac:dyDescent="0.35">
      <c r="A84" s="21" t="str">
        <f t="shared" si="1"/>
        <v>2024MG - TRIANGULO MINEIRO             22</v>
      </c>
      <c r="B84" t="s">
        <v>30</v>
      </c>
      <c r="C84" s="4">
        <v>30</v>
      </c>
      <c r="D84" s="18" t="s">
        <v>178</v>
      </c>
      <c r="E84" s="5"/>
      <c r="G84" t="s">
        <v>160</v>
      </c>
      <c r="H84" s="9">
        <v>22</v>
      </c>
      <c r="I84" s="11" t="s">
        <v>38</v>
      </c>
      <c r="J84" s="11">
        <v>1016</v>
      </c>
      <c r="K84" s="8">
        <v>2024</v>
      </c>
    </row>
    <row r="85" spans="1:11" x14ac:dyDescent="0.35">
      <c r="A85" s="21" t="str">
        <f t="shared" si="1"/>
        <v>2024RUN-OFF - CO/MG                    22</v>
      </c>
      <c r="B85" t="s">
        <v>30</v>
      </c>
      <c r="C85" s="4">
        <v>0</v>
      </c>
      <c r="D85" t="s">
        <v>175</v>
      </c>
      <c r="E85" s="5"/>
      <c r="G85" t="s">
        <v>160</v>
      </c>
      <c r="H85" s="9">
        <v>22</v>
      </c>
      <c r="I85" s="11" t="s">
        <v>38</v>
      </c>
      <c r="J85" s="11">
        <v>1016</v>
      </c>
      <c r="K85" s="8">
        <v>2024</v>
      </c>
    </row>
    <row r="86" spans="1:11" x14ac:dyDescent="0.35">
      <c r="A86" s="21" t="str">
        <f t="shared" si="1"/>
        <v>2024CO - ATNP BRASILIA                 15</v>
      </c>
      <c r="B86" t="s">
        <v>30</v>
      </c>
      <c r="C86" s="4">
        <v>178</v>
      </c>
      <c r="D86" t="s">
        <v>168</v>
      </c>
      <c r="E86" s="5"/>
      <c r="G86" t="s">
        <v>160</v>
      </c>
      <c r="H86" s="5">
        <v>15</v>
      </c>
      <c r="I86" s="11" t="s">
        <v>39</v>
      </c>
      <c r="J86" s="11">
        <v>1017</v>
      </c>
      <c r="K86" s="8">
        <v>2024</v>
      </c>
    </row>
    <row r="87" spans="1:11" x14ac:dyDescent="0.35">
      <c r="A87" s="21" t="str">
        <f t="shared" si="1"/>
        <v>2024CO - BRASILIA                      15</v>
      </c>
      <c r="B87" t="s">
        <v>30</v>
      </c>
      <c r="C87" s="4">
        <v>48</v>
      </c>
      <c r="D87" t="s">
        <v>146</v>
      </c>
      <c r="E87" s="5"/>
      <c r="G87" t="s">
        <v>160</v>
      </c>
      <c r="H87" s="5">
        <v>15</v>
      </c>
      <c r="I87" s="11" t="s">
        <v>39</v>
      </c>
      <c r="J87" s="11">
        <v>1017</v>
      </c>
      <c r="K87" s="8">
        <v>2024</v>
      </c>
    </row>
    <row r="88" spans="1:11" x14ac:dyDescent="0.35">
      <c r="A88" s="21" t="str">
        <f t="shared" si="1"/>
        <v>2024CO - CAMPO GRANDE                  15</v>
      </c>
      <c r="B88" t="s">
        <v>30</v>
      </c>
      <c r="C88" s="4">
        <v>354</v>
      </c>
      <c r="D88" t="s">
        <v>32</v>
      </c>
      <c r="E88" s="5"/>
      <c r="G88" t="s">
        <v>160</v>
      </c>
      <c r="H88" s="5">
        <v>15</v>
      </c>
      <c r="I88" s="11" t="s">
        <v>39</v>
      </c>
      <c r="J88" s="11">
        <v>1017</v>
      </c>
      <c r="K88" s="8">
        <v>2024</v>
      </c>
    </row>
    <row r="89" spans="1:11" x14ac:dyDescent="0.35">
      <c r="A89" s="21" t="str">
        <f t="shared" si="1"/>
        <v>2024CO - CUIABA                        15</v>
      </c>
      <c r="B89" t="s">
        <v>30</v>
      </c>
      <c r="C89" s="4">
        <v>217</v>
      </c>
      <c r="D89" t="s">
        <v>137</v>
      </c>
      <c r="E89" s="5"/>
      <c r="G89" t="s">
        <v>160</v>
      </c>
      <c r="H89" s="5">
        <v>15</v>
      </c>
      <c r="I89" s="11" t="s">
        <v>39</v>
      </c>
      <c r="J89" s="11">
        <v>1017</v>
      </c>
      <c r="K89" s="8">
        <v>2024</v>
      </c>
    </row>
    <row r="90" spans="1:11" x14ac:dyDescent="0.35">
      <c r="A90" s="21" t="str">
        <f t="shared" si="1"/>
        <v>2024CO - GOIAS                         15</v>
      </c>
      <c r="B90" t="s">
        <v>30</v>
      </c>
      <c r="C90" s="4">
        <v>50</v>
      </c>
      <c r="D90" s="18" t="s">
        <v>181</v>
      </c>
      <c r="E90" s="5"/>
      <c r="G90" t="s">
        <v>160</v>
      </c>
      <c r="H90" s="5">
        <v>15</v>
      </c>
      <c r="I90" s="11" t="s">
        <v>39</v>
      </c>
      <c r="J90" s="11">
        <v>1017</v>
      </c>
      <c r="K90" s="8">
        <v>2024</v>
      </c>
    </row>
    <row r="91" spans="1:11" x14ac:dyDescent="0.35">
      <c r="A91" s="21" t="str">
        <f t="shared" si="1"/>
        <v>2024N - PORTO VELHO                    15</v>
      </c>
      <c r="B91" t="s">
        <v>77</v>
      </c>
      <c r="C91" s="4">
        <v>255</v>
      </c>
      <c r="D91" t="s">
        <v>33</v>
      </c>
      <c r="E91" s="5"/>
      <c r="G91" t="s">
        <v>162</v>
      </c>
      <c r="H91" s="5">
        <v>15</v>
      </c>
      <c r="I91" s="11" t="s">
        <v>39</v>
      </c>
      <c r="J91" s="11">
        <v>1017</v>
      </c>
      <c r="K91" s="8">
        <v>2024</v>
      </c>
    </row>
    <row r="92" spans="1:11" x14ac:dyDescent="0.35">
      <c r="A92" s="21" t="str">
        <f t="shared" si="1"/>
        <v>2024CO - SUL GOIANO                    15</v>
      </c>
      <c r="B92" t="s">
        <v>30</v>
      </c>
      <c r="C92" s="4">
        <v>228</v>
      </c>
      <c r="D92" t="s">
        <v>34</v>
      </c>
      <c r="E92" s="5"/>
      <c r="G92" t="s">
        <v>160</v>
      </c>
      <c r="H92" s="5">
        <v>15</v>
      </c>
      <c r="I92" s="11" t="s">
        <v>39</v>
      </c>
      <c r="J92" s="11">
        <v>1017</v>
      </c>
      <c r="K92" s="8">
        <v>2024</v>
      </c>
    </row>
    <row r="93" spans="1:11" x14ac:dyDescent="0.35">
      <c r="A93" s="21" t="str">
        <f t="shared" si="1"/>
        <v>2024MG - ASSEMBLEIA                    15</v>
      </c>
      <c r="B93" t="s">
        <v>30</v>
      </c>
      <c r="C93" s="4">
        <v>29</v>
      </c>
      <c r="D93" t="s">
        <v>144</v>
      </c>
      <c r="E93" s="5"/>
      <c r="G93" t="s">
        <v>160</v>
      </c>
      <c r="H93" s="5">
        <v>15</v>
      </c>
      <c r="I93" s="11" t="s">
        <v>39</v>
      </c>
      <c r="J93" s="11">
        <v>1017</v>
      </c>
      <c r="K93" s="8">
        <v>2024</v>
      </c>
    </row>
    <row r="94" spans="1:11" x14ac:dyDescent="0.35">
      <c r="A94" s="21" t="str">
        <f t="shared" si="1"/>
        <v>2024MG/CO - ATNP                       15</v>
      </c>
      <c r="B94" t="s">
        <v>30</v>
      </c>
      <c r="C94" s="4">
        <v>177</v>
      </c>
      <c r="D94" s="18" t="s">
        <v>179</v>
      </c>
      <c r="G94" t="s">
        <v>160</v>
      </c>
      <c r="H94" s="5">
        <v>15</v>
      </c>
      <c r="I94" s="11" t="s">
        <v>39</v>
      </c>
      <c r="J94" s="11">
        <v>1017</v>
      </c>
      <c r="K94" s="8">
        <v>2024</v>
      </c>
    </row>
    <row r="95" spans="1:11" x14ac:dyDescent="0.35">
      <c r="A95" s="21" t="str">
        <f t="shared" si="1"/>
        <v>2024MG - DIVINOPOLIS                   15</v>
      </c>
      <c r="B95" t="s">
        <v>30</v>
      </c>
      <c r="C95" s="4">
        <v>197</v>
      </c>
      <c r="D95" t="s">
        <v>145</v>
      </c>
      <c r="G95" t="s">
        <v>160</v>
      </c>
      <c r="H95" s="5">
        <v>15</v>
      </c>
      <c r="I95" s="11" t="s">
        <v>39</v>
      </c>
      <c r="J95" s="11">
        <v>1017</v>
      </c>
      <c r="K95" s="8">
        <v>2024</v>
      </c>
    </row>
    <row r="96" spans="1:11" x14ac:dyDescent="0.35">
      <c r="A96" s="21" t="str">
        <f t="shared" si="1"/>
        <v>2024MG - JUIZ DE FORA                  15</v>
      </c>
      <c r="B96" t="s">
        <v>30</v>
      </c>
      <c r="C96" s="4">
        <v>82</v>
      </c>
      <c r="D96" t="s">
        <v>35</v>
      </c>
      <c r="G96" t="s">
        <v>160</v>
      </c>
      <c r="H96" s="5">
        <v>15</v>
      </c>
      <c r="I96" s="11" t="s">
        <v>39</v>
      </c>
      <c r="J96" s="11">
        <v>1017</v>
      </c>
      <c r="K96" s="8">
        <v>2024</v>
      </c>
    </row>
    <row r="97" spans="1:11" x14ac:dyDescent="0.35">
      <c r="A97" s="21" t="str">
        <f t="shared" si="1"/>
        <v>2024MG - CENTRO LESTE MINEIRO          15</v>
      </c>
      <c r="B97" t="s">
        <v>30</v>
      </c>
      <c r="C97" s="4">
        <v>149</v>
      </c>
      <c r="D97" t="s">
        <v>138</v>
      </c>
      <c r="G97" t="s">
        <v>160</v>
      </c>
      <c r="H97" s="5">
        <v>15</v>
      </c>
      <c r="I97" s="11" t="s">
        <v>39</v>
      </c>
      <c r="J97" s="11">
        <v>1017</v>
      </c>
      <c r="K97" s="8">
        <v>2024</v>
      </c>
    </row>
    <row r="98" spans="1:11" x14ac:dyDescent="0.35">
      <c r="A98" s="21" t="str">
        <f t="shared" si="1"/>
        <v>2024MG - SUL MINAS                     15</v>
      </c>
      <c r="B98" t="s">
        <v>30</v>
      </c>
      <c r="C98" s="4">
        <v>85</v>
      </c>
      <c r="D98" t="s">
        <v>130</v>
      </c>
      <c r="G98" t="s">
        <v>160</v>
      </c>
      <c r="H98" s="5">
        <v>15</v>
      </c>
      <c r="I98" s="11" t="s">
        <v>39</v>
      </c>
      <c r="J98" s="11">
        <v>1017</v>
      </c>
      <c r="K98" s="8">
        <v>2024</v>
      </c>
    </row>
    <row r="99" spans="1:11" x14ac:dyDescent="0.35">
      <c r="A99" s="21" t="str">
        <f t="shared" si="1"/>
        <v>2024MG - SAVASSI                       15</v>
      </c>
      <c r="B99" t="s">
        <v>30</v>
      </c>
      <c r="C99" s="4">
        <v>81</v>
      </c>
      <c r="D99" t="s">
        <v>36</v>
      </c>
      <c r="G99" t="s">
        <v>160</v>
      </c>
      <c r="H99" s="5">
        <v>15</v>
      </c>
      <c r="I99" s="11" t="s">
        <v>39</v>
      </c>
      <c r="J99" s="11">
        <v>1017</v>
      </c>
      <c r="K99" s="8">
        <v>2024</v>
      </c>
    </row>
    <row r="100" spans="1:11" x14ac:dyDescent="0.35">
      <c r="A100" s="21" t="str">
        <f t="shared" si="1"/>
        <v>2024MG - UBERABA                       15</v>
      </c>
      <c r="B100" t="s">
        <v>30</v>
      </c>
      <c r="C100" s="4">
        <v>90</v>
      </c>
      <c r="D100" t="s">
        <v>37</v>
      </c>
      <c r="G100" t="s">
        <v>160</v>
      </c>
      <c r="H100" s="5">
        <v>15</v>
      </c>
      <c r="I100" s="11" t="s">
        <v>39</v>
      </c>
      <c r="J100" s="11">
        <v>1017</v>
      </c>
      <c r="K100" s="8">
        <v>2024</v>
      </c>
    </row>
    <row r="101" spans="1:11" x14ac:dyDescent="0.35">
      <c r="A101" s="21" t="str">
        <f t="shared" si="1"/>
        <v>2024MG - TRIANGULO MINEIRO             15</v>
      </c>
      <c r="B101" t="s">
        <v>30</v>
      </c>
      <c r="C101" s="4">
        <v>30</v>
      </c>
      <c r="D101" s="18" t="s">
        <v>178</v>
      </c>
      <c r="G101" t="s">
        <v>160</v>
      </c>
      <c r="H101" s="5">
        <v>15</v>
      </c>
      <c r="I101" s="11" t="s">
        <v>39</v>
      </c>
      <c r="J101" s="11">
        <v>1017</v>
      </c>
      <c r="K101" s="8">
        <v>2024</v>
      </c>
    </row>
    <row r="102" spans="1:11" x14ac:dyDescent="0.35">
      <c r="A102" s="21" t="str">
        <f t="shared" si="1"/>
        <v>2024RUN-OFF - CO/MG                    15</v>
      </c>
      <c r="B102" t="s">
        <v>30</v>
      </c>
      <c r="C102" s="4">
        <v>0</v>
      </c>
      <c r="D102" t="s">
        <v>175</v>
      </c>
      <c r="G102" t="s">
        <v>160</v>
      </c>
      <c r="H102" s="5">
        <v>15</v>
      </c>
      <c r="I102" s="11" t="s">
        <v>39</v>
      </c>
      <c r="J102" s="11">
        <v>1017</v>
      </c>
      <c r="K102" s="8">
        <v>2024</v>
      </c>
    </row>
    <row r="103" spans="1:11" x14ac:dyDescent="0.35">
      <c r="A103" s="21" t="str">
        <f t="shared" si="1"/>
        <v>2002CO - ATNP BRASILIA                 20</v>
      </c>
      <c r="B103" t="s">
        <v>30</v>
      </c>
      <c r="C103" s="4">
        <v>178</v>
      </c>
      <c r="D103" t="s">
        <v>168</v>
      </c>
      <c r="G103" t="s">
        <v>160</v>
      </c>
      <c r="H103" s="5">
        <v>20</v>
      </c>
      <c r="I103" s="12" t="s">
        <v>40</v>
      </c>
      <c r="J103" s="12">
        <v>996</v>
      </c>
      <c r="K103" s="8">
        <v>2002</v>
      </c>
    </row>
    <row r="104" spans="1:11" x14ac:dyDescent="0.35">
      <c r="A104" s="21" t="str">
        <f t="shared" si="1"/>
        <v>2002CO - BRASILIA                      20</v>
      </c>
      <c r="B104" t="s">
        <v>30</v>
      </c>
      <c r="C104" s="4">
        <v>48</v>
      </c>
      <c r="D104" t="s">
        <v>146</v>
      </c>
      <c r="G104" t="s">
        <v>160</v>
      </c>
      <c r="H104" s="5">
        <v>20</v>
      </c>
      <c r="I104" s="12" t="s">
        <v>40</v>
      </c>
      <c r="J104" s="12">
        <v>996</v>
      </c>
      <c r="K104" s="8">
        <v>2002</v>
      </c>
    </row>
    <row r="105" spans="1:11" x14ac:dyDescent="0.35">
      <c r="A105" s="21" t="str">
        <f t="shared" si="1"/>
        <v>2002CO - CAMPO GRANDE                  20</v>
      </c>
      <c r="B105" t="s">
        <v>30</v>
      </c>
      <c r="C105" s="4">
        <v>354</v>
      </c>
      <c r="D105" t="s">
        <v>32</v>
      </c>
      <c r="G105" t="s">
        <v>160</v>
      </c>
      <c r="H105" s="5">
        <v>20</v>
      </c>
      <c r="I105" s="12" t="s">
        <v>40</v>
      </c>
      <c r="J105" s="12">
        <v>996</v>
      </c>
      <c r="K105" s="8">
        <v>2002</v>
      </c>
    </row>
    <row r="106" spans="1:11" x14ac:dyDescent="0.35">
      <c r="A106" s="21" t="str">
        <f t="shared" si="1"/>
        <v>2002CO - CUIABA                        20</v>
      </c>
      <c r="B106" t="s">
        <v>30</v>
      </c>
      <c r="C106" s="4">
        <v>217</v>
      </c>
      <c r="D106" t="s">
        <v>137</v>
      </c>
      <c r="G106" t="s">
        <v>160</v>
      </c>
      <c r="H106" s="5">
        <v>20</v>
      </c>
      <c r="I106" s="12" t="s">
        <v>40</v>
      </c>
      <c r="J106" s="12">
        <v>996</v>
      </c>
      <c r="K106" s="8">
        <v>2002</v>
      </c>
    </row>
    <row r="107" spans="1:11" x14ac:dyDescent="0.35">
      <c r="A107" s="21" t="str">
        <f t="shared" si="1"/>
        <v>2002CO - GOIAS                         20</v>
      </c>
      <c r="B107" t="s">
        <v>30</v>
      </c>
      <c r="C107" s="4">
        <v>50</v>
      </c>
      <c r="D107" s="18" t="s">
        <v>181</v>
      </c>
      <c r="G107" t="s">
        <v>160</v>
      </c>
      <c r="H107" s="5">
        <v>20</v>
      </c>
      <c r="I107" s="12" t="s">
        <v>40</v>
      </c>
      <c r="J107" s="12">
        <v>996</v>
      </c>
      <c r="K107" s="8">
        <v>2002</v>
      </c>
    </row>
    <row r="108" spans="1:11" x14ac:dyDescent="0.35">
      <c r="A108" s="21" t="str">
        <f t="shared" si="1"/>
        <v>2002N - PORTO VELHO                    20</v>
      </c>
      <c r="B108" t="s">
        <v>77</v>
      </c>
      <c r="C108" s="4">
        <v>255</v>
      </c>
      <c r="D108" t="s">
        <v>33</v>
      </c>
      <c r="G108" t="s">
        <v>162</v>
      </c>
      <c r="H108" s="5">
        <v>20</v>
      </c>
      <c r="I108" s="12" t="s">
        <v>40</v>
      </c>
      <c r="J108" s="12">
        <v>996</v>
      </c>
      <c r="K108" s="8">
        <v>2002</v>
      </c>
    </row>
    <row r="109" spans="1:11" x14ac:dyDescent="0.35">
      <c r="A109" s="21" t="str">
        <f t="shared" si="1"/>
        <v>2002CO - SUL GOIANO                    20</v>
      </c>
      <c r="B109" t="s">
        <v>30</v>
      </c>
      <c r="C109" s="4">
        <v>228</v>
      </c>
      <c r="D109" t="s">
        <v>34</v>
      </c>
      <c r="G109" t="s">
        <v>160</v>
      </c>
      <c r="H109" s="5">
        <v>20</v>
      </c>
      <c r="I109" s="12" t="s">
        <v>40</v>
      </c>
      <c r="J109" s="12">
        <v>996</v>
      </c>
      <c r="K109" s="8">
        <v>2002</v>
      </c>
    </row>
    <row r="110" spans="1:11" x14ac:dyDescent="0.35">
      <c r="A110" s="21" t="str">
        <f t="shared" si="1"/>
        <v>2002MG - ASSEMBLEIA                    20</v>
      </c>
      <c r="B110" t="s">
        <v>30</v>
      </c>
      <c r="C110" s="4">
        <v>29</v>
      </c>
      <c r="D110" t="s">
        <v>144</v>
      </c>
      <c r="G110" t="s">
        <v>160</v>
      </c>
      <c r="H110" s="5">
        <v>20</v>
      </c>
      <c r="I110" s="12" t="s">
        <v>40</v>
      </c>
      <c r="J110" s="12">
        <v>996</v>
      </c>
      <c r="K110" s="8">
        <v>2002</v>
      </c>
    </row>
    <row r="111" spans="1:11" x14ac:dyDescent="0.35">
      <c r="A111" s="21" t="str">
        <f t="shared" si="1"/>
        <v>2002MG/CO - ATNP                       20</v>
      </c>
      <c r="B111" t="s">
        <v>30</v>
      </c>
      <c r="C111" s="4">
        <v>177</v>
      </c>
      <c r="D111" s="18" t="s">
        <v>179</v>
      </c>
      <c r="G111" t="s">
        <v>160</v>
      </c>
      <c r="H111" s="5">
        <v>20</v>
      </c>
      <c r="I111" s="12" t="s">
        <v>40</v>
      </c>
      <c r="J111" s="12">
        <v>996</v>
      </c>
      <c r="K111" s="8">
        <v>2002</v>
      </c>
    </row>
    <row r="112" spans="1:11" x14ac:dyDescent="0.35">
      <c r="A112" s="21" t="str">
        <f t="shared" si="1"/>
        <v>2002MG - DIVINOPOLIS                   20</v>
      </c>
      <c r="B112" t="s">
        <v>30</v>
      </c>
      <c r="C112" s="4">
        <v>197</v>
      </c>
      <c r="D112" t="s">
        <v>145</v>
      </c>
      <c r="G112" t="s">
        <v>160</v>
      </c>
      <c r="H112" s="5">
        <v>20</v>
      </c>
      <c r="I112" s="12" t="s">
        <v>40</v>
      </c>
      <c r="J112" s="12">
        <v>996</v>
      </c>
      <c r="K112" s="8">
        <v>2002</v>
      </c>
    </row>
    <row r="113" spans="1:11" x14ac:dyDescent="0.35">
      <c r="A113" s="21" t="str">
        <f t="shared" si="1"/>
        <v>2002MG - JUIZ DE FORA                  20</v>
      </c>
      <c r="B113" t="s">
        <v>30</v>
      </c>
      <c r="C113" s="4">
        <v>82</v>
      </c>
      <c r="D113" t="s">
        <v>35</v>
      </c>
      <c r="G113" t="s">
        <v>160</v>
      </c>
      <c r="H113" s="5">
        <v>20</v>
      </c>
      <c r="I113" s="12" t="s">
        <v>40</v>
      </c>
      <c r="J113" s="12">
        <v>996</v>
      </c>
      <c r="K113" s="8">
        <v>2002</v>
      </c>
    </row>
    <row r="114" spans="1:11" x14ac:dyDescent="0.35">
      <c r="A114" s="21" t="str">
        <f t="shared" si="1"/>
        <v>2002MG - CENTRO LESTE MINEIRO          20</v>
      </c>
      <c r="B114" t="s">
        <v>30</v>
      </c>
      <c r="C114" s="4">
        <v>149</v>
      </c>
      <c r="D114" t="s">
        <v>138</v>
      </c>
      <c r="G114" t="s">
        <v>160</v>
      </c>
      <c r="H114" s="5">
        <v>20</v>
      </c>
      <c r="I114" s="12" t="s">
        <v>40</v>
      </c>
      <c r="J114" s="12">
        <v>996</v>
      </c>
      <c r="K114" s="8">
        <v>2002</v>
      </c>
    </row>
    <row r="115" spans="1:11" x14ac:dyDescent="0.35">
      <c r="A115" s="21" t="str">
        <f t="shared" si="1"/>
        <v>2002MG - SUL MINAS                     20</v>
      </c>
      <c r="B115" t="s">
        <v>30</v>
      </c>
      <c r="C115" s="4">
        <v>85</v>
      </c>
      <c r="D115" t="s">
        <v>130</v>
      </c>
      <c r="G115" t="s">
        <v>160</v>
      </c>
      <c r="H115" s="5">
        <v>20</v>
      </c>
      <c r="I115" s="12" t="s">
        <v>40</v>
      </c>
      <c r="J115" s="12">
        <v>996</v>
      </c>
      <c r="K115" s="8">
        <v>2002</v>
      </c>
    </row>
    <row r="116" spans="1:11" x14ac:dyDescent="0.35">
      <c r="A116" s="21" t="str">
        <f t="shared" si="1"/>
        <v>2002MG - SAVASSI                       20</v>
      </c>
      <c r="B116" t="s">
        <v>30</v>
      </c>
      <c r="C116" s="4">
        <v>81</v>
      </c>
      <c r="D116" t="s">
        <v>36</v>
      </c>
      <c r="G116" t="s">
        <v>160</v>
      </c>
      <c r="H116" s="5">
        <v>20</v>
      </c>
      <c r="I116" s="12" t="s">
        <v>40</v>
      </c>
      <c r="J116" s="12">
        <v>996</v>
      </c>
      <c r="K116" s="8">
        <v>2002</v>
      </c>
    </row>
    <row r="117" spans="1:11" x14ac:dyDescent="0.35">
      <c r="A117" s="21" t="str">
        <f t="shared" si="1"/>
        <v>2002MG - UBERABA                       20</v>
      </c>
      <c r="B117" t="s">
        <v>30</v>
      </c>
      <c r="C117" s="4">
        <v>90</v>
      </c>
      <c r="D117" t="s">
        <v>37</v>
      </c>
      <c r="G117" t="s">
        <v>160</v>
      </c>
      <c r="H117" s="5">
        <v>20</v>
      </c>
      <c r="I117" s="12" t="s">
        <v>40</v>
      </c>
      <c r="J117" s="12">
        <v>996</v>
      </c>
      <c r="K117" s="8">
        <v>2002</v>
      </c>
    </row>
    <row r="118" spans="1:11" x14ac:dyDescent="0.35">
      <c r="A118" s="21" t="str">
        <f t="shared" si="1"/>
        <v>2002MG - TRIANGULO MINEIRO             20</v>
      </c>
      <c r="B118" t="s">
        <v>30</v>
      </c>
      <c r="C118" s="4">
        <v>30</v>
      </c>
      <c r="D118" s="18" t="s">
        <v>178</v>
      </c>
      <c r="G118" t="s">
        <v>160</v>
      </c>
      <c r="H118" s="5">
        <v>20</v>
      </c>
      <c r="I118" s="12" t="s">
        <v>40</v>
      </c>
      <c r="J118" s="12">
        <v>996</v>
      </c>
      <c r="K118" s="8">
        <v>2002</v>
      </c>
    </row>
    <row r="119" spans="1:11" x14ac:dyDescent="0.35">
      <c r="A119" s="21" t="str">
        <f t="shared" si="1"/>
        <v>2002RUN-OFF - CO/MG                    20</v>
      </c>
      <c r="B119" t="s">
        <v>30</v>
      </c>
      <c r="C119" s="4">
        <v>0</v>
      </c>
      <c r="D119" t="s">
        <v>175</v>
      </c>
      <c r="G119" t="s">
        <v>160</v>
      </c>
      <c r="H119" s="5">
        <v>20</v>
      </c>
      <c r="I119" s="12" t="s">
        <v>40</v>
      </c>
      <c r="J119" s="12">
        <v>996</v>
      </c>
      <c r="K119" s="8">
        <v>2002</v>
      </c>
    </row>
    <row r="120" spans="1:11" x14ac:dyDescent="0.35">
      <c r="A120" s="21" t="str">
        <f t="shared" si="1"/>
        <v>2002CO - ATNP BRASILIA                 10</v>
      </c>
      <c r="B120" t="s">
        <v>30</v>
      </c>
      <c r="C120" s="4">
        <v>178</v>
      </c>
      <c r="D120" t="s">
        <v>168</v>
      </c>
      <c r="G120" t="s">
        <v>160</v>
      </c>
      <c r="H120" s="9">
        <v>10</v>
      </c>
      <c r="I120" s="12" t="s">
        <v>41</v>
      </c>
      <c r="J120" s="12">
        <v>997</v>
      </c>
      <c r="K120" s="8">
        <v>2002</v>
      </c>
    </row>
    <row r="121" spans="1:11" x14ac:dyDescent="0.35">
      <c r="A121" s="21" t="str">
        <f t="shared" si="1"/>
        <v>2002CO - BRASILIA                      10</v>
      </c>
      <c r="B121" t="s">
        <v>30</v>
      </c>
      <c r="C121" s="4">
        <v>48</v>
      </c>
      <c r="D121" t="s">
        <v>146</v>
      </c>
      <c r="G121" t="s">
        <v>160</v>
      </c>
      <c r="H121" s="9">
        <v>10</v>
      </c>
      <c r="I121" s="12" t="s">
        <v>41</v>
      </c>
      <c r="J121" s="12">
        <v>997</v>
      </c>
      <c r="K121" s="8">
        <v>2002</v>
      </c>
    </row>
    <row r="122" spans="1:11" x14ac:dyDescent="0.35">
      <c r="A122" s="21" t="str">
        <f t="shared" si="1"/>
        <v>2002CO - CAMPO GRANDE                  10</v>
      </c>
      <c r="B122" t="s">
        <v>30</v>
      </c>
      <c r="C122" s="4">
        <v>354</v>
      </c>
      <c r="D122" t="s">
        <v>32</v>
      </c>
      <c r="G122" t="s">
        <v>160</v>
      </c>
      <c r="H122" s="9">
        <v>10</v>
      </c>
      <c r="I122" s="12" t="s">
        <v>41</v>
      </c>
      <c r="J122" s="12">
        <v>997</v>
      </c>
      <c r="K122" s="8">
        <v>2002</v>
      </c>
    </row>
    <row r="123" spans="1:11" x14ac:dyDescent="0.35">
      <c r="A123" s="21" t="str">
        <f t="shared" si="1"/>
        <v>2002CO - CUIABA                        10</v>
      </c>
      <c r="B123" t="s">
        <v>30</v>
      </c>
      <c r="C123" s="4">
        <v>217</v>
      </c>
      <c r="D123" t="s">
        <v>137</v>
      </c>
      <c r="G123" t="s">
        <v>160</v>
      </c>
      <c r="H123" s="9">
        <v>10</v>
      </c>
      <c r="I123" s="12" t="s">
        <v>41</v>
      </c>
      <c r="J123" s="12">
        <v>997</v>
      </c>
      <c r="K123" s="8">
        <v>2002</v>
      </c>
    </row>
    <row r="124" spans="1:11" x14ac:dyDescent="0.35">
      <c r="A124" s="21" t="str">
        <f t="shared" si="1"/>
        <v>2002CO - GOIAS                         10</v>
      </c>
      <c r="B124" t="s">
        <v>30</v>
      </c>
      <c r="C124" s="4">
        <v>50</v>
      </c>
      <c r="D124" s="18" t="s">
        <v>181</v>
      </c>
      <c r="G124" t="s">
        <v>160</v>
      </c>
      <c r="H124" s="9">
        <v>10</v>
      </c>
      <c r="I124" s="12" t="s">
        <v>41</v>
      </c>
      <c r="J124" s="12">
        <v>997</v>
      </c>
      <c r="K124" s="8">
        <v>2002</v>
      </c>
    </row>
    <row r="125" spans="1:11" x14ac:dyDescent="0.35">
      <c r="A125" s="21" t="str">
        <f t="shared" si="1"/>
        <v>2002N - PORTO VELHO                    10</v>
      </c>
      <c r="B125" t="s">
        <v>77</v>
      </c>
      <c r="C125" s="4">
        <v>255</v>
      </c>
      <c r="D125" t="s">
        <v>33</v>
      </c>
      <c r="G125" t="s">
        <v>162</v>
      </c>
      <c r="H125" s="9">
        <v>10</v>
      </c>
      <c r="I125" s="12" t="s">
        <v>41</v>
      </c>
      <c r="J125" s="12">
        <v>997</v>
      </c>
      <c r="K125" s="8">
        <v>2002</v>
      </c>
    </row>
    <row r="126" spans="1:11" x14ac:dyDescent="0.35">
      <c r="A126" s="21" t="str">
        <f t="shared" si="1"/>
        <v>2002CO - SUL GOIANO                    10</v>
      </c>
      <c r="B126" t="s">
        <v>30</v>
      </c>
      <c r="C126" s="4">
        <v>228</v>
      </c>
      <c r="D126" t="s">
        <v>34</v>
      </c>
      <c r="G126" t="s">
        <v>160</v>
      </c>
      <c r="H126" s="9">
        <v>10</v>
      </c>
      <c r="I126" s="12" t="s">
        <v>41</v>
      </c>
      <c r="J126" s="12">
        <v>997</v>
      </c>
      <c r="K126" s="8">
        <v>2002</v>
      </c>
    </row>
    <row r="127" spans="1:11" x14ac:dyDescent="0.35">
      <c r="A127" s="21" t="str">
        <f t="shared" si="1"/>
        <v>2002MG - ASSEMBLEIA                    10</v>
      </c>
      <c r="B127" t="s">
        <v>30</v>
      </c>
      <c r="C127" s="4">
        <v>29</v>
      </c>
      <c r="D127" t="s">
        <v>144</v>
      </c>
      <c r="G127" t="s">
        <v>160</v>
      </c>
      <c r="H127" s="9">
        <v>10</v>
      </c>
      <c r="I127" s="12" t="s">
        <v>41</v>
      </c>
      <c r="J127" s="12">
        <v>997</v>
      </c>
      <c r="K127" s="8">
        <v>2002</v>
      </c>
    </row>
    <row r="128" spans="1:11" x14ac:dyDescent="0.35">
      <c r="A128" s="21" t="str">
        <f t="shared" si="1"/>
        <v>2002MG/CO - ATNP                       10</v>
      </c>
      <c r="B128" t="s">
        <v>30</v>
      </c>
      <c r="C128" s="4">
        <v>177</v>
      </c>
      <c r="D128" s="18" t="s">
        <v>179</v>
      </c>
      <c r="G128" t="s">
        <v>160</v>
      </c>
      <c r="H128" s="9">
        <v>10</v>
      </c>
      <c r="I128" s="12" t="s">
        <v>41</v>
      </c>
      <c r="J128" s="12">
        <v>997</v>
      </c>
      <c r="K128" s="8">
        <v>2002</v>
      </c>
    </row>
    <row r="129" spans="1:11" x14ac:dyDescent="0.35">
      <c r="A129" s="21" t="str">
        <f t="shared" si="1"/>
        <v>2002MG - DIVINOPOLIS                   10</v>
      </c>
      <c r="B129" t="s">
        <v>30</v>
      </c>
      <c r="C129" s="4">
        <v>197</v>
      </c>
      <c r="D129" t="s">
        <v>145</v>
      </c>
      <c r="G129" t="s">
        <v>160</v>
      </c>
      <c r="H129" s="9">
        <v>10</v>
      </c>
      <c r="I129" s="12" t="s">
        <v>41</v>
      </c>
      <c r="J129" s="12">
        <v>997</v>
      </c>
      <c r="K129" s="8">
        <v>2002</v>
      </c>
    </row>
    <row r="130" spans="1:11" x14ac:dyDescent="0.35">
      <c r="A130" s="21" t="str">
        <f t="shared" ref="A130:A193" si="2">K130&amp;D130&amp;H130</f>
        <v>2002MG - JUIZ DE FORA                  10</v>
      </c>
      <c r="B130" t="s">
        <v>30</v>
      </c>
      <c r="C130" s="4">
        <v>82</v>
      </c>
      <c r="D130" t="s">
        <v>35</v>
      </c>
      <c r="G130" t="s">
        <v>160</v>
      </c>
      <c r="H130" s="9">
        <v>10</v>
      </c>
      <c r="I130" s="12" t="s">
        <v>41</v>
      </c>
      <c r="J130" s="12">
        <v>997</v>
      </c>
      <c r="K130" s="8">
        <v>2002</v>
      </c>
    </row>
    <row r="131" spans="1:11" x14ac:dyDescent="0.35">
      <c r="A131" s="21" t="str">
        <f t="shared" si="2"/>
        <v>2002MG - CENTRO LESTE MINEIRO          10</v>
      </c>
      <c r="B131" t="s">
        <v>30</v>
      </c>
      <c r="C131" s="4">
        <v>149</v>
      </c>
      <c r="D131" t="s">
        <v>138</v>
      </c>
      <c r="G131" t="s">
        <v>160</v>
      </c>
      <c r="H131" s="9">
        <v>10</v>
      </c>
      <c r="I131" s="12" t="s">
        <v>41</v>
      </c>
      <c r="J131" s="12">
        <v>997</v>
      </c>
      <c r="K131" s="8">
        <v>2002</v>
      </c>
    </row>
    <row r="132" spans="1:11" x14ac:dyDescent="0.35">
      <c r="A132" s="21" t="str">
        <f t="shared" si="2"/>
        <v>2002MG - SUL MINAS                     10</v>
      </c>
      <c r="B132" t="s">
        <v>30</v>
      </c>
      <c r="C132" s="4">
        <v>85</v>
      </c>
      <c r="D132" t="s">
        <v>130</v>
      </c>
      <c r="G132" t="s">
        <v>160</v>
      </c>
      <c r="H132" s="9">
        <v>10</v>
      </c>
      <c r="I132" s="12" t="s">
        <v>41</v>
      </c>
      <c r="J132" s="12">
        <v>997</v>
      </c>
      <c r="K132" s="8">
        <v>2002</v>
      </c>
    </row>
    <row r="133" spans="1:11" x14ac:dyDescent="0.35">
      <c r="A133" s="21" t="str">
        <f t="shared" si="2"/>
        <v>2002MG - SAVASSI                       10</v>
      </c>
      <c r="B133" t="s">
        <v>30</v>
      </c>
      <c r="C133" s="4">
        <v>81</v>
      </c>
      <c r="D133" t="s">
        <v>36</v>
      </c>
      <c r="G133" t="s">
        <v>160</v>
      </c>
      <c r="H133" s="9">
        <v>10</v>
      </c>
      <c r="I133" s="12" t="s">
        <v>41</v>
      </c>
      <c r="J133" s="12">
        <v>997</v>
      </c>
      <c r="K133" s="8">
        <v>2002</v>
      </c>
    </row>
    <row r="134" spans="1:11" x14ac:dyDescent="0.35">
      <c r="A134" s="21" t="str">
        <f t="shared" si="2"/>
        <v>2002MG - UBERABA                       10</v>
      </c>
      <c r="B134" t="s">
        <v>30</v>
      </c>
      <c r="C134" s="4">
        <v>90</v>
      </c>
      <c r="D134" t="s">
        <v>37</v>
      </c>
      <c r="G134" t="s">
        <v>160</v>
      </c>
      <c r="H134" s="9">
        <v>10</v>
      </c>
      <c r="I134" s="12" t="s">
        <v>41</v>
      </c>
      <c r="J134" s="12">
        <v>997</v>
      </c>
      <c r="K134" s="8">
        <v>2002</v>
      </c>
    </row>
    <row r="135" spans="1:11" x14ac:dyDescent="0.35">
      <c r="A135" s="21" t="str">
        <f t="shared" si="2"/>
        <v>2002MG - TRIANGULO MINEIRO             10</v>
      </c>
      <c r="B135" t="s">
        <v>30</v>
      </c>
      <c r="C135" s="4">
        <v>30</v>
      </c>
      <c r="D135" s="18" t="s">
        <v>178</v>
      </c>
      <c r="G135" t="s">
        <v>160</v>
      </c>
      <c r="H135" s="9">
        <v>10</v>
      </c>
      <c r="I135" s="12" t="s">
        <v>41</v>
      </c>
      <c r="J135" s="12">
        <v>997</v>
      </c>
      <c r="K135" s="8">
        <v>2002</v>
      </c>
    </row>
    <row r="136" spans="1:11" x14ac:dyDescent="0.35">
      <c r="A136" s="21" t="str">
        <f t="shared" si="2"/>
        <v>2002RUN-OFF - CO/MG                    10</v>
      </c>
      <c r="B136" t="s">
        <v>30</v>
      </c>
      <c r="C136" s="4">
        <v>0</v>
      </c>
      <c r="D136" t="s">
        <v>175</v>
      </c>
      <c r="G136" t="s">
        <v>160</v>
      </c>
      <c r="H136" s="9">
        <v>10</v>
      </c>
      <c r="I136" s="12" t="s">
        <v>41</v>
      </c>
      <c r="J136" s="12">
        <v>997</v>
      </c>
      <c r="K136" s="8">
        <v>2002</v>
      </c>
    </row>
    <row r="137" spans="1:11" x14ac:dyDescent="0.35">
      <c r="A137" s="21" t="str">
        <f t="shared" si="2"/>
        <v>2024PARCERIAS CO/MG/NE                 24</v>
      </c>
      <c r="B137" t="s">
        <v>54</v>
      </c>
      <c r="C137">
        <v>315</v>
      </c>
      <c r="D137" t="s">
        <v>51</v>
      </c>
      <c r="G137" t="s">
        <v>161</v>
      </c>
      <c r="H137">
        <v>24</v>
      </c>
      <c r="I137" s="11" t="s">
        <v>55</v>
      </c>
      <c r="J137" s="11">
        <v>1033</v>
      </c>
      <c r="K137" s="8">
        <v>2024</v>
      </c>
    </row>
    <row r="138" spans="1:11" x14ac:dyDescent="0.35">
      <c r="A138" s="21" t="str">
        <f t="shared" si="2"/>
        <v>2024PARCERIAS SP/RJ/ES                 24</v>
      </c>
      <c r="B138" t="s">
        <v>54</v>
      </c>
      <c r="C138">
        <v>153</v>
      </c>
      <c r="D138" t="s">
        <v>52</v>
      </c>
      <c r="G138" t="s">
        <v>161</v>
      </c>
      <c r="H138">
        <v>24</v>
      </c>
      <c r="I138" s="11" t="s">
        <v>55</v>
      </c>
      <c r="J138" s="11">
        <v>1033</v>
      </c>
      <c r="K138" s="8">
        <v>2024</v>
      </c>
    </row>
    <row r="139" spans="1:11" x14ac:dyDescent="0.35">
      <c r="A139" s="21" t="str">
        <f t="shared" si="2"/>
        <v>2024PARCERIAS SUL                      24</v>
      </c>
      <c r="B139" t="s">
        <v>54</v>
      </c>
      <c r="C139">
        <v>509</v>
      </c>
      <c r="D139" t="s">
        <v>53</v>
      </c>
      <c r="G139" t="s">
        <v>161</v>
      </c>
      <c r="H139">
        <v>24</v>
      </c>
      <c r="I139" s="11" t="s">
        <v>55</v>
      </c>
      <c r="J139" s="11">
        <v>1033</v>
      </c>
      <c r="K139" s="8">
        <v>2024</v>
      </c>
    </row>
    <row r="140" spans="1:11" x14ac:dyDescent="0.35">
      <c r="A140" s="21" t="str">
        <f t="shared" si="2"/>
        <v>2024PARCERIAS CO/MG/NE                 22</v>
      </c>
      <c r="B140" t="s">
        <v>54</v>
      </c>
      <c r="C140">
        <v>315</v>
      </c>
      <c r="D140" t="s">
        <v>51</v>
      </c>
      <c r="G140" t="s">
        <v>161</v>
      </c>
      <c r="H140" s="9">
        <v>22</v>
      </c>
      <c r="I140" s="11" t="s">
        <v>56</v>
      </c>
      <c r="J140" s="11">
        <v>1034</v>
      </c>
      <c r="K140" s="8">
        <v>2024</v>
      </c>
    </row>
    <row r="141" spans="1:11" x14ac:dyDescent="0.35">
      <c r="A141" s="21" t="str">
        <f t="shared" si="2"/>
        <v>2024PARCERIAS SP/RJ/ES                 22</v>
      </c>
      <c r="B141" t="s">
        <v>54</v>
      </c>
      <c r="C141">
        <v>153</v>
      </c>
      <c r="D141" t="s">
        <v>52</v>
      </c>
      <c r="G141" t="s">
        <v>161</v>
      </c>
      <c r="H141" s="9">
        <v>22</v>
      </c>
      <c r="I141" s="11" t="s">
        <v>56</v>
      </c>
      <c r="J141" s="11">
        <v>1034</v>
      </c>
      <c r="K141" s="8">
        <v>2024</v>
      </c>
    </row>
    <row r="142" spans="1:11" x14ac:dyDescent="0.35">
      <c r="A142" s="21" t="str">
        <f t="shared" si="2"/>
        <v>2024PARCERIAS SUL                      22</v>
      </c>
      <c r="B142" t="s">
        <v>54</v>
      </c>
      <c r="C142">
        <v>509</v>
      </c>
      <c r="D142" t="s">
        <v>53</v>
      </c>
      <c r="G142" t="s">
        <v>161</v>
      </c>
      <c r="H142" s="9">
        <v>22</v>
      </c>
      <c r="I142" s="11" t="s">
        <v>56</v>
      </c>
      <c r="J142" s="11">
        <v>1034</v>
      </c>
      <c r="K142" s="8">
        <v>2024</v>
      </c>
    </row>
    <row r="143" spans="1:11" x14ac:dyDescent="0.35">
      <c r="A143" s="21" t="str">
        <f t="shared" si="2"/>
        <v>2024PARCERIAS CO/MG/NE                 15</v>
      </c>
      <c r="B143" t="s">
        <v>54</v>
      </c>
      <c r="C143">
        <v>315</v>
      </c>
      <c r="D143" t="s">
        <v>51</v>
      </c>
      <c r="G143" t="s">
        <v>161</v>
      </c>
      <c r="H143" s="5">
        <v>15</v>
      </c>
      <c r="I143" s="11" t="s">
        <v>57</v>
      </c>
      <c r="J143" s="11">
        <v>1035</v>
      </c>
      <c r="K143" s="8">
        <v>2024</v>
      </c>
    </row>
    <row r="144" spans="1:11" x14ac:dyDescent="0.35">
      <c r="A144" s="21" t="str">
        <f t="shared" si="2"/>
        <v>2024PARCERIAS SP/RJ/ES                 15</v>
      </c>
      <c r="B144" t="s">
        <v>54</v>
      </c>
      <c r="C144">
        <v>153</v>
      </c>
      <c r="D144" t="s">
        <v>52</v>
      </c>
      <c r="G144" t="s">
        <v>161</v>
      </c>
      <c r="H144" s="5">
        <v>15</v>
      </c>
      <c r="I144" s="11" t="s">
        <v>57</v>
      </c>
      <c r="J144" s="11">
        <v>1035</v>
      </c>
      <c r="K144" s="8">
        <v>2024</v>
      </c>
    </row>
    <row r="145" spans="1:11" x14ac:dyDescent="0.35">
      <c r="A145" s="21" t="str">
        <f t="shared" si="2"/>
        <v>2024PARCERIAS SUL                      15</v>
      </c>
      <c r="B145" t="s">
        <v>54</v>
      </c>
      <c r="C145">
        <v>509</v>
      </c>
      <c r="D145" t="s">
        <v>53</v>
      </c>
      <c r="G145" t="s">
        <v>161</v>
      </c>
      <c r="H145" s="5">
        <v>15</v>
      </c>
      <c r="I145" s="11" t="s">
        <v>57</v>
      </c>
      <c r="J145" s="11">
        <v>1035</v>
      </c>
      <c r="K145" s="8">
        <v>2024</v>
      </c>
    </row>
    <row r="146" spans="1:11" x14ac:dyDescent="0.35">
      <c r="A146" s="21" t="str">
        <f t="shared" si="2"/>
        <v>2002PARCERIAS CO/MG/NE                 20</v>
      </c>
      <c r="B146" t="s">
        <v>54</v>
      </c>
      <c r="C146">
        <v>315</v>
      </c>
      <c r="D146" t="s">
        <v>51</v>
      </c>
      <c r="G146" t="s">
        <v>161</v>
      </c>
      <c r="H146" s="5">
        <v>20</v>
      </c>
      <c r="I146" s="13" t="s">
        <v>58</v>
      </c>
      <c r="J146" s="12">
        <v>1008</v>
      </c>
      <c r="K146" s="8">
        <v>2002</v>
      </c>
    </row>
    <row r="147" spans="1:11" x14ac:dyDescent="0.35">
      <c r="A147" s="21" t="str">
        <f t="shared" si="2"/>
        <v>2002PARCERIAS SP/RJ/ES                 20</v>
      </c>
      <c r="B147" t="s">
        <v>54</v>
      </c>
      <c r="C147">
        <v>153</v>
      </c>
      <c r="D147" t="s">
        <v>52</v>
      </c>
      <c r="G147" t="s">
        <v>161</v>
      </c>
      <c r="H147" s="5">
        <v>20</v>
      </c>
      <c r="I147" s="13" t="s">
        <v>58</v>
      </c>
      <c r="J147" s="12">
        <v>1008</v>
      </c>
      <c r="K147" s="8">
        <v>2002</v>
      </c>
    </row>
    <row r="148" spans="1:11" x14ac:dyDescent="0.35">
      <c r="A148" s="21" t="str">
        <f t="shared" si="2"/>
        <v>2002PARCERIAS SUL                      20</v>
      </c>
      <c r="B148" t="s">
        <v>54</v>
      </c>
      <c r="C148">
        <v>509</v>
      </c>
      <c r="D148" t="s">
        <v>53</v>
      </c>
      <c r="G148" t="s">
        <v>161</v>
      </c>
      <c r="H148" s="5">
        <v>20</v>
      </c>
      <c r="I148" s="13" t="s">
        <v>58</v>
      </c>
      <c r="J148" s="12">
        <v>1008</v>
      </c>
      <c r="K148" s="8">
        <v>2002</v>
      </c>
    </row>
    <row r="149" spans="1:11" x14ac:dyDescent="0.35">
      <c r="A149" s="21" t="str">
        <f t="shared" si="2"/>
        <v>2002PARCERIAS CO/MG/NE                 10</v>
      </c>
      <c r="B149" t="s">
        <v>54</v>
      </c>
      <c r="C149">
        <v>315</v>
      </c>
      <c r="D149" t="s">
        <v>51</v>
      </c>
      <c r="G149" t="s">
        <v>161</v>
      </c>
      <c r="H149" s="9">
        <v>10</v>
      </c>
      <c r="I149" s="13" t="s">
        <v>59</v>
      </c>
      <c r="J149" s="12">
        <v>1009</v>
      </c>
      <c r="K149" s="8">
        <v>2002</v>
      </c>
    </row>
    <row r="150" spans="1:11" x14ac:dyDescent="0.35">
      <c r="A150" s="21" t="str">
        <f t="shared" si="2"/>
        <v>2002PARCERIAS SP/RJ/ES                 10</v>
      </c>
      <c r="B150" t="s">
        <v>54</v>
      </c>
      <c r="C150">
        <v>153</v>
      </c>
      <c r="D150" t="s">
        <v>52</v>
      </c>
      <c r="G150" t="s">
        <v>161</v>
      </c>
      <c r="H150" s="9">
        <v>10</v>
      </c>
      <c r="I150" s="13" t="s">
        <v>59</v>
      </c>
      <c r="J150" s="12">
        <v>1009</v>
      </c>
      <c r="K150" s="8">
        <v>2002</v>
      </c>
    </row>
    <row r="151" spans="1:11" x14ac:dyDescent="0.35">
      <c r="A151" s="21" t="str">
        <f t="shared" si="2"/>
        <v>2002PARCERIAS SUL                      10</v>
      </c>
      <c r="B151" t="s">
        <v>54</v>
      </c>
      <c r="C151">
        <v>509</v>
      </c>
      <c r="D151" t="s">
        <v>53</v>
      </c>
      <c r="G151" t="s">
        <v>161</v>
      </c>
      <c r="H151" s="9">
        <v>10</v>
      </c>
      <c r="I151" s="13" t="s">
        <v>59</v>
      </c>
      <c r="J151" s="12">
        <v>1009</v>
      </c>
      <c r="K151" s="8">
        <v>2002</v>
      </c>
    </row>
    <row r="152" spans="1:11" x14ac:dyDescent="0.35">
      <c r="A152" s="21" t="str">
        <f t="shared" si="2"/>
        <v>2002SP - CENTRO                        20</v>
      </c>
      <c r="B152" t="s">
        <v>5</v>
      </c>
      <c r="C152">
        <v>106</v>
      </c>
      <c r="D152" t="s">
        <v>133</v>
      </c>
      <c r="G152" t="s">
        <v>160</v>
      </c>
      <c r="H152" s="5">
        <v>20</v>
      </c>
      <c r="I152" s="14" t="s">
        <v>60</v>
      </c>
      <c r="J152" s="7">
        <v>1002</v>
      </c>
      <c r="K152" s="8">
        <v>2002</v>
      </c>
    </row>
    <row r="153" spans="1:11" x14ac:dyDescent="0.35">
      <c r="A153" s="21" t="str">
        <f t="shared" si="2"/>
        <v>2002CORPORATE                          20</v>
      </c>
      <c r="B153" t="s">
        <v>54</v>
      </c>
      <c r="C153">
        <v>171</v>
      </c>
      <c r="D153" t="s">
        <v>169</v>
      </c>
      <c r="G153" t="s">
        <v>161</v>
      </c>
      <c r="H153" s="5">
        <v>20</v>
      </c>
      <c r="I153" s="14" t="s">
        <v>60</v>
      </c>
      <c r="J153" s="7">
        <v>1002</v>
      </c>
      <c r="K153" s="8">
        <v>2002</v>
      </c>
    </row>
    <row r="154" spans="1:11" x14ac:dyDescent="0.35">
      <c r="A154" s="21" t="str">
        <f t="shared" si="2"/>
        <v>2002SP - CENTRO                        10</v>
      </c>
      <c r="B154" t="s">
        <v>5</v>
      </c>
      <c r="C154">
        <v>106</v>
      </c>
      <c r="D154" t="s">
        <v>133</v>
      </c>
      <c r="G154" t="s">
        <v>160</v>
      </c>
      <c r="H154" s="9">
        <v>10</v>
      </c>
      <c r="I154" s="14" t="s">
        <v>61</v>
      </c>
      <c r="J154" s="7">
        <v>1003</v>
      </c>
      <c r="K154" s="8">
        <v>2002</v>
      </c>
    </row>
    <row r="155" spans="1:11" x14ac:dyDescent="0.35">
      <c r="A155" s="21" t="str">
        <f t="shared" si="2"/>
        <v>2002CORPORATE                          10</v>
      </c>
      <c r="B155" t="s">
        <v>54</v>
      </c>
      <c r="C155">
        <v>171</v>
      </c>
      <c r="D155" t="s">
        <v>169</v>
      </c>
      <c r="G155" t="s">
        <v>161</v>
      </c>
      <c r="H155" s="9">
        <v>10</v>
      </c>
      <c r="I155" s="14" t="s">
        <v>61</v>
      </c>
      <c r="J155" s="7">
        <v>1003</v>
      </c>
      <c r="K155" s="8">
        <v>2002</v>
      </c>
    </row>
    <row r="156" spans="1:11" x14ac:dyDescent="0.35">
      <c r="A156" s="21" t="str">
        <f t="shared" si="2"/>
        <v>2024SP - CENTRO                        24</v>
      </c>
      <c r="B156" t="s">
        <v>5</v>
      </c>
      <c r="C156">
        <v>106</v>
      </c>
      <c r="D156" t="s">
        <v>133</v>
      </c>
      <c r="G156" t="s">
        <v>160</v>
      </c>
      <c r="H156">
        <v>24</v>
      </c>
      <c r="I156" s="15" t="s">
        <v>62</v>
      </c>
      <c r="J156" s="15">
        <v>1024</v>
      </c>
      <c r="K156" s="8">
        <v>2024</v>
      </c>
    </row>
    <row r="157" spans="1:11" x14ac:dyDescent="0.35">
      <c r="A157" s="21" t="str">
        <f t="shared" si="2"/>
        <v>2024CORPORATE                          24</v>
      </c>
      <c r="B157" t="s">
        <v>54</v>
      </c>
      <c r="C157">
        <v>171</v>
      </c>
      <c r="D157" t="s">
        <v>169</v>
      </c>
      <c r="G157" t="s">
        <v>161</v>
      </c>
      <c r="H157">
        <v>24</v>
      </c>
      <c r="I157" s="15" t="s">
        <v>62</v>
      </c>
      <c r="J157" s="15">
        <v>1024</v>
      </c>
      <c r="K157" s="8">
        <v>2024</v>
      </c>
    </row>
    <row r="158" spans="1:11" x14ac:dyDescent="0.35">
      <c r="A158" s="21" t="str">
        <f t="shared" si="2"/>
        <v>2024SP - CENTRO                        22</v>
      </c>
      <c r="B158" t="s">
        <v>5</v>
      </c>
      <c r="C158">
        <v>106</v>
      </c>
      <c r="D158" t="s">
        <v>133</v>
      </c>
      <c r="G158" t="s">
        <v>160</v>
      </c>
      <c r="H158" s="9">
        <v>22</v>
      </c>
      <c r="I158" s="15" t="s">
        <v>63</v>
      </c>
      <c r="J158" s="15">
        <v>1025</v>
      </c>
      <c r="K158" s="8">
        <v>2024</v>
      </c>
    </row>
    <row r="159" spans="1:11" x14ac:dyDescent="0.35">
      <c r="A159" s="21" t="str">
        <f t="shared" si="2"/>
        <v>2024CORPORATE                          22</v>
      </c>
      <c r="B159" t="s">
        <v>54</v>
      </c>
      <c r="C159">
        <v>171</v>
      </c>
      <c r="D159" t="s">
        <v>169</v>
      </c>
      <c r="G159" t="s">
        <v>161</v>
      </c>
      <c r="H159" s="9">
        <v>22</v>
      </c>
      <c r="I159" s="15" t="s">
        <v>63</v>
      </c>
      <c r="J159" s="15">
        <v>1025</v>
      </c>
      <c r="K159" s="8">
        <v>2024</v>
      </c>
    </row>
    <row r="160" spans="1:11" x14ac:dyDescent="0.35">
      <c r="A160" s="21" t="str">
        <f t="shared" si="2"/>
        <v>2024SP - CENTRO                        15</v>
      </c>
      <c r="B160" t="s">
        <v>5</v>
      </c>
      <c r="C160">
        <v>106</v>
      </c>
      <c r="D160" t="s">
        <v>133</v>
      </c>
      <c r="G160" t="s">
        <v>160</v>
      </c>
      <c r="H160" s="5">
        <v>15</v>
      </c>
      <c r="I160" s="15" t="s">
        <v>64</v>
      </c>
      <c r="J160" s="15">
        <v>1026</v>
      </c>
      <c r="K160" s="8">
        <v>2024</v>
      </c>
    </row>
    <row r="161" spans="1:11" x14ac:dyDescent="0.35">
      <c r="A161" s="21" t="str">
        <f t="shared" si="2"/>
        <v>2024CORPORATE                          15</v>
      </c>
      <c r="B161" t="s">
        <v>54</v>
      </c>
      <c r="C161">
        <v>171</v>
      </c>
      <c r="D161" t="s">
        <v>169</v>
      </c>
      <c r="G161" t="s">
        <v>161</v>
      </c>
      <c r="H161" s="5">
        <v>15</v>
      </c>
      <c r="I161" s="15" t="s">
        <v>64</v>
      </c>
      <c r="J161" s="15">
        <v>1026</v>
      </c>
      <c r="K161" s="8">
        <v>2024</v>
      </c>
    </row>
    <row r="162" spans="1:11" x14ac:dyDescent="0.35">
      <c r="A162" s="21" t="str">
        <f t="shared" si="2"/>
        <v>2002N - ATNP BELEM                     20</v>
      </c>
      <c r="B162" t="s">
        <v>77</v>
      </c>
      <c r="C162">
        <v>175</v>
      </c>
      <c r="D162" t="s">
        <v>155</v>
      </c>
      <c r="G162" t="s">
        <v>162</v>
      </c>
      <c r="H162" s="5">
        <v>20</v>
      </c>
      <c r="I162" s="7" t="s">
        <v>78</v>
      </c>
      <c r="J162" s="7">
        <v>998</v>
      </c>
      <c r="K162" s="8">
        <v>2002</v>
      </c>
    </row>
    <row r="163" spans="1:11" x14ac:dyDescent="0.35">
      <c r="A163" s="21" t="str">
        <f t="shared" si="2"/>
        <v>2002N - BELEM/ASSESSORIAS              20</v>
      </c>
      <c r="B163" t="s">
        <v>77</v>
      </c>
      <c r="C163">
        <v>47</v>
      </c>
      <c r="D163" s="18" t="s">
        <v>183</v>
      </c>
      <c r="G163" t="s">
        <v>162</v>
      </c>
      <c r="H163" s="5">
        <v>20</v>
      </c>
      <c r="I163" s="7" t="s">
        <v>78</v>
      </c>
      <c r="J163" s="7">
        <v>998</v>
      </c>
      <c r="K163" s="8">
        <v>2002</v>
      </c>
    </row>
    <row r="164" spans="1:11" x14ac:dyDescent="0.35">
      <c r="A164" s="21" t="str">
        <f t="shared" si="2"/>
        <v>2002N - MANAUS                         20</v>
      </c>
      <c r="B164" t="s">
        <v>77</v>
      </c>
      <c r="C164" s="4">
        <v>264</v>
      </c>
      <c r="D164" t="s">
        <v>65</v>
      </c>
      <c r="G164" t="s">
        <v>162</v>
      </c>
      <c r="H164" s="5">
        <v>20</v>
      </c>
      <c r="I164" s="7" t="s">
        <v>78</v>
      </c>
      <c r="J164" s="7">
        <v>998</v>
      </c>
      <c r="K164" s="8">
        <v>2002</v>
      </c>
    </row>
    <row r="165" spans="1:11" x14ac:dyDescent="0.35">
      <c r="A165" s="21" t="str">
        <f t="shared" si="2"/>
        <v>2002NE - ARACAJU/MACEIO                20</v>
      </c>
      <c r="B165" t="s">
        <v>77</v>
      </c>
      <c r="C165" s="4">
        <v>352</v>
      </c>
      <c r="D165" t="s">
        <v>171</v>
      </c>
      <c r="G165" t="s">
        <v>162</v>
      </c>
      <c r="H165" s="5">
        <v>20</v>
      </c>
      <c r="I165" s="7" t="s">
        <v>78</v>
      </c>
      <c r="J165" s="7">
        <v>998</v>
      </c>
      <c r="K165" s="8">
        <v>2002</v>
      </c>
    </row>
    <row r="166" spans="1:11" x14ac:dyDescent="0.35">
      <c r="A166" s="21" t="str">
        <f t="shared" si="2"/>
        <v>2002NE - ATNP ARACAJU20</v>
      </c>
      <c r="B166" t="s">
        <v>77</v>
      </c>
      <c r="C166" s="4">
        <v>155</v>
      </c>
      <c r="D166" s="9" t="s">
        <v>66</v>
      </c>
      <c r="G166" t="s">
        <v>162</v>
      </c>
      <c r="H166" s="5">
        <v>20</v>
      </c>
      <c r="I166" s="7" t="s">
        <v>78</v>
      </c>
      <c r="J166" s="7">
        <v>998</v>
      </c>
      <c r="K166" s="8">
        <v>2002</v>
      </c>
    </row>
    <row r="167" spans="1:11" x14ac:dyDescent="0.35">
      <c r="A167" s="21" t="str">
        <f t="shared" si="2"/>
        <v>2002NE - ATNP RECIFE                   20</v>
      </c>
      <c r="B167" t="s">
        <v>77</v>
      </c>
      <c r="C167" s="4">
        <v>174</v>
      </c>
      <c r="D167" t="s">
        <v>67</v>
      </c>
      <c r="G167" t="s">
        <v>162</v>
      </c>
      <c r="H167" s="5">
        <v>20</v>
      </c>
      <c r="I167" s="7" t="s">
        <v>78</v>
      </c>
      <c r="J167" s="7">
        <v>998</v>
      </c>
      <c r="K167" s="8">
        <v>2002</v>
      </c>
    </row>
    <row r="168" spans="1:11" x14ac:dyDescent="0.35">
      <c r="A168" s="21" t="str">
        <f t="shared" si="2"/>
        <v>2002NE - ATNP SALVADOR                 20</v>
      </c>
      <c r="B168" t="s">
        <v>77</v>
      </c>
      <c r="C168" s="4">
        <v>181</v>
      </c>
      <c r="D168" t="s">
        <v>68</v>
      </c>
      <c r="G168" t="s">
        <v>162</v>
      </c>
      <c r="H168" s="5">
        <v>20</v>
      </c>
      <c r="I168" s="7" t="s">
        <v>78</v>
      </c>
      <c r="J168" s="7">
        <v>998</v>
      </c>
      <c r="K168" s="8">
        <v>2002</v>
      </c>
    </row>
    <row r="169" spans="1:11" x14ac:dyDescent="0.35">
      <c r="A169" s="21" t="str">
        <f t="shared" si="2"/>
        <v>2002NE - BAHIA                         20</v>
      </c>
      <c r="B169" t="s">
        <v>77</v>
      </c>
      <c r="C169" s="4">
        <v>260</v>
      </c>
      <c r="D169" t="s">
        <v>69</v>
      </c>
      <c r="G169" t="s">
        <v>162</v>
      </c>
      <c r="H169" s="5">
        <v>20</v>
      </c>
      <c r="I169" s="7" t="s">
        <v>78</v>
      </c>
      <c r="J169" s="7">
        <v>998</v>
      </c>
      <c r="K169" s="8">
        <v>2002</v>
      </c>
    </row>
    <row r="170" spans="1:11" x14ac:dyDescent="0.35">
      <c r="A170" s="21" t="str">
        <f t="shared" si="2"/>
        <v>2002NE - FORTALEZA                     20</v>
      </c>
      <c r="B170" t="s">
        <v>77</v>
      </c>
      <c r="C170" s="4">
        <v>43</v>
      </c>
      <c r="D170" t="s">
        <v>70</v>
      </c>
      <c r="G170" t="s">
        <v>162</v>
      </c>
      <c r="H170" s="5">
        <v>20</v>
      </c>
      <c r="I170" s="7" t="s">
        <v>78</v>
      </c>
      <c r="J170" s="7">
        <v>998</v>
      </c>
      <c r="K170" s="8">
        <v>2002</v>
      </c>
    </row>
    <row r="171" spans="1:11" x14ac:dyDescent="0.35">
      <c r="A171" s="21" t="str">
        <f t="shared" si="2"/>
        <v>2002NE - JOAO PESSOA                   20</v>
      </c>
      <c r="B171" t="s">
        <v>77</v>
      </c>
      <c r="C171" s="4">
        <v>245</v>
      </c>
      <c r="D171" t="s">
        <v>156</v>
      </c>
      <c r="G171" t="s">
        <v>162</v>
      </c>
      <c r="H171" s="5">
        <v>20</v>
      </c>
      <c r="I171" s="7" t="s">
        <v>78</v>
      </c>
      <c r="J171" s="7">
        <v>998</v>
      </c>
      <c r="K171" s="8">
        <v>2002</v>
      </c>
    </row>
    <row r="172" spans="1:11" x14ac:dyDescent="0.35">
      <c r="A172" s="21" t="str">
        <f t="shared" si="2"/>
        <v>2002NE - NATAL                         20</v>
      </c>
      <c r="B172" t="s">
        <v>77</v>
      </c>
      <c r="C172" s="4">
        <v>236</v>
      </c>
      <c r="D172" t="s">
        <v>71</v>
      </c>
      <c r="G172" t="s">
        <v>162</v>
      </c>
      <c r="H172" s="5">
        <v>20</v>
      </c>
      <c r="I172" s="7" t="s">
        <v>78</v>
      </c>
      <c r="J172" s="7">
        <v>998</v>
      </c>
      <c r="K172" s="8">
        <v>2002</v>
      </c>
    </row>
    <row r="173" spans="1:11" x14ac:dyDescent="0.35">
      <c r="A173" s="21" t="str">
        <f t="shared" si="2"/>
        <v>2002NE - PERNAMBUCO                    20</v>
      </c>
      <c r="B173" t="s">
        <v>77</v>
      </c>
      <c r="C173" s="4">
        <v>233</v>
      </c>
      <c r="D173" t="s">
        <v>72</v>
      </c>
      <c r="G173" t="s">
        <v>162</v>
      </c>
      <c r="H173" s="5">
        <v>20</v>
      </c>
      <c r="I173" s="7" t="s">
        <v>78</v>
      </c>
      <c r="J173" s="7">
        <v>998</v>
      </c>
      <c r="K173" s="8">
        <v>2002</v>
      </c>
    </row>
    <row r="174" spans="1:11" x14ac:dyDescent="0.35">
      <c r="A174" s="21" t="str">
        <f t="shared" si="2"/>
        <v>2002NE - RECIFE                        20</v>
      </c>
      <c r="B174" t="s">
        <v>77</v>
      </c>
      <c r="C174" s="4">
        <v>34</v>
      </c>
      <c r="D174" t="s">
        <v>73</v>
      </c>
      <c r="G174" t="s">
        <v>162</v>
      </c>
      <c r="H174" s="5">
        <v>20</v>
      </c>
      <c r="I174" s="7" t="s">
        <v>78</v>
      </c>
      <c r="J174" s="7">
        <v>998</v>
      </c>
      <c r="K174" s="8">
        <v>2002</v>
      </c>
    </row>
    <row r="175" spans="1:11" x14ac:dyDescent="0.35">
      <c r="A175" s="21" t="str">
        <f t="shared" si="2"/>
        <v>2002NE - SALVADOR                      20</v>
      </c>
      <c r="B175" t="s">
        <v>77</v>
      </c>
      <c r="C175" s="4">
        <v>44</v>
      </c>
      <c r="D175" t="s">
        <v>74</v>
      </c>
      <c r="G175" t="s">
        <v>162</v>
      </c>
      <c r="H175" s="5">
        <v>20</v>
      </c>
      <c r="I175" s="7" t="s">
        <v>78</v>
      </c>
      <c r="J175" s="7">
        <v>998</v>
      </c>
      <c r="K175" s="8">
        <v>2002</v>
      </c>
    </row>
    <row r="176" spans="1:11" x14ac:dyDescent="0.35">
      <c r="A176" s="21" t="str">
        <f t="shared" si="2"/>
        <v>2002NE - SAO LUIS                      20</v>
      </c>
      <c r="B176" t="s">
        <v>77</v>
      </c>
      <c r="C176" s="4">
        <v>229</v>
      </c>
      <c r="D176" t="s">
        <v>158</v>
      </c>
      <c r="G176" t="s">
        <v>162</v>
      </c>
      <c r="H176" s="5">
        <v>20</v>
      </c>
      <c r="I176" s="7" t="s">
        <v>78</v>
      </c>
      <c r="J176" s="7">
        <v>998</v>
      </c>
      <c r="K176" s="8">
        <v>2002</v>
      </c>
    </row>
    <row r="177" spans="1:11" x14ac:dyDescent="0.35">
      <c r="A177" s="21" t="str">
        <f t="shared" si="2"/>
        <v>2002NE - TERESINA20</v>
      </c>
      <c r="B177" t="s">
        <v>77</v>
      </c>
      <c r="C177" s="4">
        <v>350</v>
      </c>
      <c r="D177" s="9" t="s">
        <v>75</v>
      </c>
      <c r="G177" t="s">
        <v>162</v>
      </c>
      <c r="H177" s="5">
        <v>20</v>
      </c>
      <c r="I177" s="7" t="s">
        <v>78</v>
      </c>
      <c r="J177" s="7">
        <v>998</v>
      </c>
      <c r="K177" s="8">
        <v>2002</v>
      </c>
    </row>
    <row r="178" spans="1:11" x14ac:dyDescent="0.35">
      <c r="A178" s="21" t="str">
        <f t="shared" si="2"/>
        <v>2002RUN-OFF - N/NE20</v>
      </c>
      <c r="B178" t="s">
        <v>77</v>
      </c>
      <c r="C178" s="4">
        <v>0</v>
      </c>
      <c r="D178" s="9" t="s">
        <v>76</v>
      </c>
      <c r="G178" t="s">
        <v>162</v>
      </c>
      <c r="H178" s="5">
        <v>20</v>
      </c>
      <c r="I178" s="7" t="s">
        <v>78</v>
      </c>
      <c r="J178" s="7">
        <v>998</v>
      </c>
      <c r="K178" s="8">
        <v>2002</v>
      </c>
    </row>
    <row r="179" spans="1:11" x14ac:dyDescent="0.35">
      <c r="A179" s="21" t="str">
        <f t="shared" si="2"/>
        <v>2002N - ATNP BELEM                     10</v>
      </c>
      <c r="B179" t="s">
        <v>77</v>
      </c>
      <c r="C179">
        <v>175</v>
      </c>
      <c r="D179" t="s">
        <v>155</v>
      </c>
      <c r="G179" t="s">
        <v>162</v>
      </c>
      <c r="H179" s="9">
        <v>10</v>
      </c>
      <c r="I179" s="7" t="s">
        <v>79</v>
      </c>
      <c r="J179" s="7">
        <v>999</v>
      </c>
      <c r="K179" s="8">
        <v>2002</v>
      </c>
    </row>
    <row r="180" spans="1:11" x14ac:dyDescent="0.35">
      <c r="A180" s="21" t="str">
        <f t="shared" si="2"/>
        <v>2002N - BELEM/ASSESSORIAS              10</v>
      </c>
      <c r="B180" t="s">
        <v>77</v>
      </c>
      <c r="C180">
        <v>47</v>
      </c>
      <c r="D180" s="18" t="s">
        <v>183</v>
      </c>
      <c r="G180" t="s">
        <v>162</v>
      </c>
      <c r="H180" s="9">
        <v>10</v>
      </c>
      <c r="I180" s="7" t="s">
        <v>79</v>
      </c>
      <c r="J180" s="7">
        <v>999</v>
      </c>
      <c r="K180" s="8">
        <v>2002</v>
      </c>
    </row>
    <row r="181" spans="1:11" x14ac:dyDescent="0.35">
      <c r="A181" s="21" t="str">
        <f t="shared" si="2"/>
        <v>2002N - MANAUS                         10</v>
      </c>
      <c r="B181" t="s">
        <v>77</v>
      </c>
      <c r="C181" s="4">
        <v>264</v>
      </c>
      <c r="D181" t="s">
        <v>65</v>
      </c>
      <c r="G181" t="s">
        <v>162</v>
      </c>
      <c r="H181" s="9">
        <v>10</v>
      </c>
      <c r="I181" s="7" t="s">
        <v>79</v>
      </c>
      <c r="J181" s="7">
        <v>999</v>
      </c>
      <c r="K181" s="8">
        <v>2002</v>
      </c>
    </row>
    <row r="182" spans="1:11" x14ac:dyDescent="0.35">
      <c r="A182" s="21" t="str">
        <f t="shared" si="2"/>
        <v>2002NE - ARACAJU/MACEIO                10</v>
      </c>
      <c r="B182" t="s">
        <v>77</v>
      </c>
      <c r="C182" s="4">
        <v>352</v>
      </c>
      <c r="D182" t="s">
        <v>171</v>
      </c>
      <c r="G182" t="s">
        <v>162</v>
      </c>
      <c r="H182" s="9">
        <v>10</v>
      </c>
      <c r="I182" s="7" t="s">
        <v>79</v>
      </c>
      <c r="J182" s="7">
        <v>999</v>
      </c>
      <c r="K182" s="8">
        <v>2002</v>
      </c>
    </row>
    <row r="183" spans="1:11" x14ac:dyDescent="0.35">
      <c r="A183" s="21" t="str">
        <f t="shared" si="2"/>
        <v>2002NE - ATNP ARACAJU10</v>
      </c>
      <c r="B183" t="s">
        <v>77</v>
      </c>
      <c r="C183" s="4">
        <v>155</v>
      </c>
      <c r="D183" s="9" t="s">
        <v>66</v>
      </c>
      <c r="G183" t="s">
        <v>162</v>
      </c>
      <c r="H183" s="9">
        <v>10</v>
      </c>
      <c r="I183" s="7" t="s">
        <v>79</v>
      </c>
      <c r="J183" s="7">
        <v>999</v>
      </c>
      <c r="K183" s="8">
        <v>2002</v>
      </c>
    </row>
    <row r="184" spans="1:11" x14ac:dyDescent="0.35">
      <c r="A184" s="21" t="str">
        <f t="shared" si="2"/>
        <v>2002NE - ATNP RECIFE                   10</v>
      </c>
      <c r="B184" t="s">
        <v>77</v>
      </c>
      <c r="C184" s="4">
        <v>174</v>
      </c>
      <c r="D184" t="s">
        <v>67</v>
      </c>
      <c r="G184" t="s">
        <v>162</v>
      </c>
      <c r="H184" s="9">
        <v>10</v>
      </c>
      <c r="I184" s="7" t="s">
        <v>79</v>
      </c>
      <c r="J184" s="7">
        <v>999</v>
      </c>
      <c r="K184" s="8">
        <v>2002</v>
      </c>
    </row>
    <row r="185" spans="1:11" x14ac:dyDescent="0.35">
      <c r="A185" s="21" t="str">
        <f t="shared" si="2"/>
        <v>2002NE - ATNP SALVADOR                 10</v>
      </c>
      <c r="B185" t="s">
        <v>77</v>
      </c>
      <c r="C185" s="4">
        <v>181</v>
      </c>
      <c r="D185" t="s">
        <v>68</v>
      </c>
      <c r="G185" t="s">
        <v>162</v>
      </c>
      <c r="H185" s="9">
        <v>10</v>
      </c>
      <c r="I185" s="7" t="s">
        <v>79</v>
      </c>
      <c r="J185" s="7">
        <v>999</v>
      </c>
      <c r="K185" s="8">
        <v>2002</v>
      </c>
    </row>
    <row r="186" spans="1:11" x14ac:dyDescent="0.35">
      <c r="A186" s="21" t="str">
        <f t="shared" si="2"/>
        <v>2002NE - BAHIA                         10</v>
      </c>
      <c r="B186" t="s">
        <v>77</v>
      </c>
      <c r="C186" s="4">
        <v>260</v>
      </c>
      <c r="D186" t="s">
        <v>69</v>
      </c>
      <c r="G186" t="s">
        <v>162</v>
      </c>
      <c r="H186" s="9">
        <v>10</v>
      </c>
      <c r="I186" s="7" t="s">
        <v>79</v>
      </c>
      <c r="J186" s="7">
        <v>999</v>
      </c>
      <c r="K186" s="8">
        <v>2002</v>
      </c>
    </row>
    <row r="187" spans="1:11" x14ac:dyDescent="0.35">
      <c r="A187" s="21" t="str">
        <f t="shared" si="2"/>
        <v>2002NE - FORTALEZA                     10</v>
      </c>
      <c r="B187" t="s">
        <v>77</v>
      </c>
      <c r="C187" s="4">
        <v>43</v>
      </c>
      <c r="D187" t="s">
        <v>70</v>
      </c>
      <c r="G187" t="s">
        <v>162</v>
      </c>
      <c r="H187" s="9">
        <v>10</v>
      </c>
      <c r="I187" s="7" t="s">
        <v>79</v>
      </c>
      <c r="J187" s="7">
        <v>999</v>
      </c>
      <c r="K187" s="8">
        <v>2002</v>
      </c>
    </row>
    <row r="188" spans="1:11" x14ac:dyDescent="0.35">
      <c r="A188" s="21" t="str">
        <f t="shared" si="2"/>
        <v>2002NE - JOAO PESSOA                   10</v>
      </c>
      <c r="B188" t="s">
        <v>77</v>
      </c>
      <c r="C188" s="4">
        <v>245</v>
      </c>
      <c r="D188" t="s">
        <v>156</v>
      </c>
      <c r="G188" t="s">
        <v>162</v>
      </c>
      <c r="H188" s="9">
        <v>10</v>
      </c>
      <c r="I188" s="7" t="s">
        <v>79</v>
      </c>
      <c r="J188" s="7">
        <v>999</v>
      </c>
      <c r="K188" s="8">
        <v>2002</v>
      </c>
    </row>
    <row r="189" spans="1:11" x14ac:dyDescent="0.35">
      <c r="A189" s="21" t="str">
        <f t="shared" si="2"/>
        <v>2002NE - NATAL                         10</v>
      </c>
      <c r="B189" t="s">
        <v>77</v>
      </c>
      <c r="C189" s="4">
        <v>236</v>
      </c>
      <c r="D189" t="s">
        <v>71</v>
      </c>
      <c r="G189" t="s">
        <v>162</v>
      </c>
      <c r="H189" s="9">
        <v>10</v>
      </c>
      <c r="I189" s="7" t="s">
        <v>79</v>
      </c>
      <c r="J189" s="7">
        <v>999</v>
      </c>
      <c r="K189" s="8">
        <v>2002</v>
      </c>
    </row>
    <row r="190" spans="1:11" x14ac:dyDescent="0.35">
      <c r="A190" s="21" t="str">
        <f t="shared" si="2"/>
        <v>2002NE - PERNAMBUCO                    10</v>
      </c>
      <c r="B190" t="s">
        <v>77</v>
      </c>
      <c r="C190" s="4">
        <v>233</v>
      </c>
      <c r="D190" t="s">
        <v>72</v>
      </c>
      <c r="G190" t="s">
        <v>162</v>
      </c>
      <c r="H190" s="9">
        <v>10</v>
      </c>
      <c r="I190" s="7" t="s">
        <v>79</v>
      </c>
      <c r="J190" s="7">
        <v>999</v>
      </c>
      <c r="K190" s="8">
        <v>2002</v>
      </c>
    </row>
    <row r="191" spans="1:11" x14ac:dyDescent="0.35">
      <c r="A191" s="21" t="str">
        <f t="shared" si="2"/>
        <v>2002NE - RECIFE                        10</v>
      </c>
      <c r="B191" t="s">
        <v>77</v>
      </c>
      <c r="C191" s="4">
        <v>34</v>
      </c>
      <c r="D191" t="s">
        <v>73</v>
      </c>
      <c r="G191" t="s">
        <v>162</v>
      </c>
      <c r="H191" s="9">
        <v>10</v>
      </c>
      <c r="I191" s="7" t="s">
        <v>79</v>
      </c>
      <c r="J191" s="7">
        <v>999</v>
      </c>
      <c r="K191" s="8">
        <v>2002</v>
      </c>
    </row>
    <row r="192" spans="1:11" x14ac:dyDescent="0.35">
      <c r="A192" s="21" t="str">
        <f t="shared" si="2"/>
        <v>2002NE - SALVADOR                      10</v>
      </c>
      <c r="B192" t="s">
        <v>77</v>
      </c>
      <c r="C192" s="4">
        <v>44</v>
      </c>
      <c r="D192" t="s">
        <v>74</v>
      </c>
      <c r="G192" t="s">
        <v>162</v>
      </c>
      <c r="H192" s="9">
        <v>10</v>
      </c>
      <c r="I192" s="7" t="s">
        <v>79</v>
      </c>
      <c r="J192" s="7">
        <v>999</v>
      </c>
      <c r="K192" s="8">
        <v>2002</v>
      </c>
    </row>
    <row r="193" spans="1:11" x14ac:dyDescent="0.35">
      <c r="A193" s="21" t="str">
        <f t="shared" si="2"/>
        <v>2002NE - SAO LUIS                      10</v>
      </c>
      <c r="B193" t="s">
        <v>77</v>
      </c>
      <c r="C193" s="4">
        <v>229</v>
      </c>
      <c r="D193" t="s">
        <v>158</v>
      </c>
      <c r="G193" t="s">
        <v>162</v>
      </c>
      <c r="H193" s="9">
        <v>10</v>
      </c>
      <c r="I193" s="7" t="s">
        <v>79</v>
      </c>
      <c r="J193" s="7">
        <v>999</v>
      </c>
      <c r="K193" s="8">
        <v>2002</v>
      </c>
    </row>
    <row r="194" spans="1:11" x14ac:dyDescent="0.35">
      <c r="A194" s="21" t="str">
        <f t="shared" ref="A194:A257" si="3">K194&amp;D194&amp;H194</f>
        <v>2002NE - TERESINA10</v>
      </c>
      <c r="B194" t="s">
        <v>77</v>
      </c>
      <c r="C194" s="4">
        <v>350</v>
      </c>
      <c r="D194" s="9" t="s">
        <v>75</v>
      </c>
      <c r="G194" t="s">
        <v>162</v>
      </c>
      <c r="H194" s="9">
        <v>10</v>
      </c>
      <c r="I194" s="7" t="s">
        <v>79</v>
      </c>
      <c r="J194" s="7">
        <v>999</v>
      </c>
      <c r="K194" s="8">
        <v>2002</v>
      </c>
    </row>
    <row r="195" spans="1:11" x14ac:dyDescent="0.35">
      <c r="A195" s="21" t="str">
        <f t="shared" si="3"/>
        <v>2002RUN-OFF - N/NE10</v>
      </c>
      <c r="B195" t="s">
        <v>77</v>
      </c>
      <c r="C195" s="4">
        <v>0</v>
      </c>
      <c r="D195" s="9" t="s">
        <v>76</v>
      </c>
      <c r="G195" t="s">
        <v>162</v>
      </c>
      <c r="H195" s="9">
        <v>10</v>
      </c>
      <c r="I195" s="7" t="s">
        <v>79</v>
      </c>
      <c r="J195" s="7">
        <v>999</v>
      </c>
      <c r="K195" s="8">
        <v>2002</v>
      </c>
    </row>
    <row r="196" spans="1:11" x14ac:dyDescent="0.35">
      <c r="A196" s="21" t="str">
        <f t="shared" si="3"/>
        <v>2024N - ATNP BELEM                     24</v>
      </c>
      <c r="B196" t="s">
        <v>77</v>
      </c>
      <c r="C196">
        <v>175</v>
      </c>
      <c r="D196" t="s">
        <v>155</v>
      </c>
      <c r="G196" t="s">
        <v>162</v>
      </c>
      <c r="H196">
        <v>24</v>
      </c>
      <c r="I196" s="10" t="s">
        <v>80</v>
      </c>
      <c r="J196" s="10">
        <v>1018</v>
      </c>
      <c r="K196">
        <v>2024</v>
      </c>
    </row>
    <row r="197" spans="1:11" x14ac:dyDescent="0.35">
      <c r="A197" s="21" t="str">
        <f t="shared" si="3"/>
        <v>2024N - BELEM/ASSESSORIAS              24</v>
      </c>
      <c r="B197" t="s">
        <v>77</v>
      </c>
      <c r="C197">
        <v>47</v>
      </c>
      <c r="D197" s="18" t="s">
        <v>183</v>
      </c>
      <c r="G197" t="s">
        <v>162</v>
      </c>
      <c r="H197">
        <v>24</v>
      </c>
      <c r="I197" s="10" t="s">
        <v>80</v>
      </c>
      <c r="J197" s="10">
        <v>1018</v>
      </c>
      <c r="K197">
        <v>2024</v>
      </c>
    </row>
    <row r="198" spans="1:11" x14ac:dyDescent="0.35">
      <c r="A198" s="21" t="str">
        <f t="shared" si="3"/>
        <v>2024N - MANAUS                         24</v>
      </c>
      <c r="B198" t="s">
        <v>77</v>
      </c>
      <c r="C198" s="4">
        <v>264</v>
      </c>
      <c r="D198" t="s">
        <v>65</v>
      </c>
      <c r="G198" t="s">
        <v>162</v>
      </c>
      <c r="H198">
        <v>24</v>
      </c>
      <c r="I198" s="10" t="s">
        <v>80</v>
      </c>
      <c r="J198" s="10">
        <v>1018</v>
      </c>
      <c r="K198">
        <v>2024</v>
      </c>
    </row>
    <row r="199" spans="1:11" x14ac:dyDescent="0.35">
      <c r="A199" s="21" t="str">
        <f t="shared" si="3"/>
        <v>2024NE - ARACAJU/MACEIO                24</v>
      </c>
      <c r="B199" t="s">
        <v>77</v>
      </c>
      <c r="C199" s="4">
        <v>352</v>
      </c>
      <c r="D199" t="s">
        <v>171</v>
      </c>
      <c r="G199" t="s">
        <v>162</v>
      </c>
      <c r="H199">
        <v>24</v>
      </c>
      <c r="I199" s="10" t="s">
        <v>80</v>
      </c>
      <c r="J199" s="10">
        <v>1018</v>
      </c>
      <c r="K199">
        <v>2024</v>
      </c>
    </row>
    <row r="200" spans="1:11" x14ac:dyDescent="0.35">
      <c r="A200" s="21" t="str">
        <f t="shared" si="3"/>
        <v>2024NE - ATNP ARACAJU24</v>
      </c>
      <c r="B200" t="s">
        <v>77</v>
      </c>
      <c r="C200" s="4">
        <v>155</v>
      </c>
      <c r="D200" s="9" t="s">
        <v>66</v>
      </c>
      <c r="G200" t="s">
        <v>162</v>
      </c>
      <c r="H200">
        <v>24</v>
      </c>
      <c r="I200" s="10" t="s">
        <v>80</v>
      </c>
      <c r="J200" s="10">
        <v>1018</v>
      </c>
      <c r="K200">
        <v>2024</v>
      </c>
    </row>
    <row r="201" spans="1:11" x14ac:dyDescent="0.35">
      <c r="A201" s="21" t="str">
        <f t="shared" si="3"/>
        <v>2024NE - ATNP RECIFE                   24</v>
      </c>
      <c r="B201" t="s">
        <v>77</v>
      </c>
      <c r="C201" s="4">
        <v>174</v>
      </c>
      <c r="D201" t="s">
        <v>67</v>
      </c>
      <c r="G201" t="s">
        <v>162</v>
      </c>
      <c r="H201">
        <v>24</v>
      </c>
      <c r="I201" s="10" t="s">
        <v>80</v>
      </c>
      <c r="J201" s="10">
        <v>1018</v>
      </c>
      <c r="K201">
        <v>2024</v>
      </c>
    </row>
    <row r="202" spans="1:11" x14ac:dyDescent="0.35">
      <c r="A202" s="21" t="str">
        <f t="shared" si="3"/>
        <v>2024NE - ATNP SALVADOR                 24</v>
      </c>
      <c r="B202" t="s">
        <v>77</v>
      </c>
      <c r="C202" s="4">
        <v>181</v>
      </c>
      <c r="D202" t="s">
        <v>68</v>
      </c>
      <c r="G202" t="s">
        <v>162</v>
      </c>
      <c r="H202">
        <v>24</v>
      </c>
      <c r="I202" s="10" t="s">
        <v>80</v>
      </c>
      <c r="J202" s="10">
        <v>1018</v>
      </c>
      <c r="K202">
        <v>2024</v>
      </c>
    </row>
    <row r="203" spans="1:11" x14ac:dyDescent="0.35">
      <c r="A203" s="21" t="str">
        <f t="shared" si="3"/>
        <v>2024NE - BAHIA                         24</v>
      </c>
      <c r="B203" t="s">
        <v>77</v>
      </c>
      <c r="C203" s="4">
        <v>260</v>
      </c>
      <c r="D203" t="s">
        <v>69</v>
      </c>
      <c r="G203" t="s">
        <v>162</v>
      </c>
      <c r="H203">
        <v>24</v>
      </c>
      <c r="I203" s="10" t="s">
        <v>80</v>
      </c>
      <c r="J203" s="10">
        <v>1018</v>
      </c>
      <c r="K203">
        <v>2024</v>
      </c>
    </row>
    <row r="204" spans="1:11" x14ac:dyDescent="0.35">
      <c r="A204" s="21" t="str">
        <f t="shared" si="3"/>
        <v>2024NE - FORTALEZA                     24</v>
      </c>
      <c r="B204" t="s">
        <v>77</v>
      </c>
      <c r="C204" s="4">
        <v>43</v>
      </c>
      <c r="D204" t="s">
        <v>70</v>
      </c>
      <c r="G204" t="s">
        <v>162</v>
      </c>
      <c r="H204">
        <v>24</v>
      </c>
      <c r="I204" s="10" t="s">
        <v>80</v>
      </c>
      <c r="J204" s="10">
        <v>1018</v>
      </c>
      <c r="K204">
        <v>2024</v>
      </c>
    </row>
    <row r="205" spans="1:11" x14ac:dyDescent="0.35">
      <c r="A205" s="21" t="str">
        <f t="shared" si="3"/>
        <v>2024NE - JOAO PESSOA                   24</v>
      </c>
      <c r="B205" t="s">
        <v>77</v>
      </c>
      <c r="C205" s="4">
        <v>245</v>
      </c>
      <c r="D205" t="s">
        <v>156</v>
      </c>
      <c r="G205" t="s">
        <v>162</v>
      </c>
      <c r="H205">
        <v>24</v>
      </c>
      <c r="I205" s="10" t="s">
        <v>80</v>
      </c>
      <c r="J205" s="10">
        <v>1018</v>
      </c>
      <c r="K205">
        <v>2024</v>
      </c>
    </row>
    <row r="206" spans="1:11" x14ac:dyDescent="0.35">
      <c r="A206" s="21" t="str">
        <f t="shared" si="3"/>
        <v>2024NE - NATAL                         24</v>
      </c>
      <c r="B206" t="s">
        <v>77</v>
      </c>
      <c r="C206" s="4">
        <v>236</v>
      </c>
      <c r="D206" t="s">
        <v>71</v>
      </c>
      <c r="G206" t="s">
        <v>162</v>
      </c>
      <c r="H206">
        <v>24</v>
      </c>
      <c r="I206" s="10" t="s">
        <v>80</v>
      </c>
      <c r="J206" s="10">
        <v>1018</v>
      </c>
      <c r="K206">
        <v>2024</v>
      </c>
    </row>
    <row r="207" spans="1:11" x14ac:dyDescent="0.35">
      <c r="A207" s="21" t="str">
        <f t="shared" si="3"/>
        <v>2024NE - PERNAMBUCO                    24</v>
      </c>
      <c r="B207" t="s">
        <v>77</v>
      </c>
      <c r="C207" s="4">
        <v>233</v>
      </c>
      <c r="D207" t="s">
        <v>72</v>
      </c>
      <c r="G207" t="s">
        <v>162</v>
      </c>
      <c r="H207">
        <v>24</v>
      </c>
      <c r="I207" s="10" t="s">
        <v>80</v>
      </c>
      <c r="J207" s="10">
        <v>1018</v>
      </c>
      <c r="K207">
        <v>2024</v>
      </c>
    </row>
    <row r="208" spans="1:11" x14ac:dyDescent="0.35">
      <c r="A208" s="21" t="str">
        <f t="shared" si="3"/>
        <v>2024NE - RECIFE                        24</v>
      </c>
      <c r="B208" t="s">
        <v>77</v>
      </c>
      <c r="C208" s="4">
        <v>34</v>
      </c>
      <c r="D208" t="s">
        <v>73</v>
      </c>
      <c r="G208" t="s">
        <v>162</v>
      </c>
      <c r="H208">
        <v>24</v>
      </c>
      <c r="I208" s="10" t="s">
        <v>80</v>
      </c>
      <c r="J208" s="10">
        <v>1018</v>
      </c>
      <c r="K208">
        <v>2024</v>
      </c>
    </row>
    <row r="209" spans="1:11" x14ac:dyDescent="0.35">
      <c r="A209" s="21" t="str">
        <f t="shared" si="3"/>
        <v>2024NE - SALVADOR                      24</v>
      </c>
      <c r="B209" t="s">
        <v>77</v>
      </c>
      <c r="C209" s="4">
        <v>44</v>
      </c>
      <c r="D209" t="s">
        <v>74</v>
      </c>
      <c r="G209" t="s">
        <v>162</v>
      </c>
      <c r="H209">
        <v>24</v>
      </c>
      <c r="I209" s="10" t="s">
        <v>80</v>
      </c>
      <c r="J209" s="10">
        <v>1018</v>
      </c>
      <c r="K209">
        <v>2024</v>
      </c>
    </row>
    <row r="210" spans="1:11" x14ac:dyDescent="0.35">
      <c r="A210" s="21" t="str">
        <f t="shared" si="3"/>
        <v>2024NE - SAO LUIS                      24</v>
      </c>
      <c r="B210" t="s">
        <v>77</v>
      </c>
      <c r="C210" s="4">
        <v>229</v>
      </c>
      <c r="D210" t="s">
        <v>158</v>
      </c>
      <c r="G210" t="s">
        <v>162</v>
      </c>
      <c r="H210">
        <v>24</v>
      </c>
      <c r="I210" s="10" t="s">
        <v>80</v>
      </c>
      <c r="J210" s="10">
        <v>1018</v>
      </c>
      <c r="K210">
        <v>2024</v>
      </c>
    </row>
    <row r="211" spans="1:11" x14ac:dyDescent="0.35">
      <c r="A211" s="21" t="str">
        <f t="shared" si="3"/>
        <v>2024NE - TERESINA24</v>
      </c>
      <c r="B211" t="s">
        <v>77</v>
      </c>
      <c r="C211" s="4">
        <v>350</v>
      </c>
      <c r="D211" s="9" t="s">
        <v>75</v>
      </c>
      <c r="G211" t="s">
        <v>162</v>
      </c>
      <c r="H211">
        <v>24</v>
      </c>
      <c r="I211" s="10" t="s">
        <v>80</v>
      </c>
      <c r="J211" s="10">
        <v>1018</v>
      </c>
      <c r="K211">
        <v>2024</v>
      </c>
    </row>
    <row r="212" spans="1:11" x14ac:dyDescent="0.35">
      <c r="A212" s="21" t="str">
        <f t="shared" si="3"/>
        <v>2024RUN-OFF - N/NE24</v>
      </c>
      <c r="B212" t="s">
        <v>77</v>
      </c>
      <c r="C212" s="4">
        <v>0</v>
      </c>
      <c r="D212" s="9" t="s">
        <v>76</v>
      </c>
      <c r="G212" t="s">
        <v>162</v>
      </c>
      <c r="H212">
        <v>24</v>
      </c>
      <c r="I212" s="10" t="s">
        <v>80</v>
      </c>
      <c r="J212" s="10">
        <v>1018</v>
      </c>
      <c r="K212">
        <v>2024</v>
      </c>
    </row>
    <row r="213" spans="1:11" x14ac:dyDescent="0.35">
      <c r="A213" s="21" t="str">
        <f t="shared" si="3"/>
        <v>2024N - ATNP BELEM                     22</v>
      </c>
      <c r="B213" t="s">
        <v>77</v>
      </c>
      <c r="C213">
        <v>175</v>
      </c>
      <c r="D213" t="s">
        <v>155</v>
      </c>
      <c r="G213" t="s">
        <v>162</v>
      </c>
      <c r="H213" s="9">
        <v>22</v>
      </c>
      <c r="I213" s="10" t="s">
        <v>81</v>
      </c>
      <c r="J213" s="10">
        <v>1019</v>
      </c>
      <c r="K213">
        <v>2024</v>
      </c>
    </row>
    <row r="214" spans="1:11" x14ac:dyDescent="0.35">
      <c r="A214" s="21" t="str">
        <f t="shared" si="3"/>
        <v>2024N - BELEM/ASSESSORIAS              22</v>
      </c>
      <c r="B214" t="s">
        <v>77</v>
      </c>
      <c r="C214">
        <v>47</v>
      </c>
      <c r="D214" s="18" t="s">
        <v>183</v>
      </c>
      <c r="G214" t="s">
        <v>162</v>
      </c>
      <c r="H214" s="9">
        <v>22</v>
      </c>
      <c r="I214" s="10" t="s">
        <v>81</v>
      </c>
      <c r="J214" s="10">
        <v>1019</v>
      </c>
      <c r="K214">
        <v>2024</v>
      </c>
    </row>
    <row r="215" spans="1:11" x14ac:dyDescent="0.35">
      <c r="A215" s="21" t="str">
        <f t="shared" si="3"/>
        <v>2024N - MANAUS                         22</v>
      </c>
      <c r="B215" t="s">
        <v>77</v>
      </c>
      <c r="C215" s="4">
        <v>264</v>
      </c>
      <c r="D215" t="s">
        <v>65</v>
      </c>
      <c r="G215" t="s">
        <v>162</v>
      </c>
      <c r="H215" s="9">
        <v>22</v>
      </c>
      <c r="I215" s="10" t="s">
        <v>81</v>
      </c>
      <c r="J215" s="10">
        <v>1019</v>
      </c>
      <c r="K215">
        <v>2024</v>
      </c>
    </row>
    <row r="216" spans="1:11" x14ac:dyDescent="0.35">
      <c r="A216" s="21" t="str">
        <f t="shared" si="3"/>
        <v>2024NE - ARACAJU/MACEIO                22</v>
      </c>
      <c r="B216" t="s">
        <v>77</v>
      </c>
      <c r="C216" s="4">
        <v>352</v>
      </c>
      <c r="D216" t="s">
        <v>171</v>
      </c>
      <c r="G216" t="s">
        <v>162</v>
      </c>
      <c r="H216" s="9">
        <v>22</v>
      </c>
      <c r="I216" s="10" t="s">
        <v>81</v>
      </c>
      <c r="J216" s="10">
        <v>1019</v>
      </c>
      <c r="K216">
        <v>2024</v>
      </c>
    </row>
    <row r="217" spans="1:11" x14ac:dyDescent="0.35">
      <c r="A217" s="21" t="str">
        <f t="shared" si="3"/>
        <v>2024NE - ATNP ARACAJU22</v>
      </c>
      <c r="B217" t="s">
        <v>77</v>
      </c>
      <c r="C217" s="4">
        <v>155</v>
      </c>
      <c r="D217" s="9" t="s">
        <v>66</v>
      </c>
      <c r="G217" t="s">
        <v>162</v>
      </c>
      <c r="H217" s="9">
        <v>22</v>
      </c>
      <c r="I217" s="10" t="s">
        <v>81</v>
      </c>
      <c r="J217" s="10">
        <v>1019</v>
      </c>
      <c r="K217">
        <v>2024</v>
      </c>
    </row>
    <row r="218" spans="1:11" x14ac:dyDescent="0.35">
      <c r="A218" s="21" t="str">
        <f t="shared" si="3"/>
        <v>2024NE - ATNP RECIFE                   22</v>
      </c>
      <c r="B218" t="s">
        <v>77</v>
      </c>
      <c r="C218" s="4">
        <v>174</v>
      </c>
      <c r="D218" t="s">
        <v>67</v>
      </c>
      <c r="G218" t="s">
        <v>162</v>
      </c>
      <c r="H218" s="9">
        <v>22</v>
      </c>
      <c r="I218" s="10" t="s">
        <v>81</v>
      </c>
      <c r="J218" s="10">
        <v>1019</v>
      </c>
      <c r="K218">
        <v>2024</v>
      </c>
    </row>
    <row r="219" spans="1:11" x14ac:dyDescent="0.35">
      <c r="A219" s="21" t="str">
        <f t="shared" si="3"/>
        <v>2024NE - ATNP SALVADOR                 22</v>
      </c>
      <c r="B219" t="s">
        <v>77</v>
      </c>
      <c r="C219" s="4">
        <v>181</v>
      </c>
      <c r="D219" t="s">
        <v>68</v>
      </c>
      <c r="G219" t="s">
        <v>162</v>
      </c>
      <c r="H219" s="9">
        <v>22</v>
      </c>
      <c r="I219" s="10" t="s">
        <v>81</v>
      </c>
      <c r="J219" s="10">
        <v>1019</v>
      </c>
      <c r="K219">
        <v>2024</v>
      </c>
    </row>
    <row r="220" spans="1:11" x14ac:dyDescent="0.35">
      <c r="A220" s="21" t="str">
        <f t="shared" si="3"/>
        <v>2024NE - BAHIA                         22</v>
      </c>
      <c r="B220" t="s">
        <v>77</v>
      </c>
      <c r="C220" s="4">
        <v>260</v>
      </c>
      <c r="D220" t="s">
        <v>69</v>
      </c>
      <c r="G220" t="s">
        <v>162</v>
      </c>
      <c r="H220" s="9">
        <v>22</v>
      </c>
      <c r="I220" s="10" t="s">
        <v>81</v>
      </c>
      <c r="J220" s="10">
        <v>1019</v>
      </c>
      <c r="K220">
        <v>2024</v>
      </c>
    </row>
    <row r="221" spans="1:11" x14ac:dyDescent="0.35">
      <c r="A221" s="21" t="str">
        <f t="shared" si="3"/>
        <v>2024NE - FORTALEZA                     22</v>
      </c>
      <c r="B221" t="s">
        <v>77</v>
      </c>
      <c r="C221" s="4">
        <v>43</v>
      </c>
      <c r="D221" t="s">
        <v>70</v>
      </c>
      <c r="G221" t="s">
        <v>162</v>
      </c>
      <c r="H221" s="9">
        <v>22</v>
      </c>
      <c r="I221" s="10" t="s">
        <v>81</v>
      </c>
      <c r="J221" s="10">
        <v>1019</v>
      </c>
      <c r="K221">
        <v>2024</v>
      </c>
    </row>
    <row r="222" spans="1:11" x14ac:dyDescent="0.35">
      <c r="A222" s="21" t="str">
        <f t="shared" si="3"/>
        <v>2024NE - JOAO PESSOA                   22</v>
      </c>
      <c r="B222" t="s">
        <v>77</v>
      </c>
      <c r="C222" s="4">
        <v>245</v>
      </c>
      <c r="D222" t="s">
        <v>156</v>
      </c>
      <c r="G222" t="s">
        <v>162</v>
      </c>
      <c r="H222" s="9">
        <v>22</v>
      </c>
      <c r="I222" s="10" t="s">
        <v>81</v>
      </c>
      <c r="J222" s="10">
        <v>1019</v>
      </c>
      <c r="K222">
        <v>2024</v>
      </c>
    </row>
    <row r="223" spans="1:11" x14ac:dyDescent="0.35">
      <c r="A223" s="21" t="str">
        <f t="shared" si="3"/>
        <v>2024NE - NATAL                         22</v>
      </c>
      <c r="B223" t="s">
        <v>77</v>
      </c>
      <c r="C223" s="4">
        <v>236</v>
      </c>
      <c r="D223" t="s">
        <v>71</v>
      </c>
      <c r="G223" t="s">
        <v>162</v>
      </c>
      <c r="H223" s="9">
        <v>22</v>
      </c>
      <c r="I223" s="10" t="s">
        <v>81</v>
      </c>
      <c r="J223" s="10">
        <v>1019</v>
      </c>
      <c r="K223">
        <v>2024</v>
      </c>
    </row>
    <row r="224" spans="1:11" x14ac:dyDescent="0.35">
      <c r="A224" s="21" t="str">
        <f t="shared" si="3"/>
        <v>2024NE - PERNAMBUCO                    22</v>
      </c>
      <c r="B224" t="s">
        <v>77</v>
      </c>
      <c r="C224" s="4">
        <v>233</v>
      </c>
      <c r="D224" t="s">
        <v>72</v>
      </c>
      <c r="G224" t="s">
        <v>162</v>
      </c>
      <c r="H224" s="9">
        <v>22</v>
      </c>
      <c r="I224" s="10" t="s">
        <v>81</v>
      </c>
      <c r="J224" s="10">
        <v>1019</v>
      </c>
      <c r="K224">
        <v>2024</v>
      </c>
    </row>
    <row r="225" spans="1:11" x14ac:dyDescent="0.35">
      <c r="A225" s="21" t="str">
        <f t="shared" si="3"/>
        <v>2024NE - RECIFE                        22</v>
      </c>
      <c r="B225" t="s">
        <v>77</v>
      </c>
      <c r="C225" s="4">
        <v>34</v>
      </c>
      <c r="D225" t="s">
        <v>73</v>
      </c>
      <c r="G225" t="s">
        <v>162</v>
      </c>
      <c r="H225" s="9">
        <v>22</v>
      </c>
      <c r="I225" s="10" t="s">
        <v>81</v>
      </c>
      <c r="J225" s="10">
        <v>1019</v>
      </c>
      <c r="K225">
        <v>2024</v>
      </c>
    </row>
    <row r="226" spans="1:11" x14ac:dyDescent="0.35">
      <c r="A226" s="21" t="str">
        <f t="shared" si="3"/>
        <v>2024NE - SALVADOR                      22</v>
      </c>
      <c r="B226" t="s">
        <v>77</v>
      </c>
      <c r="C226" s="4">
        <v>44</v>
      </c>
      <c r="D226" t="s">
        <v>74</v>
      </c>
      <c r="G226" t="s">
        <v>162</v>
      </c>
      <c r="H226" s="9">
        <v>22</v>
      </c>
      <c r="I226" s="10" t="s">
        <v>81</v>
      </c>
      <c r="J226" s="10">
        <v>1019</v>
      </c>
      <c r="K226">
        <v>2024</v>
      </c>
    </row>
    <row r="227" spans="1:11" x14ac:dyDescent="0.35">
      <c r="A227" s="21" t="str">
        <f t="shared" si="3"/>
        <v>2024NE - SAO LUIS                      22</v>
      </c>
      <c r="B227" t="s">
        <v>77</v>
      </c>
      <c r="C227" s="4">
        <v>229</v>
      </c>
      <c r="D227" t="s">
        <v>158</v>
      </c>
      <c r="G227" t="s">
        <v>162</v>
      </c>
      <c r="H227" s="9">
        <v>22</v>
      </c>
      <c r="I227" s="10" t="s">
        <v>81</v>
      </c>
      <c r="J227" s="10">
        <v>1019</v>
      </c>
      <c r="K227">
        <v>2024</v>
      </c>
    </row>
    <row r="228" spans="1:11" x14ac:dyDescent="0.35">
      <c r="A228" s="21" t="str">
        <f t="shared" si="3"/>
        <v>2024NE - TERESINA22</v>
      </c>
      <c r="B228" t="s">
        <v>77</v>
      </c>
      <c r="C228" s="4">
        <v>350</v>
      </c>
      <c r="D228" s="9" t="s">
        <v>75</v>
      </c>
      <c r="G228" t="s">
        <v>162</v>
      </c>
      <c r="H228" s="9">
        <v>22</v>
      </c>
      <c r="I228" s="10" t="s">
        <v>81</v>
      </c>
      <c r="J228" s="10">
        <v>1019</v>
      </c>
      <c r="K228">
        <v>2024</v>
      </c>
    </row>
    <row r="229" spans="1:11" x14ac:dyDescent="0.35">
      <c r="A229" s="21" t="str">
        <f t="shared" si="3"/>
        <v>2024RUN-OFF - N/NE22</v>
      </c>
      <c r="B229" t="s">
        <v>77</v>
      </c>
      <c r="C229" s="4">
        <v>0</v>
      </c>
      <c r="D229" s="9" t="s">
        <v>76</v>
      </c>
      <c r="G229" t="s">
        <v>162</v>
      </c>
      <c r="H229" s="9">
        <v>22</v>
      </c>
      <c r="I229" s="10" t="s">
        <v>81</v>
      </c>
      <c r="J229" s="10">
        <v>1019</v>
      </c>
      <c r="K229">
        <v>2024</v>
      </c>
    </row>
    <row r="230" spans="1:11" x14ac:dyDescent="0.35">
      <c r="A230" s="21" t="str">
        <f t="shared" si="3"/>
        <v>2024N - ATNP BELEM                     15</v>
      </c>
      <c r="B230" t="s">
        <v>77</v>
      </c>
      <c r="C230">
        <v>175</v>
      </c>
      <c r="D230" t="s">
        <v>155</v>
      </c>
      <c r="G230" t="s">
        <v>162</v>
      </c>
      <c r="H230" s="5">
        <v>15</v>
      </c>
      <c r="I230" s="10" t="s">
        <v>82</v>
      </c>
      <c r="J230" s="10">
        <v>1020</v>
      </c>
      <c r="K230">
        <v>2024</v>
      </c>
    </row>
    <row r="231" spans="1:11" x14ac:dyDescent="0.35">
      <c r="A231" s="21" t="str">
        <f t="shared" si="3"/>
        <v>2024N - BELEM/ASSESSORIAS              15</v>
      </c>
      <c r="B231" t="s">
        <v>77</v>
      </c>
      <c r="C231">
        <v>47</v>
      </c>
      <c r="D231" s="18" t="s">
        <v>183</v>
      </c>
      <c r="G231" t="s">
        <v>162</v>
      </c>
      <c r="H231" s="5">
        <v>15</v>
      </c>
      <c r="I231" s="10" t="s">
        <v>82</v>
      </c>
      <c r="J231" s="10">
        <v>1020</v>
      </c>
      <c r="K231">
        <v>2024</v>
      </c>
    </row>
    <row r="232" spans="1:11" x14ac:dyDescent="0.35">
      <c r="A232" s="21" t="str">
        <f t="shared" si="3"/>
        <v>2024N - MANAUS                         15</v>
      </c>
      <c r="B232" t="s">
        <v>77</v>
      </c>
      <c r="C232" s="4">
        <v>264</v>
      </c>
      <c r="D232" t="s">
        <v>65</v>
      </c>
      <c r="G232" t="s">
        <v>162</v>
      </c>
      <c r="H232" s="5">
        <v>15</v>
      </c>
      <c r="I232" s="10" t="s">
        <v>82</v>
      </c>
      <c r="J232" s="10">
        <v>1020</v>
      </c>
      <c r="K232">
        <v>2024</v>
      </c>
    </row>
    <row r="233" spans="1:11" x14ac:dyDescent="0.35">
      <c r="A233" s="21" t="str">
        <f t="shared" si="3"/>
        <v>2024NE - ARACAJU/MACEIO                15</v>
      </c>
      <c r="B233" t="s">
        <v>77</v>
      </c>
      <c r="C233" s="4">
        <v>352</v>
      </c>
      <c r="D233" t="s">
        <v>171</v>
      </c>
      <c r="G233" t="s">
        <v>162</v>
      </c>
      <c r="H233" s="5">
        <v>15</v>
      </c>
      <c r="I233" s="10" t="s">
        <v>82</v>
      </c>
      <c r="J233" s="10">
        <v>1020</v>
      </c>
      <c r="K233">
        <v>2024</v>
      </c>
    </row>
    <row r="234" spans="1:11" x14ac:dyDescent="0.35">
      <c r="A234" s="21" t="str">
        <f t="shared" si="3"/>
        <v>2024NE - ATNP ARACAJU15</v>
      </c>
      <c r="B234" t="s">
        <v>77</v>
      </c>
      <c r="C234" s="4">
        <v>155</v>
      </c>
      <c r="D234" s="9" t="s">
        <v>66</v>
      </c>
      <c r="G234" t="s">
        <v>162</v>
      </c>
      <c r="H234" s="5">
        <v>15</v>
      </c>
      <c r="I234" s="10" t="s">
        <v>82</v>
      </c>
      <c r="J234" s="10">
        <v>1020</v>
      </c>
      <c r="K234">
        <v>2024</v>
      </c>
    </row>
    <row r="235" spans="1:11" x14ac:dyDescent="0.35">
      <c r="A235" s="21" t="str">
        <f t="shared" si="3"/>
        <v>2024NE - ATNP RECIFE                   15</v>
      </c>
      <c r="B235" t="s">
        <v>77</v>
      </c>
      <c r="C235" s="4">
        <v>174</v>
      </c>
      <c r="D235" t="s">
        <v>67</v>
      </c>
      <c r="G235" t="s">
        <v>162</v>
      </c>
      <c r="H235" s="5">
        <v>15</v>
      </c>
      <c r="I235" s="10" t="s">
        <v>82</v>
      </c>
      <c r="J235" s="10">
        <v>1020</v>
      </c>
      <c r="K235">
        <v>2024</v>
      </c>
    </row>
    <row r="236" spans="1:11" x14ac:dyDescent="0.35">
      <c r="A236" s="21" t="str">
        <f t="shared" si="3"/>
        <v>2024NE - ATNP SALVADOR                 15</v>
      </c>
      <c r="B236" t="s">
        <v>77</v>
      </c>
      <c r="C236" s="4">
        <v>181</v>
      </c>
      <c r="D236" t="s">
        <v>68</v>
      </c>
      <c r="G236" t="s">
        <v>162</v>
      </c>
      <c r="H236" s="5">
        <v>15</v>
      </c>
      <c r="I236" s="10" t="s">
        <v>82</v>
      </c>
      <c r="J236" s="10">
        <v>1020</v>
      </c>
      <c r="K236">
        <v>2024</v>
      </c>
    </row>
    <row r="237" spans="1:11" x14ac:dyDescent="0.35">
      <c r="A237" s="21" t="str">
        <f t="shared" si="3"/>
        <v>2024NE - BAHIA                         15</v>
      </c>
      <c r="B237" t="s">
        <v>77</v>
      </c>
      <c r="C237" s="4">
        <v>260</v>
      </c>
      <c r="D237" t="s">
        <v>69</v>
      </c>
      <c r="G237" t="s">
        <v>162</v>
      </c>
      <c r="H237" s="5">
        <v>15</v>
      </c>
      <c r="I237" s="10" t="s">
        <v>82</v>
      </c>
      <c r="J237" s="10">
        <v>1020</v>
      </c>
      <c r="K237">
        <v>2024</v>
      </c>
    </row>
    <row r="238" spans="1:11" x14ac:dyDescent="0.35">
      <c r="A238" s="21" t="str">
        <f t="shared" si="3"/>
        <v>2024NE - FORTALEZA                     15</v>
      </c>
      <c r="B238" t="s">
        <v>77</v>
      </c>
      <c r="C238" s="4">
        <v>43</v>
      </c>
      <c r="D238" t="s">
        <v>70</v>
      </c>
      <c r="G238" t="s">
        <v>162</v>
      </c>
      <c r="H238" s="5">
        <v>15</v>
      </c>
      <c r="I238" s="10" t="s">
        <v>82</v>
      </c>
      <c r="J238" s="10">
        <v>1020</v>
      </c>
      <c r="K238">
        <v>2024</v>
      </c>
    </row>
    <row r="239" spans="1:11" x14ac:dyDescent="0.35">
      <c r="A239" s="21" t="str">
        <f t="shared" si="3"/>
        <v>2024NE - JOAO PESSOA                   15</v>
      </c>
      <c r="B239" t="s">
        <v>77</v>
      </c>
      <c r="C239" s="4">
        <v>245</v>
      </c>
      <c r="D239" t="s">
        <v>156</v>
      </c>
      <c r="G239" t="s">
        <v>162</v>
      </c>
      <c r="H239" s="5">
        <v>15</v>
      </c>
      <c r="I239" s="10" t="s">
        <v>82</v>
      </c>
      <c r="J239" s="10">
        <v>1020</v>
      </c>
      <c r="K239">
        <v>2024</v>
      </c>
    </row>
    <row r="240" spans="1:11" x14ac:dyDescent="0.35">
      <c r="A240" s="21" t="str">
        <f t="shared" si="3"/>
        <v>2024NE - NATAL                         15</v>
      </c>
      <c r="B240" t="s">
        <v>77</v>
      </c>
      <c r="C240" s="4">
        <v>236</v>
      </c>
      <c r="D240" t="s">
        <v>71</v>
      </c>
      <c r="G240" t="s">
        <v>162</v>
      </c>
      <c r="H240" s="5">
        <v>15</v>
      </c>
      <c r="I240" s="10" t="s">
        <v>82</v>
      </c>
      <c r="J240" s="10">
        <v>1020</v>
      </c>
      <c r="K240">
        <v>2024</v>
      </c>
    </row>
    <row r="241" spans="1:11" x14ac:dyDescent="0.35">
      <c r="A241" s="21" t="str">
        <f t="shared" si="3"/>
        <v>2024NE - PERNAMBUCO                    15</v>
      </c>
      <c r="B241" t="s">
        <v>77</v>
      </c>
      <c r="C241" s="4">
        <v>233</v>
      </c>
      <c r="D241" t="s">
        <v>72</v>
      </c>
      <c r="G241" t="s">
        <v>162</v>
      </c>
      <c r="H241" s="5">
        <v>15</v>
      </c>
      <c r="I241" s="10" t="s">
        <v>82</v>
      </c>
      <c r="J241" s="10">
        <v>1020</v>
      </c>
      <c r="K241">
        <v>2024</v>
      </c>
    </row>
    <row r="242" spans="1:11" x14ac:dyDescent="0.35">
      <c r="A242" s="21" t="str">
        <f t="shared" si="3"/>
        <v>2024NE - RECIFE                        15</v>
      </c>
      <c r="B242" t="s">
        <v>77</v>
      </c>
      <c r="C242" s="4">
        <v>34</v>
      </c>
      <c r="D242" t="s">
        <v>73</v>
      </c>
      <c r="G242" t="s">
        <v>162</v>
      </c>
      <c r="H242" s="5">
        <v>15</v>
      </c>
      <c r="I242" s="10" t="s">
        <v>82</v>
      </c>
      <c r="J242" s="10">
        <v>1020</v>
      </c>
      <c r="K242">
        <v>2024</v>
      </c>
    </row>
    <row r="243" spans="1:11" x14ac:dyDescent="0.35">
      <c r="A243" s="21" t="str">
        <f t="shared" si="3"/>
        <v>2024NE - SALVADOR                      15</v>
      </c>
      <c r="B243" t="s">
        <v>77</v>
      </c>
      <c r="C243" s="4">
        <v>44</v>
      </c>
      <c r="D243" t="s">
        <v>74</v>
      </c>
      <c r="G243" t="s">
        <v>162</v>
      </c>
      <c r="H243" s="5">
        <v>15</v>
      </c>
      <c r="I243" s="10" t="s">
        <v>82</v>
      </c>
      <c r="J243" s="10">
        <v>1020</v>
      </c>
      <c r="K243">
        <v>2024</v>
      </c>
    </row>
    <row r="244" spans="1:11" x14ac:dyDescent="0.35">
      <c r="A244" s="21" t="str">
        <f t="shared" si="3"/>
        <v>2024NE - SAO LUIS                      15</v>
      </c>
      <c r="B244" t="s">
        <v>77</v>
      </c>
      <c r="C244" s="4">
        <v>229</v>
      </c>
      <c r="D244" t="s">
        <v>158</v>
      </c>
      <c r="G244" t="s">
        <v>162</v>
      </c>
      <c r="H244" s="5">
        <v>15</v>
      </c>
      <c r="I244" s="10" t="s">
        <v>82</v>
      </c>
      <c r="J244" s="10">
        <v>1020</v>
      </c>
      <c r="K244">
        <v>2024</v>
      </c>
    </row>
    <row r="245" spans="1:11" x14ac:dyDescent="0.35">
      <c r="A245" s="21" t="str">
        <f t="shared" si="3"/>
        <v>2024NE - TERESINA15</v>
      </c>
      <c r="B245" t="s">
        <v>77</v>
      </c>
      <c r="C245" s="4">
        <v>350</v>
      </c>
      <c r="D245" s="9" t="s">
        <v>75</v>
      </c>
      <c r="G245" t="s">
        <v>162</v>
      </c>
      <c r="H245" s="5">
        <v>15</v>
      </c>
      <c r="I245" s="10" t="s">
        <v>82</v>
      </c>
      <c r="J245" s="10">
        <v>1020</v>
      </c>
      <c r="K245">
        <v>2024</v>
      </c>
    </row>
    <row r="246" spans="1:11" x14ac:dyDescent="0.35">
      <c r="A246" s="21" t="str">
        <f t="shared" si="3"/>
        <v>2024RUN-OFF - N/NE15</v>
      </c>
      <c r="B246" t="s">
        <v>77</v>
      </c>
      <c r="C246" s="4">
        <v>0</v>
      </c>
      <c r="D246" s="9" t="s">
        <v>76</v>
      </c>
      <c r="G246" t="s">
        <v>162</v>
      </c>
      <c r="H246" s="5">
        <v>15</v>
      </c>
      <c r="I246" s="10" t="s">
        <v>82</v>
      </c>
      <c r="J246" s="10">
        <v>1020</v>
      </c>
      <c r="K246">
        <v>2024</v>
      </c>
    </row>
    <row r="247" spans="1:11" x14ac:dyDescent="0.35">
      <c r="A247" s="21" t="str">
        <f t="shared" si="3"/>
        <v>2002ES - VITORIA                       20</v>
      </c>
      <c r="B247" t="s">
        <v>83</v>
      </c>
      <c r="C247">
        <v>218</v>
      </c>
      <c r="D247" t="s">
        <v>147</v>
      </c>
      <c r="G247" t="s">
        <v>162</v>
      </c>
      <c r="H247" s="5">
        <v>20</v>
      </c>
      <c r="I247" s="14" t="s">
        <v>89</v>
      </c>
      <c r="J247" s="7">
        <v>1010</v>
      </c>
      <c r="K247">
        <v>2002</v>
      </c>
    </row>
    <row r="248" spans="1:11" x14ac:dyDescent="0.35">
      <c r="A248" s="21" t="str">
        <f t="shared" si="3"/>
        <v>2002RJ - ASSESSORIAS                   20</v>
      </c>
      <c r="B248" t="s">
        <v>83</v>
      </c>
      <c r="C248">
        <v>298</v>
      </c>
      <c r="D248" t="s">
        <v>84</v>
      </c>
      <c r="G248" t="s">
        <v>162</v>
      </c>
      <c r="H248" s="5">
        <v>20</v>
      </c>
      <c r="I248" s="14" t="s">
        <v>89</v>
      </c>
      <c r="J248" s="7">
        <v>1010</v>
      </c>
      <c r="K248">
        <v>2002</v>
      </c>
    </row>
    <row r="249" spans="1:11" x14ac:dyDescent="0.35">
      <c r="A249" s="21" t="str">
        <f t="shared" si="3"/>
        <v>2002RJ - ATNP                          20</v>
      </c>
      <c r="B249" t="s">
        <v>83</v>
      </c>
      <c r="C249" s="4">
        <v>182</v>
      </c>
      <c r="D249" t="s">
        <v>167</v>
      </c>
      <c r="G249" t="s">
        <v>162</v>
      </c>
      <c r="H249" s="5">
        <v>20</v>
      </c>
      <c r="I249" s="14" t="s">
        <v>89</v>
      </c>
      <c r="J249" s="7">
        <v>1010</v>
      </c>
      <c r="K249">
        <v>2002</v>
      </c>
    </row>
    <row r="250" spans="1:11" x14ac:dyDescent="0.35">
      <c r="A250" s="21" t="str">
        <f t="shared" si="3"/>
        <v>2002RJ - BARRA                         20</v>
      </c>
      <c r="B250" t="s">
        <v>83</v>
      </c>
      <c r="C250">
        <v>24</v>
      </c>
      <c r="D250" t="s">
        <v>85</v>
      </c>
      <c r="G250" t="s">
        <v>162</v>
      </c>
      <c r="H250" s="5">
        <v>20</v>
      </c>
      <c r="I250" s="14" t="s">
        <v>89</v>
      </c>
      <c r="J250" s="7">
        <v>1010</v>
      </c>
      <c r="K250">
        <v>2002</v>
      </c>
    </row>
    <row r="251" spans="1:11" x14ac:dyDescent="0.35">
      <c r="A251" s="21" t="str">
        <f t="shared" si="3"/>
        <v>2002RJ - RIO                           20</v>
      </c>
      <c r="B251" t="s">
        <v>83</v>
      </c>
      <c r="C251" s="4">
        <v>21</v>
      </c>
      <c r="D251" s="18" t="s">
        <v>176</v>
      </c>
      <c r="G251" t="s">
        <v>162</v>
      </c>
      <c r="H251" s="5">
        <v>20</v>
      </c>
      <c r="I251" s="14" t="s">
        <v>89</v>
      </c>
      <c r="J251" s="7">
        <v>1010</v>
      </c>
      <c r="K251">
        <v>2002</v>
      </c>
    </row>
    <row r="252" spans="1:11" x14ac:dyDescent="0.35">
      <c r="A252" s="21" t="str">
        <f t="shared" si="3"/>
        <v>2002RJ - CENTRO II                        20</v>
      </c>
      <c r="B252" t="s">
        <v>83</v>
      </c>
      <c r="C252">
        <v>327</v>
      </c>
      <c r="D252" t="s">
        <v>166</v>
      </c>
      <c r="G252" t="s">
        <v>162</v>
      </c>
      <c r="H252" s="5">
        <v>20</v>
      </c>
      <c r="I252" s="14" t="s">
        <v>89</v>
      </c>
      <c r="J252" s="7">
        <v>1010</v>
      </c>
      <c r="K252">
        <v>2002</v>
      </c>
    </row>
    <row r="253" spans="1:11" x14ac:dyDescent="0.35">
      <c r="A253" s="21" t="str">
        <f t="shared" si="3"/>
        <v>2002RJ - DUQUE DE CAXIAS               20</v>
      </c>
      <c r="B253" t="s">
        <v>83</v>
      </c>
      <c r="C253" s="4">
        <v>260</v>
      </c>
      <c r="D253" t="s">
        <v>86</v>
      </c>
      <c r="G253" t="s">
        <v>162</v>
      </c>
      <c r="H253" s="5">
        <v>20</v>
      </c>
      <c r="I253" s="14" t="s">
        <v>89</v>
      </c>
      <c r="J253" s="7">
        <v>1010</v>
      </c>
      <c r="K253">
        <v>2002</v>
      </c>
    </row>
    <row r="254" spans="1:11" x14ac:dyDescent="0.35">
      <c r="A254" s="21" t="str">
        <f t="shared" si="3"/>
        <v>2002RJ - MACAE                         20</v>
      </c>
      <c r="B254" t="s">
        <v>83</v>
      </c>
      <c r="C254" s="4">
        <v>43</v>
      </c>
      <c r="D254" t="s">
        <v>149</v>
      </c>
      <c r="G254" t="s">
        <v>162</v>
      </c>
      <c r="H254" s="5">
        <v>20</v>
      </c>
      <c r="I254" s="14" t="s">
        <v>89</v>
      </c>
      <c r="J254" s="7">
        <v>1010</v>
      </c>
      <c r="K254">
        <v>2002</v>
      </c>
    </row>
    <row r="255" spans="1:11" x14ac:dyDescent="0.35">
      <c r="A255" s="21" t="str">
        <f t="shared" si="3"/>
        <v>2002RJ - NITEROI                       20</v>
      </c>
      <c r="B255" t="s">
        <v>83</v>
      </c>
      <c r="C255">
        <v>148</v>
      </c>
      <c r="D255" t="s">
        <v>150</v>
      </c>
      <c r="G255" t="s">
        <v>162</v>
      </c>
      <c r="H255" s="5">
        <v>20</v>
      </c>
      <c r="I255" s="14" t="s">
        <v>89</v>
      </c>
      <c r="J255" s="7">
        <v>1010</v>
      </c>
      <c r="K255">
        <v>2002</v>
      </c>
    </row>
    <row r="256" spans="1:11" x14ac:dyDescent="0.35">
      <c r="A256" s="21" t="str">
        <f t="shared" si="3"/>
        <v>2002RJ - INTERIOR                      20</v>
      </c>
      <c r="B256" t="s">
        <v>83</v>
      </c>
      <c r="C256" s="4">
        <v>236</v>
      </c>
      <c r="D256" s="18" t="s">
        <v>177</v>
      </c>
      <c r="G256" t="s">
        <v>162</v>
      </c>
      <c r="H256" s="5">
        <v>20</v>
      </c>
      <c r="I256" s="14" t="s">
        <v>89</v>
      </c>
      <c r="J256" s="7">
        <v>1010</v>
      </c>
      <c r="K256">
        <v>2002</v>
      </c>
    </row>
    <row r="257" spans="1:11" x14ac:dyDescent="0.35">
      <c r="A257" s="21" t="str">
        <f t="shared" si="3"/>
        <v>2002RJ - VOLTA REDONDA                 20</v>
      </c>
      <c r="B257" t="s">
        <v>83</v>
      </c>
      <c r="C257" s="4">
        <v>233</v>
      </c>
      <c r="D257" t="s">
        <v>87</v>
      </c>
      <c r="G257" t="s">
        <v>162</v>
      </c>
      <c r="H257" s="5">
        <v>20</v>
      </c>
      <c r="I257" s="14" t="s">
        <v>89</v>
      </c>
      <c r="J257" s="7">
        <v>1010</v>
      </c>
      <c r="K257">
        <v>2002</v>
      </c>
    </row>
    <row r="258" spans="1:11" x14ac:dyDescent="0.35">
      <c r="A258" s="21" t="str">
        <f t="shared" ref="A258:A321" si="4">K258&amp;D258&amp;H258</f>
        <v>2002RUN-OFF - RJ/ES20</v>
      </c>
      <c r="B258" t="s">
        <v>83</v>
      </c>
      <c r="C258" s="4">
        <v>34</v>
      </c>
      <c r="D258" s="9" t="s">
        <v>88</v>
      </c>
      <c r="G258" t="s">
        <v>162</v>
      </c>
      <c r="H258" s="5">
        <v>20</v>
      </c>
      <c r="I258" s="14" t="s">
        <v>89</v>
      </c>
      <c r="J258" s="7">
        <v>1010</v>
      </c>
      <c r="K258">
        <v>2002</v>
      </c>
    </row>
    <row r="259" spans="1:11" x14ac:dyDescent="0.35">
      <c r="A259" s="21" t="str">
        <f t="shared" si="4"/>
        <v>2002ES - VITORIA                       10</v>
      </c>
      <c r="B259" t="s">
        <v>83</v>
      </c>
      <c r="C259" s="4">
        <v>44</v>
      </c>
      <c r="D259" t="s">
        <v>147</v>
      </c>
      <c r="G259" t="s">
        <v>162</v>
      </c>
      <c r="H259" s="9">
        <v>10</v>
      </c>
      <c r="I259" s="14" t="s">
        <v>90</v>
      </c>
      <c r="J259" s="7">
        <v>1011</v>
      </c>
      <c r="K259">
        <v>2002</v>
      </c>
    </row>
    <row r="260" spans="1:11" x14ac:dyDescent="0.35">
      <c r="A260" s="21" t="str">
        <f t="shared" si="4"/>
        <v>2002RJ - ASSESSORIAS                   10</v>
      </c>
      <c r="B260" t="s">
        <v>83</v>
      </c>
      <c r="C260">
        <v>298</v>
      </c>
      <c r="D260" t="s">
        <v>84</v>
      </c>
      <c r="G260" t="s">
        <v>162</v>
      </c>
      <c r="H260" s="9">
        <v>10</v>
      </c>
      <c r="I260" s="14" t="s">
        <v>90</v>
      </c>
      <c r="J260" s="7">
        <v>1011</v>
      </c>
      <c r="K260">
        <v>2002</v>
      </c>
    </row>
    <row r="261" spans="1:11" x14ac:dyDescent="0.35">
      <c r="A261" s="21" t="str">
        <f t="shared" si="4"/>
        <v>2002RJ - ATNP                          10</v>
      </c>
      <c r="B261" t="s">
        <v>83</v>
      </c>
      <c r="C261" s="4">
        <v>182</v>
      </c>
      <c r="D261" t="s">
        <v>167</v>
      </c>
      <c r="G261" t="s">
        <v>162</v>
      </c>
      <c r="H261" s="9">
        <v>10</v>
      </c>
      <c r="I261" s="14" t="s">
        <v>90</v>
      </c>
      <c r="J261" s="7">
        <v>1011</v>
      </c>
      <c r="K261">
        <v>2002</v>
      </c>
    </row>
    <row r="262" spans="1:11" x14ac:dyDescent="0.35">
      <c r="A262" s="21" t="str">
        <f t="shared" si="4"/>
        <v>2002RJ - BARRA                         10</v>
      </c>
      <c r="B262" t="s">
        <v>83</v>
      </c>
      <c r="C262">
        <v>24</v>
      </c>
      <c r="D262" t="s">
        <v>85</v>
      </c>
      <c r="G262" t="s">
        <v>162</v>
      </c>
      <c r="H262" s="9">
        <v>10</v>
      </c>
      <c r="I262" s="14" t="s">
        <v>90</v>
      </c>
      <c r="J262" s="7">
        <v>1011</v>
      </c>
      <c r="K262">
        <v>2002</v>
      </c>
    </row>
    <row r="263" spans="1:11" x14ac:dyDescent="0.35">
      <c r="A263" s="21" t="str">
        <f t="shared" si="4"/>
        <v>2002RJ - RIO                           10</v>
      </c>
      <c r="B263" t="s">
        <v>83</v>
      </c>
      <c r="C263" s="4">
        <v>21</v>
      </c>
      <c r="D263" s="18" t="s">
        <v>176</v>
      </c>
      <c r="G263" t="s">
        <v>162</v>
      </c>
      <c r="H263" s="9">
        <v>10</v>
      </c>
      <c r="I263" s="14" t="s">
        <v>90</v>
      </c>
      <c r="J263" s="7">
        <v>1011</v>
      </c>
      <c r="K263">
        <v>2002</v>
      </c>
    </row>
    <row r="264" spans="1:11" x14ac:dyDescent="0.35">
      <c r="A264" s="21" t="str">
        <f t="shared" si="4"/>
        <v>2002RJ - CENTRO II                        10</v>
      </c>
      <c r="B264" t="s">
        <v>83</v>
      </c>
      <c r="C264">
        <v>327</v>
      </c>
      <c r="D264" t="s">
        <v>166</v>
      </c>
      <c r="G264" t="s">
        <v>162</v>
      </c>
      <c r="H264" s="9">
        <v>10</v>
      </c>
      <c r="I264" s="14" t="s">
        <v>90</v>
      </c>
      <c r="J264" s="7">
        <v>1011</v>
      </c>
      <c r="K264">
        <v>2002</v>
      </c>
    </row>
    <row r="265" spans="1:11" x14ac:dyDescent="0.35">
      <c r="A265" s="21" t="str">
        <f t="shared" si="4"/>
        <v>2002RJ - DUQUE DE CAXIAS               10</v>
      </c>
      <c r="B265" t="s">
        <v>83</v>
      </c>
      <c r="C265" s="4">
        <v>174</v>
      </c>
      <c r="D265" t="s">
        <v>86</v>
      </c>
      <c r="G265" t="s">
        <v>162</v>
      </c>
      <c r="H265" s="9">
        <v>10</v>
      </c>
      <c r="I265" s="14" t="s">
        <v>90</v>
      </c>
      <c r="J265" s="7">
        <v>1011</v>
      </c>
      <c r="K265">
        <v>2002</v>
      </c>
    </row>
    <row r="266" spans="1:11" x14ac:dyDescent="0.35">
      <c r="A266" s="21" t="str">
        <f t="shared" si="4"/>
        <v>2002RJ - MACAE                         10</v>
      </c>
      <c r="B266" t="s">
        <v>83</v>
      </c>
      <c r="C266" s="4">
        <v>181</v>
      </c>
      <c r="D266" t="s">
        <v>149</v>
      </c>
      <c r="G266" t="s">
        <v>162</v>
      </c>
      <c r="H266" s="9">
        <v>10</v>
      </c>
      <c r="I266" s="14" t="s">
        <v>90</v>
      </c>
      <c r="J266" s="7">
        <v>1011</v>
      </c>
      <c r="K266">
        <v>2002</v>
      </c>
    </row>
    <row r="267" spans="1:11" x14ac:dyDescent="0.35">
      <c r="A267" s="21" t="str">
        <f t="shared" si="4"/>
        <v>2002RJ - NITEROI                       10</v>
      </c>
      <c r="B267" t="s">
        <v>83</v>
      </c>
      <c r="C267">
        <v>148</v>
      </c>
      <c r="D267" t="s">
        <v>150</v>
      </c>
      <c r="G267" t="s">
        <v>162</v>
      </c>
      <c r="H267" s="9">
        <v>10</v>
      </c>
      <c r="I267" s="14" t="s">
        <v>90</v>
      </c>
      <c r="J267" s="7">
        <v>1011</v>
      </c>
      <c r="K267">
        <v>2002</v>
      </c>
    </row>
    <row r="268" spans="1:11" x14ac:dyDescent="0.35">
      <c r="A268" s="21" t="str">
        <f t="shared" si="4"/>
        <v>2002RJ - INTERIOR                      10</v>
      </c>
      <c r="B268" t="s">
        <v>83</v>
      </c>
      <c r="C268" s="4">
        <v>43</v>
      </c>
      <c r="D268" s="18" t="s">
        <v>177</v>
      </c>
      <c r="G268" t="s">
        <v>162</v>
      </c>
      <c r="H268" s="9">
        <v>10</v>
      </c>
      <c r="I268" s="14" t="s">
        <v>90</v>
      </c>
      <c r="J268" s="7">
        <v>1011</v>
      </c>
      <c r="K268">
        <v>2002</v>
      </c>
    </row>
    <row r="269" spans="1:11" x14ac:dyDescent="0.35">
      <c r="A269" s="21" t="str">
        <f t="shared" si="4"/>
        <v>2002RJ - VOLTA REDONDA                 10</v>
      </c>
      <c r="B269" t="s">
        <v>83</v>
      </c>
      <c r="C269" s="4">
        <v>245</v>
      </c>
      <c r="D269" t="s">
        <v>87</v>
      </c>
      <c r="G269" t="s">
        <v>162</v>
      </c>
      <c r="H269" s="9">
        <v>10</v>
      </c>
      <c r="I269" s="14" t="s">
        <v>90</v>
      </c>
      <c r="J269" s="7">
        <v>1011</v>
      </c>
      <c r="K269">
        <v>2002</v>
      </c>
    </row>
    <row r="270" spans="1:11" x14ac:dyDescent="0.35">
      <c r="A270" s="21" t="str">
        <f t="shared" si="4"/>
        <v>2002RUN-OFF - RJ/ES10</v>
      </c>
      <c r="B270" t="s">
        <v>83</v>
      </c>
      <c r="C270" s="4">
        <v>236</v>
      </c>
      <c r="D270" s="9" t="s">
        <v>88</v>
      </c>
      <c r="G270" t="s">
        <v>162</v>
      </c>
      <c r="H270" s="9">
        <v>10</v>
      </c>
      <c r="I270" s="14" t="s">
        <v>90</v>
      </c>
      <c r="J270" s="7">
        <v>1011</v>
      </c>
      <c r="K270">
        <v>2002</v>
      </c>
    </row>
    <row r="271" spans="1:11" x14ac:dyDescent="0.35">
      <c r="A271" s="21" t="str">
        <f t="shared" si="4"/>
        <v>2024ES - VITORIA                       24</v>
      </c>
      <c r="B271" t="s">
        <v>83</v>
      </c>
      <c r="C271" s="4">
        <v>233</v>
      </c>
      <c r="D271" t="s">
        <v>147</v>
      </c>
      <c r="G271" t="s">
        <v>162</v>
      </c>
      <c r="H271">
        <v>24</v>
      </c>
      <c r="I271" s="16" t="s">
        <v>91</v>
      </c>
      <c r="J271" s="16">
        <v>1036</v>
      </c>
      <c r="K271">
        <v>2024</v>
      </c>
    </row>
    <row r="272" spans="1:11" x14ac:dyDescent="0.35">
      <c r="A272" s="21" t="str">
        <f t="shared" si="4"/>
        <v>2024RJ - ASSESSORIAS                   24</v>
      </c>
      <c r="B272" t="s">
        <v>83</v>
      </c>
      <c r="C272">
        <v>298</v>
      </c>
      <c r="D272" t="s">
        <v>84</v>
      </c>
      <c r="G272" t="s">
        <v>162</v>
      </c>
      <c r="H272">
        <v>24</v>
      </c>
      <c r="I272" s="16" t="s">
        <v>91</v>
      </c>
      <c r="J272" s="16">
        <v>1036</v>
      </c>
      <c r="K272">
        <v>2024</v>
      </c>
    </row>
    <row r="273" spans="1:11" x14ac:dyDescent="0.35">
      <c r="A273" s="21" t="str">
        <f t="shared" si="4"/>
        <v>2024RJ - ATNP                          24</v>
      </c>
      <c r="B273" t="s">
        <v>83</v>
      </c>
      <c r="C273" s="4">
        <v>182</v>
      </c>
      <c r="D273" t="s">
        <v>167</v>
      </c>
      <c r="G273" t="s">
        <v>162</v>
      </c>
      <c r="H273">
        <v>24</v>
      </c>
      <c r="I273" s="16" t="s">
        <v>91</v>
      </c>
      <c r="J273" s="16">
        <v>1036</v>
      </c>
      <c r="K273">
        <v>2024</v>
      </c>
    </row>
    <row r="274" spans="1:11" x14ac:dyDescent="0.35">
      <c r="A274" s="21" t="str">
        <f t="shared" si="4"/>
        <v>2024RJ - BARRA                         24</v>
      </c>
      <c r="B274" t="s">
        <v>83</v>
      </c>
      <c r="C274">
        <v>24</v>
      </c>
      <c r="D274" t="s">
        <v>85</v>
      </c>
      <c r="G274" t="s">
        <v>162</v>
      </c>
      <c r="H274">
        <v>24</v>
      </c>
      <c r="I274" s="16" t="s">
        <v>91</v>
      </c>
      <c r="J274" s="16">
        <v>1036</v>
      </c>
      <c r="K274">
        <v>2024</v>
      </c>
    </row>
    <row r="275" spans="1:11" x14ac:dyDescent="0.35">
      <c r="A275" s="21" t="str">
        <f t="shared" si="4"/>
        <v>2024RJ - RIO                           24</v>
      </c>
      <c r="B275" t="s">
        <v>83</v>
      </c>
      <c r="C275" s="4">
        <v>21</v>
      </c>
      <c r="D275" s="18" t="s">
        <v>176</v>
      </c>
      <c r="G275" t="s">
        <v>162</v>
      </c>
      <c r="H275">
        <v>24</v>
      </c>
      <c r="I275" s="16" t="s">
        <v>91</v>
      </c>
      <c r="J275" s="16">
        <v>1036</v>
      </c>
      <c r="K275">
        <v>2024</v>
      </c>
    </row>
    <row r="276" spans="1:11" x14ac:dyDescent="0.35">
      <c r="A276" s="21" t="str">
        <f t="shared" si="4"/>
        <v>2024RJ - CENTRO II                        24</v>
      </c>
      <c r="B276" t="s">
        <v>83</v>
      </c>
      <c r="C276">
        <v>327</v>
      </c>
      <c r="D276" t="s">
        <v>166</v>
      </c>
      <c r="G276" t="s">
        <v>162</v>
      </c>
      <c r="H276">
        <v>24</v>
      </c>
      <c r="I276" s="16" t="s">
        <v>91</v>
      </c>
      <c r="J276" s="16">
        <v>1036</v>
      </c>
      <c r="K276">
        <v>2024</v>
      </c>
    </row>
    <row r="277" spans="1:11" x14ac:dyDescent="0.35">
      <c r="A277" s="21" t="str">
        <f t="shared" si="4"/>
        <v>2024RJ - DUQUE DE CAXIAS               24</v>
      </c>
      <c r="B277" t="s">
        <v>83</v>
      </c>
      <c r="C277" s="4">
        <v>352</v>
      </c>
      <c r="D277" t="s">
        <v>86</v>
      </c>
      <c r="G277" t="s">
        <v>162</v>
      </c>
      <c r="H277">
        <v>24</v>
      </c>
      <c r="I277" s="16" t="s">
        <v>91</v>
      </c>
      <c r="J277" s="16">
        <v>1036</v>
      </c>
      <c r="K277">
        <v>2024</v>
      </c>
    </row>
    <row r="278" spans="1:11" x14ac:dyDescent="0.35">
      <c r="A278" s="21" t="str">
        <f t="shared" si="4"/>
        <v>2024RJ - MACAE                         24</v>
      </c>
      <c r="B278" t="s">
        <v>83</v>
      </c>
      <c r="C278" s="4">
        <v>155</v>
      </c>
      <c r="D278" t="s">
        <v>149</v>
      </c>
      <c r="G278" t="s">
        <v>162</v>
      </c>
      <c r="H278">
        <v>24</v>
      </c>
      <c r="I278" s="16" t="s">
        <v>91</v>
      </c>
      <c r="J278" s="16">
        <v>1036</v>
      </c>
      <c r="K278">
        <v>2024</v>
      </c>
    </row>
    <row r="279" spans="1:11" x14ac:dyDescent="0.35">
      <c r="A279" s="21" t="str">
        <f t="shared" si="4"/>
        <v>2024RJ - NITEROI                       24</v>
      </c>
      <c r="B279" t="s">
        <v>83</v>
      </c>
      <c r="C279">
        <v>148</v>
      </c>
      <c r="D279" t="s">
        <v>150</v>
      </c>
      <c r="G279" t="s">
        <v>162</v>
      </c>
      <c r="H279">
        <v>24</v>
      </c>
      <c r="I279" s="16" t="s">
        <v>91</v>
      </c>
      <c r="J279" s="16">
        <v>1036</v>
      </c>
      <c r="K279">
        <v>2024</v>
      </c>
    </row>
    <row r="280" spans="1:11" x14ac:dyDescent="0.35">
      <c r="A280" s="21" t="str">
        <f t="shared" si="4"/>
        <v>2024RJ - INTERIOR                      24</v>
      </c>
      <c r="B280" t="s">
        <v>83</v>
      </c>
      <c r="C280" s="4">
        <v>181</v>
      </c>
      <c r="D280" s="18" t="s">
        <v>177</v>
      </c>
      <c r="G280" t="s">
        <v>162</v>
      </c>
      <c r="H280">
        <v>24</v>
      </c>
      <c r="I280" s="16" t="s">
        <v>91</v>
      </c>
      <c r="J280" s="16">
        <v>1036</v>
      </c>
      <c r="K280">
        <v>2024</v>
      </c>
    </row>
    <row r="281" spans="1:11" x14ac:dyDescent="0.35">
      <c r="A281" s="21" t="str">
        <f t="shared" si="4"/>
        <v>2024RJ - VOLTA REDONDA                 24</v>
      </c>
      <c r="B281" t="s">
        <v>83</v>
      </c>
      <c r="C281" s="4">
        <v>260</v>
      </c>
      <c r="D281" t="s">
        <v>87</v>
      </c>
      <c r="G281" t="s">
        <v>162</v>
      </c>
      <c r="H281">
        <v>24</v>
      </c>
      <c r="I281" s="16" t="s">
        <v>91</v>
      </c>
      <c r="J281" s="16">
        <v>1036</v>
      </c>
      <c r="K281">
        <v>2024</v>
      </c>
    </row>
    <row r="282" spans="1:11" x14ac:dyDescent="0.35">
      <c r="A282" s="21" t="str">
        <f t="shared" si="4"/>
        <v>2024RUN-OFF - RJ/ES24</v>
      </c>
      <c r="B282" t="s">
        <v>83</v>
      </c>
      <c r="C282" s="4">
        <v>43</v>
      </c>
      <c r="D282" s="9" t="s">
        <v>88</v>
      </c>
      <c r="G282" t="s">
        <v>162</v>
      </c>
      <c r="H282">
        <v>24</v>
      </c>
      <c r="I282" s="16" t="s">
        <v>91</v>
      </c>
      <c r="J282" s="16">
        <v>1036</v>
      </c>
      <c r="K282">
        <v>2024</v>
      </c>
    </row>
    <row r="283" spans="1:11" x14ac:dyDescent="0.35">
      <c r="A283" s="21" t="str">
        <f t="shared" si="4"/>
        <v>2024ES - VITORIA                       22</v>
      </c>
      <c r="B283" t="s">
        <v>83</v>
      </c>
      <c r="C283" s="4">
        <v>245</v>
      </c>
      <c r="D283" t="s">
        <v>147</v>
      </c>
      <c r="G283" t="s">
        <v>162</v>
      </c>
      <c r="H283" s="9">
        <v>22</v>
      </c>
      <c r="I283" s="16" t="s">
        <v>92</v>
      </c>
      <c r="J283" s="16">
        <v>1037</v>
      </c>
      <c r="K283">
        <v>2024</v>
      </c>
    </row>
    <row r="284" spans="1:11" x14ac:dyDescent="0.35">
      <c r="A284" s="21" t="str">
        <f t="shared" si="4"/>
        <v>2024RJ - ASSESSORIAS                   22</v>
      </c>
      <c r="B284" t="s">
        <v>83</v>
      </c>
      <c r="C284">
        <v>298</v>
      </c>
      <c r="D284" t="s">
        <v>84</v>
      </c>
      <c r="G284" t="s">
        <v>162</v>
      </c>
      <c r="H284" s="9">
        <v>22</v>
      </c>
      <c r="I284" s="16" t="s">
        <v>92</v>
      </c>
      <c r="J284" s="16">
        <v>1037</v>
      </c>
      <c r="K284">
        <v>2024</v>
      </c>
    </row>
    <row r="285" spans="1:11" x14ac:dyDescent="0.35">
      <c r="A285" s="21" t="str">
        <f t="shared" si="4"/>
        <v>2024RJ - ATNP                          22</v>
      </c>
      <c r="B285" t="s">
        <v>83</v>
      </c>
      <c r="C285" s="4">
        <v>182</v>
      </c>
      <c r="D285" t="s">
        <v>167</v>
      </c>
      <c r="G285" t="s">
        <v>162</v>
      </c>
      <c r="H285" s="9">
        <v>22</v>
      </c>
      <c r="I285" s="16" t="s">
        <v>92</v>
      </c>
      <c r="J285" s="16">
        <v>1037</v>
      </c>
      <c r="K285">
        <v>2024</v>
      </c>
    </row>
    <row r="286" spans="1:11" x14ac:dyDescent="0.35">
      <c r="A286" s="21" t="str">
        <f t="shared" si="4"/>
        <v>2024RJ - BARRA                         22</v>
      </c>
      <c r="B286" t="s">
        <v>83</v>
      </c>
      <c r="C286">
        <v>24</v>
      </c>
      <c r="D286" t="s">
        <v>85</v>
      </c>
      <c r="G286" t="s">
        <v>162</v>
      </c>
      <c r="H286" s="9">
        <v>22</v>
      </c>
      <c r="I286" s="16" t="s">
        <v>92</v>
      </c>
      <c r="J286" s="16">
        <v>1037</v>
      </c>
      <c r="K286">
        <v>2024</v>
      </c>
    </row>
    <row r="287" spans="1:11" x14ac:dyDescent="0.35">
      <c r="A287" s="21" t="str">
        <f t="shared" si="4"/>
        <v>2024RJ - RIO                           22</v>
      </c>
      <c r="B287" t="s">
        <v>83</v>
      </c>
      <c r="C287" s="4">
        <v>21</v>
      </c>
      <c r="D287" s="18" t="s">
        <v>176</v>
      </c>
      <c r="G287" t="s">
        <v>162</v>
      </c>
      <c r="H287" s="9">
        <v>22</v>
      </c>
      <c r="I287" s="16" t="s">
        <v>92</v>
      </c>
      <c r="J287" s="16">
        <v>1037</v>
      </c>
      <c r="K287">
        <v>2024</v>
      </c>
    </row>
    <row r="288" spans="1:11" x14ac:dyDescent="0.35">
      <c r="A288" s="21" t="str">
        <f t="shared" si="4"/>
        <v>2024RJ - CENTRO II                        22</v>
      </c>
      <c r="B288" t="s">
        <v>83</v>
      </c>
      <c r="C288">
        <v>327</v>
      </c>
      <c r="D288" t="s">
        <v>166</v>
      </c>
      <c r="G288" t="s">
        <v>162</v>
      </c>
      <c r="H288" s="9">
        <v>22</v>
      </c>
      <c r="I288" s="16" t="s">
        <v>92</v>
      </c>
      <c r="J288" s="16">
        <v>1037</v>
      </c>
      <c r="K288">
        <v>2024</v>
      </c>
    </row>
    <row r="289" spans="1:11" x14ac:dyDescent="0.35">
      <c r="A289" s="21" t="str">
        <f t="shared" si="4"/>
        <v>2024RJ - DUQUE DE CAXIAS               22</v>
      </c>
      <c r="B289" t="s">
        <v>83</v>
      </c>
      <c r="C289" s="4">
        <v>350</v>
      </c>
      <c r="D289" t="s">
        <v>86</v>
      </c>
      <c r="G289" t="s">
        <v>162</v>
      </c>
      <c r="H289" s="9">
        <v>22</v>
      </c>
      <c r="I289" s="16" t="s">
        <v>92</v>
      </c>
      <c r="J289" s="16">
        <v>1037</v>
      </c>
      <c r="K289">
        <v>2024</v>
      </c>
    </row>
    <row r="290" spans="1:11" x14ac:dyDescent="0.35">
      <c r="A290" s="21" t="str">
        <f t="shared" si="4"/>
        <v>2024RJ - MACAE                         22</v>
      </c>
      <c r="B290" t="s">
        <v>83</v>
      </c>
      <c r="C290" s="4">
        <v>264</v>
      </c>
      <c r="D290" t="s">
        <v>149</v>
      </c>
      <c r="G290" t="s">
        <v>162</v>
      </c>
      <c r="H290" s="9">
        <v>22</v>
      </c>
      <c r="I290" s="16" t="s">
        <v>92</v>
      </c>
      <c r="J290" s="16">
        <v>1037</v>
      </c>
      <c r="K290">
        <v>2024</v>
      </c>
    </row>
    <row r="291" spans="1:11" x14ac:dyDescent="0.35">
      <c r="A291" s="21" t="str">
        <f t="shared" si="4"/>
        <v>2024RJ - NITEROI                       22</v>
      </c>
      <c r="B291" t="s">
        <v>83</v>
      </c>
      <c r="C291">
        <v>148</v>
      </c>
      <c r="D291" t="s">
        <v>150</v>
      </c>
      <c r="G291" t="s">
        <v>162</v>
      </c>
      <c r="H291" s="9">
        <v>22</v>
      </c>
      <c r="I291" s="16" t="s">
        <v>92</v>
      </c>
      <c r="J291" s="16">
        <v>1037</v>
      </c>
      <c r="K291">
        <v>2024</v>
      </c>
    </row>
    <row r="292" spans="1:11" x14ac:dyDescent="0.35">
      <c r="A292" s="21" t="str">
        <f t="shared" si="4"/>
        <v>2024RJ - INTERIOR                      22</v>
      </c>
      <c r="B292" t="s">
        <v>83</v>
      </c>
      <c r="C292" s="4">
        <v>155</v>
      </c>
      <c r="D292" s="18" t="s">
        <v>177</v>
      </c>
      <c r="G292" t="s">
        <v>162</v>
      </c>
      <c r="H292" s="9">
        <v>22</v>
      </c>
      <c r="I292" s="16" t="s">
        <v>92</v>
      </c>
      <c r="J292" s="16">
        <v>1037</v>
      </c>
      <c r="K292">
        <v>2024</v>
      </c>
    </row>
    <row r="293" spans="1:11" x14ac:dyDescent="0.35">
      <c r="A293" s="21" t="str">
        <f t="shared" si="4"/>
        <v>2024RJ - VOLTA REDONDA                 22</v>
      </c>
      <c r="B293" t="s">
        <v>83</v>
      </c>
      <c r="C293" s="4">
        <v>174</v>
      </c>
      <c r="D293" t="s">
        <v>87</v>
      </c>
      <c r="G293" t="s">
        <v>162</v>
      </c>
      <c r="H293" s="9">
        <v>22</v>
      </c>
      <c r="I293" s="16" t="s">
        <v>92</v>
      </c>
      <c r="J293" s="16">
        <v>1037</v>
      </c>
      <c r="K293">
        <v>2024</v>
      </c>
    </row>
    <row r="294" spans="1:11" x14ac:dyDescent="0.35">
      <c r="A294" s="21" t="str">
        <f t="shared" si="4"/>
        <v>2024RUN-OFF - RJ/ES22</v>
      </c>
      <c r="B294" t="s">
        <v>83</v>
      </c>
      <c r="C294" s="4">
        <v>181</v>
      </c>
      <c r="D294" s="9" t="s">
        <v>88</v>
      </c>
      <c r="G294" t="s">
        <v>162</v>
      </c>
      <c r="H294" s="9">
        <v>22</v>
      </c>
      <c r="I294" s="16" t="s">
        <v>92</v>
      </c>
      <c r="J294" s="16">
        <v>1037</v>
      </c>
      <c r="K294">
        <v>2024</v>
      </c>
    </row>
    <row r="295" spans="1:11" x14ac:dyDescent="0.35">
      <c r="A295" s="21" t="str">
        <f t="shared" si="4"/>
        <v>2024ES - VITORIA                       15</v>
      </c>
      <c r="B295" t="s">
        <v>83</v>
      </c>
      <c r="C295" s="4">
        <v>260</v>
      </c>
      <c r="D295" t="s">
        <v>147</v>
      </c>
      <c r="G295" t="s">
        <v>162</v>
      </c>
      <c r="H295" s="5">
        <v>15</v>
      </c>
      <c r="I295" s="16" t="s">
        <v>93</v>
      </c>
      <c r="J295" s="16">
        <v>1038</v>
      </c>
      <c r="K295">
        <v>2024</v>
      </c>
    </row>
    <row r="296" spans="1:11" x14ac:dyDescent="0.35">
      <c r="A296" s="21" t="str">
        <f t="shared" si="4"/>
        <v>2024RJ - ASSESSORIAS                   15</v>
      </c>
      <c r="B296" t="s">
        <v>83</v>
      </c>
      <c r="C296">
        <v>298</v>
      </c>
      <c r="D296" t="s">
        <v>84</v>
      </c>
      <c r="G296" t="s">
        <v>162</v>
      </c>
      <c r="H296" s="5">
        <v>15</v>
      </c>
      <c r="I296" s="16" t="s">
        <v>93</v>
      </c>
      <c r="J296" s="16">
        <v>1038</v>
      </c>
      <c r="K296">
        <v>2024</v>
      </c>
    </row>
    <row r="297" spans="1:11" x14ac:dyDescent="0.35">
      <c r="A297" s="21" t="str">
        <f t="shared" si="4"/>
        <v>2024RJ - ATNP                          15</v>
      </c>
      <c r="B297" t="s">
        <v>83</v>
      </c>
      <c r="C297" s="4">
        <v>182</v>
      </c>
      <c r="D297" t="s">
        <v>167</v>
      </c>
      <c r="G297" t="s">
        <v>162</v>
      </c>
      <c r="H297" s="5">
        <v>15</v>
      </c>
      <c r="I297" s="16" t="s">
        <v>93</v>
      </c>
      <c r="J297" s="16">
        <v>1038</v>
      </c>
      <c r="K297">
        <v>2024</v>
      </c>
    </row>
    <row r="298" spans="1:11" x14ac:dyDescent="0.35">
      <c r="A298" s="21" t="str">
        <f t="shared" si="4"/>
        <v>2024RJ - BARRA                         15</v>
      </c>
      <c r="B298" t="s">
        <v>83</v>
      </c>
      <c r="C298">
        <v>24</v>
      </c>
      <c r="D298" t="s">
        <v>85</v>
      </c>
      <c r="G298" t="s">
        <v>162</v>
      </c>
      <c r="H298" s="5">
        <v>15</v>
      </c>
      <c r="I298" s="16" t="s">
        <v>93</v>
      </c>
      <c r="J298" s="16">
        <v>1038</v>
      </c>
      <c r="K298">
        <v>2024</v>
      </c>
    </row>
    <row r="299" spans="1:11" x14ac:dyDescent="0.35">
      <c r="A299" s="21" t="str">
        <f t="shared" si="4"/>
        <v>2024RJ - RIO                           15</v>
      </c>
      <c r="B299" t="s">
        <v>83</v>
      </c>
      <c r="C299" s="4">
        <v>21</v>
      </c>
      <c r="D299" s="18" t="s">
        <v>176</v>
      </c>
      <c r="G299" t="s">
        <v>162</v>
      </c>
      <c r="H299" s="5">
        <v>15</v>
      </c>
      <c r="I299" s="16" t="s">
        <v>93</v>
      </c>
      <c r="J299" s="16">
        <v>1038</v>
      </c>
      <c r="K299">
        <v>2024</v>
      </c>
    </row>
    <row r="300" spans="1:11" x14ac:dyDescent="0.35">
      <c r="A300" s="21" t="str">
        <f t="shared" si="4"/>
        <v>2024RJ - CENTRO II                        15</v>
      </c>
      <c r="B300" t="s">
        <v>83</v>
      </c>
      <c r="C300">
        <v>327</v>
      </c>
      <c r="D300" t="s">
        <v>166</v>
      </c>
      <c r="G300" t="s">
        <v>162</v>
      </c>
      <c r="H300" s="5">
        <v>15</v>
      </c>
      <c r="I300" s="16" t="s">
        <v>93</v>
      </c>
      <c r="J300" s="16">
        <v>1038</v>
      </c>
      <c r="K300">
        <v>2024</v>
      </c>
    </row>
    <row r="301" spans="1:11" x14ac:dyDescent="0.35">
      <c r="A301" s="21" t="str">
        <f t="shared" si="4"/>
        <v>2024RJ - DUQUE DE CAXIAS               15</v>
      </c>
      <c r="B301" t="s">
        <v>83</v>
      </c>
      <c r="C301" s="4">
        <v>44</v>
      </c>
      <c r="D301" t="s">
        <v>86</v>
      </c>
      <c r="G301" t="s">
        <v>162</v>
      </c>
      <c r="H301" s="5">
        <v>15</v>
      </c>
      <c r="I301" s="16" t="s">
        <v>93</v>
      </c>
      <c r="J301" s="16">
        <v>1038</v>
      </c>
      <c r="K301">
        <v>2024</v>
      </c>
    </row>
    <row r="302" spans="1:11" x14ac:dyDescent="0.35">
      <c r="A302" s="21" t="str">
        <f t="shared" si="4"/>
        <v>2024RJ - MACAE                         15</v>
      </c>
      <c r="B302" t="s">
        <v>83</v>
      </c>
      <c r="C302" s="4">
        <v>229</v>
      </c>
      <c r="D302" t="s">
        <v>149</v>
      </c>
      <c r="G302" t="s">
        <v>162</v>
      </c>
      <c r="H302" s="5">
        <v>15</v>
      </c>
      <c r="I302" s="16" t="s">
        <v>93</v>
      </c>
      <c r="J302" s="16">
        <v>1038</v>
      </c>
      <c r="K302">
        <v>2024</v>
      </c>
    </row>
    <row r="303" spans="1:11" x14ac:dyDescent="0.35">
      <c r="A303" s="21" t="str">
        <f t="shared" si="4"/>
        <v>2024RJ - NITEROI                       15</v>
      </c>
      <c r="B303" t="s">
        <v>83</v>
      </c>
      <c r="C303">
        <v>148</v>
      </c>
      <c r="D303" t="s">
        <v>150</v>
      </c>
      <c r="G303" t="s">
        <v>162</v>
      </c>
      <c r="H303" s="5">
        <v>15</v>
      </c>
      <c r="I303" s="16" t="s">
        <v>93</v>
      </c>
      <c r="J303" s="16">
        <v>1038</v>
      </c>
      <c r="K303">
        <v>2024</v>
      </c>
    </row>
    <row r="304" spans="1:11" x14ac:dyDescent="0.35">
      <c r="A304" s="21" t="str">
        <f t="shared" si="4"/>
        <v>2024RJ - INTERIOR                      15</v>
      </c>
      <c r="B304" t="s">
        <v>83</v>
      </c>
      <c r="C304" s="4">
        <v>224</v>
      </c>
      <c r="D304" s="18" t="s">
        <v>177</v>
      </c>
      <c r="G304" t="s">
        <v>162</v>
      </c>
      <c r="H304" s="5">
        <v>15</v>
      </c>
      <c r="I304" s="16" t="s">
        <v>93</v>
      </c>
      <c r="J304" s="16">
        <v>1038</v>
      </c>
      <c r="K304">
        <v>2024</v>
      </c>
    </row>
    <row r="305" spans="1:11" x14ac:dyDescent="0.35">
      <c r="A305" s="21" t="str">
        <f t="shared" si="4"/>
        <v>2024RJ - VOLTA REDONDA                 15</v>
      </c>
      <c r="B305" t="s">
        <v>83</v>
      </c>
      <c r="C305" s="4">
        <v>66</v>
      </c>
      <c r="D305" t="s">
        <v>87</v>
      </c>
      <c r="G305" t="s">
        <v>162</v>
      </c>
      <c r="H305" s="5">
        <v>15</v>
      </c>
      <c r="I305" s="16" t="s">
        <v>93</v>
      </c>
      <c r="J305" s="16">
        <v>1038</v>
      </c>
      <c r="K305">
        <v>2024</v>
      </c>
    </row>
    <row r="306" spans="1:11" x14ac:dyDescent="0.35">
      <c r="A306" s="21" t="str">
        <f t="shared" si="4"/>
        <v>2024RUN-OFF - RJ/ES15</v>
      </c>
      <c r="B306" t="s">
        <v>83</v>
      </c>
      <c r="C306" s="4">
        <v>0</v>
      </c>
      <c r="D306" s="9" t="s">
        <v>88</v>
      </c>
      <c r="G306" t="s">
        <v>162</v>
      </c>
      <c r="H306" s="5">
        <v>15</v>
      </c>
      <c r="I306" s="16" t="s">
        <v>93</v>
      </c>
      <c r="J306" s="16">
        <v>1038</v>
      </c>
      <c r="K306">
        <v>2024</v>
      </c>
    </row>
    <row r="307" spans="1:11" x14ac:dyDescent="0.35">
      <c r="A307" s="21" t="str">
        <f t="shared" si="4"/>
        <v>2002INT - ATNP SP INTERIOR             10</v>
      </c>
      <c r="B307" t="s">
        <v>94</v>
      </c>
      <c r="C307">
        <v>168</v>
      </c>
      <c r="D307" s="18" t="s">
        <v>182</v>
      </c>
      <c r="G307" t="s">
        <v>164</v>
      </c>
      <c r="H307" s="9">
        <v>10</v>
      </c>
      <c r="I307" s="13" t="s">
        <v>95</v>
      </c>
      <c r="J307" s="12">
        <v>1001</v>
      </c>
      <c r="K307" s="8">
        <v>2002</v>
      </c>
    </row>
    <row r="308" spans="1:11" x14ac:dyDescent="0.35">
      <c r="A308" s="21" t="str">
        <f t="shared" si="4"/>
        <v>2002INT - BAURU                        10</v>
      </c>
      <c r="B308" t="s">
        <v>94</v>
      </c>
      <c r="C308">
        <v>25</v>
      </c>
      <c r="D308" t="s">
        <v>96</v>
      </c>
      <c r="G308" t="s">
        <v>164</v>
      </c>
      <c r="H308" s="9">
        <v>10</v>
      </c>
      <c r="I308" s="13" t="s">
        <v>95</v>
      </c>
      <c r="J308" s="12">
        <v>1001</v>
      </c>
      <c r="K308" s="8">
        <v>2002</v>
      </c>
    </row>
    <row r="309" spans="1:11" x14ac:dyDescent="0.35">
      <c r="A309" s="21" t="str">
        <f t="shared" si="4"/>
        <v>2002INT - CAMPINAS/JUNDIAI             10</v>
      </c>
      <c r="B309" t="s">
        <v>94</v>
      </c>
      <c r="C309">
        <v>22</v>
      </c>
      <c r="D309" t="s">
        <v>135</v>
      </c>
      <c r="G309" t="s">
        <v>164</v>
      </c>
      <c r="H309" s="9">
        <v>10</v>
      </c>
      <c r="I309" s="13" t="s">
        <v>95</v>
      </c>
      <c r="J309" s="12">
        <v>1001</v>
      </c>
      <c r="K309" s="8">
        <v>2002</v>
      </c>
    </row>
    <row r="310" spans="1:11" x14ac:dyDescent="0.35">
      <c r="A310" s="21" t="str">
        <f t="shared" si="4"/>
        <v>2002INT - CAMPINAS/JUNDIAI             10</v>
      </c>
      <c r="B310" t="s">
        <v>94</v>
      </c>
      <c r="C310">
        <v>22</v>
      </c>
      <c r="D310" t="s">
        <v>135</v>
      </c>
      <c r="G310" t="s">
        <v>164</v>
      </c>
      <c r="H310" s="9">
        <v>10</v>
      </c>
      <c r="I310" s="13" t="s">
        <v>95</v>
      </c>
      <c r="J310" s="12">
        <v>1001</v>
      </c>
      <c r="K310" s="8">
        <v>2002</v>
      </c>
    </row>
    <row r="311" spans="1:11" x14ac:dyDescent="0.35">
      <c r="A311" s="21" t="str">
        <f t="shared" si="4"/>
        <v>2002INT - PIRACICABA/SOROCABA          10</v>
      </c>
      <c r="B311" t="s">
        <v>94</v>
      </c>
      <c r="C311">
        <v>68</v>
      </c>
      <c r="D311" s="18" t="s">
        <v>180</v>
      </c>
      <c r="G311" t="s">
        <v>164</v>
      </c>
      <c r="H311" s="9">
        <v>10</v>
      </c>
      <c r="I311" s="13" t="s">
        <v>95</v>
      </c>
      <c r="J311" s="12">
        <v>1001</v>
      </c>
      <c r="K311" s="8">
        <v>2002</v>
      </c>
    </row>
    <row r="312" spans="1:11" x14ac:dyDescent="0.35">
      <c r="A312" s="21" t="str">
        <f t="shared" si="4"/>
        <v>2002INT - PRESIDENTE PRUDENTE          10</v>
      </c>
      <c r="B312" t="s">
        <v>94</v>
      </c>
      <c r="C312">
        <v>76</v>
      </c>
      <c r="D312" t="s">
        <v>97</v>
      </c>
      <c r="G312" t="s">
        <v>164</v>
      </c>
      <c r="H312" s="9">
        <v>10</v>
      </c>
      <c r="I312" s="13" t="s">
        <v>95</v>
      </c>
      <c r="J312" s="12">
        <v>1001</v>
      </c>
      <c r="K312" s="8">
        <v>2002</v>
      </c>
    </row>
    <row r="313" spans="1:11" x14ac:dyDescent="0.35">
      <c r="A313" s="21" t="str">
        <f t="shared" si="4"/>
        <v>2002INT - RIBEIRAO PRETO               10</v>
      </c>
      <c r="B313" t="s">
        <v>94</v>
      </c>
      <c r="C313">
        <v>19</v>
      </c>
      <c r="D313" t="s">
        <v>148</v>
      </c>
      <c r="G313" t="s">
        <v>164</v>
      </c>
      <c r="H313" s="9">
        <v>10</v>
      </c>
      <c r="I313" s="13" t="s">
        <v>95</v>
      </c>
      <c r="J313" s="12">
        <v>1001</v>
      </c>
      <c r="K313" s="8">
        <v>2002</v>
      </c>
    </row>
    <row r="314" spans="1:11" x14ac:dyDescent="0.35">
      <c r="A314" s="21" t="str">
        <f t="shared" si="4"/>
        <v>2002INT - S. J. DO RIO PRETO           10</v>
      </c>
      <c r="B314" t="s">
        <v>94</v>
      </c>
      <c r="C314">
        <v>26</v>
      </c>
      <c r="D314" t="s">
        <v>98</v>
      </c>
      <c r="G314" t="s">
        <v>164</v>
      </c>
      <c r="H314" s="9">
        <v>10</v>
      </c>
      <c r="I314" s="13" t="s">
        <v>95</v>
      </c>
      <c r="J314" s="12">
        <v>1001</v>
      </c>
      <c r="K314" s="8">
        <v>2002</v>
      </c>
    </row>
    <row r="315" spans="1:11" x14ac:dyDescent="0.35">
      <c r="A315" s="21" t="str">
        <f t="shared" si="4"/>
        <v>2002INT - SAO CARLOS                   10</v>
      </c>
      <c r="B315" t="s">
        <v>94</v>
      </c>
      <c r="C315">
        <v>61</v>
      </c>
      <c r="D315" t="s">
        <v>157</v>
      </c>
      <c r="G315" t="s">
        <v>164</v>
      </c>
      <c r="H315" s="9">
        <v>10</v>
      </c>
      <c r="I315" s="13" t="s">
        <v>95</v>
      </c>
      <c r="J315" s="12">
        <v>1001</v>
      </c>
      <c r="K315" s="8">
        <v>2002</v>
      </c>
    </row>
    <row r="316" spans="1:11" x14ac:dyDescent="0.35">
      <c r="A316" s="21" t="str">
        <f t="shared" si="4"/>
        <v>2002INT - SOROCABA                     10</v>
      </c>
      <c r="B316" t="s">
        <v>94</v>
      </c>
      <c r="C316">
        <v>275</v>
      </c>
      <c r="D316" t="s">
        <v>99</v>
      </c>
      <c r="G316" t="s">
        <v>164</v>
      </c>
      <c r="H316" s="9">
        <v>10</v>
      </c>
      <c r="I316" s="13" t="s">
        <v>95</v>
      </c>
      <c r="J316" s="12">
        <v>1001</v>
      </c>
      <c r="K316" s="8">
        <v>2002</v>
      </c>
    </row>
    <row r="317" spans="1:11" x14ac:dyDescent="0.35">
      <c r="A317" s="21" t="str">
        <f t="shared" si="4"/>
        <v>2002INT - VALE DO PARAIBA              10</v>
      </c>
      <c r="B317" t="s">
        <v>94</v>
      </c>
      <c r="C317">
        <v>67</v>
      </c>
      <c r="D317" t="s">
        <v>139</v>
      </c>
      <c r="G317" t="s">
        <v>164</v>
      </c>
      <c r="H317" s="9">
        <v>10</v>
      </c>
      <c r="I317" s="13" t="s">
        <v>95</v>
      </c>
      <c r="J317" s="12">
        <v>1001</v>
      </c>
      <c r="K317" s="8">
        <v>2002</v>
      </c>
    </row>
    <row r="318" spans="1:11" x14ac:dyDescent="0.35">
      <c r="A318" s="21" t="str">
        <f t="shared" si="4"/>
        <v>2002RUN-OFF - SP INTERIOR10</v>
      </c>
      <c r="B318" t="s">
        <v>94</v>
      </c>
      <c r="C318" s="4">
        <v>0</v>
      </c>
      <c r="D318" s="9" t="s">
        <v>100</v>
      </c>
      <c r="E318" s="6"/>
      <c r="G318" t="s">
        <v>164</v>
      </c>
      <c r="H318" s="9">
        <v>10</v>
      </c>
      <c r="I318" s="13" t="s">
        <v>95</v>
      </c>
      <c r="J318" s="12">
        <v>1001</v>
      </c>
      <c r="K318" s="8">
        <v>2002</v>
      </c>
    </row>
    <row r="319" spans="1:11" x14ac:dyDescent="0.35">
      <c r="A319" s="21" t="str">
        <f t="shared" si="4"/>
        <v>2002INT - ATNP SP INTERIOR             20</v>
      </c>
      <c r="B319" t="s">
        <v>94</v>
      </c>
      <c r="C319">
        <v>168</v>
      </c>
      <c r="D319" s="18" t="s">
        <v>182</v>
      </c>
      <c r="G319" t="s">
        <v>164</v>
      </c>
      <c r="H319" s="5">
        <v>20</v>
      </c>
      <c r="I319" s="13" t="s">
        <v>101</v>
      </c>
      <c r="J319" s="12">
        <v>1000</v>
      </c>
      <c r="K319" s="8">
        <v>2002</v>
      </c>
    </row>
    <row r="320" spans="1:11" x14ac:dyDescent="0.35">
      <c r="A320" s="21" t="str">
        <f t="shared" si="4"/>
        <v>2002INT - BAURU                        20</v>
      </c>
      <c r="B320" t="s">
        <v>94</v>
      </c>
      <c r="C320">
        <v>25</v>
      </c>
      <c r="D320" t="s">
        <v>96</v>
      </c>
      <c r="G320" t="s">
        <v>164</v>
      </c>
      <c r="H320" s="5">
        <v>20</v>
      </c>
      <c r="I320" s="13" t="s">
        <v>101</v>
      </c>
      <c r="J320" s="12">
        <v>1000</v>
      </c>
      <c r="K320" s="8">
        <v>2002</v>
      </c>
    </row>
    <row r="321" spans="1:11" x14ac:dyDescent="0.35">
      <c r="A321" s="21" t="str">
        <f t="shared" si="4"/>
        <v>2002INT - CAMPINAS/JUNDIAI             20</v>
      </c>
      <c r="B321" t="s">
        <v>94</v>
      </c>
      <c r="C321">
        <v>22</v>
      </c>
      <c r="D321" t="s">
        <v>135</v>
      </c>
      <c r="G321" t="s">
        <v>164</v>
      </c>
      <c r="H321" s="5">
        <v>20</v>
      </c>
      <c r="I321" s="13" t="s">
        <v>101</v>
      </c>
      <c r="J321" s="12">
        <v>1000</v>
      </c>
      <c r="K321" s="8">
        <v>2002</v>
      </c>
    </row>
    <row r="322" spans="1:11" x14ac:dyDescent="0.35">
      <c r="A322" s="21" t="str">
        <f t="shared" ref="A322:A385" si="5">K322&amp;D322&amp;H322</f>
        <v>2002INT - CAMPINAS/JUNDIAI             20</v>
      </c>
      <c r="B322" t="s">
        <v>94</v>
      </c>
      <c r="C322">
        <v>22</v>
      </c>
      <c r="D322" t="s">
        <v>135</v>
      </c>
      <c r="G322" t="s">
        <v>164</v>
      </c>
      <c r="H322" s="5">
        <v>20</v>
      </c>
      <c r="I322" s="13" t="s">
        <v>101</v>
      </c>
      <c r="J322" s="12">
        <v>1000</v>
      </c>
      <c r="K322" s="8">
        <v>2002</v>
      </c>
    </row>
    <row r="323" spans="1:11" x14ac:dyDescent="0.35">
      <c r="A323" s="21" t="str">
        <f t="shared" si="5"/>
        <v>2002INT - PIRACICABA/SOROCABA          20</v>
      </c>
      <c r="B323" t="s">
        <v>94</v>
      </c>
      <c r="C323">
        <v>68</v>
      </c>
      <c r="D323" s="18" t="s">
        <v>180</v>
      </c>
      <c r="G323" t="s">
        <v>164</v>
      </c>
      <c r="H323" s="5">
        <v>20</v>
      </c>
      <c r="I323" s="13" t="s">
        <v>101</v>
      </c>
      <c r="J323" s="12">
        <v>1000</v>
      </c>
      <c r="K323" s="8">
        <v>2002</v>
      </c>
    </row>
    <row r="324" spans="1:11" x14ac:dyDescent="0.35">
      <c r="A324" s="21" t="str">
        <f t="shared" si="5"/>
        <v>2002INT - PRESIDENTE PRUDENTE          20</v>
      </c>
      <c r="B324" t="s">
        <v>94</v>
      </c>
      <c r="C324">
        <v>76</v>
      </c>
      <c r="D324" t="s">
        <v>97</v>
      </c>
      <c r="G324" t="s">
        <v>164</v>
      </c>
      <c r="H324" s="5">
        <v>20</v>
      </c>
      <c r="I324" s="13" t="s">
        <v>101</v>
      </c>
      <c r="J324" s="12">
        <v>1000</v>
      </c>
      <c r="K324" s="8">
        <v>2002</v>
      </c>
    </row>
    <row r="325" spans="1:11" x14ac:dyDescent="0.35">
      <c r="A325" s="21" t="str">
        <f t="shared" si="5"/>
        <v>2002INT - RIBEIRAO PRETO               20</v>
      </c>
      <c r="B325" t="s">
        <v>94</v>
      </c>
      <c r="C325">
        <v>19</v>
      </c>
      <c r="D325" t="s">
        <v>148</v>
      </c>
      <c r="G325" t="s">
        <v>164</v>
      </c>
      <c r="H325" s="5">
        <v>20</v>
      </c>
      <c r="I325" s="13" t="s">
        <v>101</v>
      </c>
      <c r="J325" s="12">
        <v>1000</v>
      </c>
      <c r="K325" s="8">
        <v>2002</v>
      </c>
    </row>
    <row r="326" spans="1:11" x14ac:dyDescent="0.35">
      <c r="A326" s="21" t="str">
        <f t="shared" si="5"/>
        <v>2002INT - S. J. DO RIO PRETO           20</v>
      </c>
      <c r="B326" t="s">
        <v>94</v>
      </c>
      <c r="C326">
        <v>26</v>
      </c>
      <c r="D326" t="s">
        <v>98</v>
      </c>
      <c r="G326" t="s">
        <v>164</v>
      </c>
      <c r="H326" s="5">
        <v>20</v>
      </c>
      <c r="I326" s="13" t="s">
        <v>101</v>
      </c>
      <c r="J326" s="12">
        <v>1000</v>
      </c>
      <c r="K326" s="8">
        <v>2002</v>
      </c>
    </row>
    <row r="327" spans="1:11" x14ac:dyDescent="0.35">
      <c r="A327" s="21" t="str">
        <f t="shared" si="5"/>
        <v>2002INT - SAO CARLOS                   20</v>
      </c>
      <c r="B327" t="s">
        <v>94</v>
      </c>
      <c r="C327">
        <v>61</v>
      </c>
      <c r="D327" t="s">
        <v>157</v>
      </c>
      <c r="G327" t="s">
        <v>164</v>
      </c>
      <c r="H327" s="5">
        <v>20</v>
      </c>
      <c r="I327" s="13" t="s">
        <v>101</v>
      </c>
      <c r="J327" s="12">
        <v>1000</v>
      </c>
      <c r="K327" s="8">
        <v>2002</v>
      </c>
    </row>
    <row r="328" spans="1:11" x14ac:dyDescent="0.35">
      <c r="A328" s="21" t="str">
        <f t="shared" si="5"/>
        <v>2002INT - SOROCABA                     20</v>
      </c>
      <c r="B328" t="s">
        <v>94</v>
      </c>
      <c r="C328">
        <v>275</v>
      </c>
      <c r="D328" t="s">
        <v>99</v>
      </c>
      <c r="G328" t="s">
        <v>164</v>
      </c>
      <c r="H328" s="5">
        <v>20</v>
      </c>
      <c r="I328" s="13" t="s">
        <v>101</v>
      </c>
      <c r="J328" s="12">
        <v>1000</v>
      </c>
      <c r="K328" s="8">
        <v>2002</v>
      </c>
    </row>
    <row r="329" spans="1:11" x14ac:dyDescent="0.35">
      <c r="A329" s="21" t="str">
        <f t="shared" si="5"/>
        <v>2002INT - VALE DO PARAIBA              20</v>
      </c>
      <c r="B329" t="s">
        <v>94</v>
      </c>
      <c r="C329">
        <v>67</v>
      </c>
      <c r="D329" t="s">
        <v>139</v>
      </c>
      <c r="G329" t="s">
        <v>164</v>
      </c>
      <c r="H329" s="5">
        <v>20</v>
      </c>
      <c r="I329" s="13" t="s">
        <v>101</v>
      </c>
      <c r="J329" s="12">
        <v>1000</v>
      </c>
      <c r="K329" s="8">
        <v>2002</v>
      </c>
    </row>
    <row r="330" spans="1:11" x14ac:dyDescent="0.35">
      <c r="A330" s="21" t="str">
        <f t="shared" si="5"/>
        <v>2002RUN-OFF - SP INTERIOR20</v>
      </c>
      <c r="B330" t="s">
        <v>94</v>
      </c>
      <c r="C330" s="4">
        <v>0</v>
      </c>
      <c r="D330" s="9" t="s">
        <v>100</v>
      </c>
      <c r="G330" t="s">
        <v>164</v>
      </c>
      <c r="H330" s="5">
        <v>20</v>
      </c>
      <c r="I330" s="13" t="s">
        <v>101</v>
      </c>
      <c r="J330" s="12">
        <v>1000</v>
      </c>
      <c r="K330" s="8">
        <v>2002</v>
      </c>
    </row>
    <row r="331" spans="1:11" x14ac:dyDescent="0.35">
      <c r="A331" s="21" t="str">
        <f t="shared" si="5"/>
        <v>2024INT - ATNP SP INTERIOR             22</v>
      </c>
      <c r="B331" t="s">
        <v>94</v>
      </c>
      <c r="C331">
        <v>168</v>
      </c>
      <c r="D331" s="18" t="s">
        <v>182</v>
      </c>
      <c r="G331" t="s">
        <v>164</v>
      </c>
      <c r="H331" s="9">
        <v>22</v>
      </c>
      <c r="I331" s="11" t="s">
        <v>102</v>
      </c>
      <c r="J331" s="11">
        <v>1022</v>
      </c>
      <c r="K331" s="8">
        <v>2024</v>
      </c>
    </row>
    <row r="332" spans="1:11" x14ac:dyDescent="0.35">
      <c r="A332" s="21" t="str">
        <f t="shared" si="5"/>
        <v>2024INT - BAURU                        22</v>
      </c>
      <c r="B332" t="s">
        <v>94</v>
      </c>
      <c r="C332">
        <v>25</v>
      </c>
      <c r="D332" t="s">
        <v>96</v>
      </c>
      <c r="G332" t="s">
        <v>164</v>
      </c>
      <c r="H332" s="9">
        <v>22</v>
      </c>
      <c r="I332" s="11" t="s">
        <v>102</v>
      </c>
      <c r="J332" s="11">
        <v>1022</v>
      </c>
      <c r="K332" s="8">
        <v>2024</v>
      </c>
    </row>
    <row r="333" spans="1:11" x14ac:dyDescent="0.35">
      <c r="A333" s="21" t="str">
        <f t="shared" si="5"/>
        <v>2024INT - CAMPINAS/JUNDIAI             22</v>
      </c>
      <c r="B333" t="s">
        <v>94</v>
      </c>
      <c r="C333">
        <v>22</v>
      </c>
      <c r="D333" t="s">
        <v>135</v>
      </c>
      <c r="G333" t="s">
        <v>164</v>
      </c>
      <c r="H333" s="9">
        <v>22</v>
      </c>
      <c r="I333" s="11" t="s">
        <v>102</v>
      </c>
      <c r="J333" s="11">
        <v>1022</v>
      </c>
      <c r="K333" s="8">
        <v>2024</v>
      </c>
    </row>
    <row r="334" spans="1:11" x14ac:dyDescent="0.35">
      <c r="A334" s="21" t="str">
        <f t="shared" si="5"/>
        <v>2024INT - CAMPINAS/JUNDIAI             22</v>
      </c>
      <c r="B334" t="s">
        <v>94</v>
      </c>
      <c r="C334">
        <v>22</v>
      </c>
      <c r="D334" t="s">
        <v>135</v>
      </c>
      <c r="G334" t="s">
        <v>164</v>
      </c>
      <c r="H334" s="9">
        <v>22</v>
      </c>
      <c r="I334" s="11" t="s">
        <v>102</v>
      </c>
      <c r="J334" s="11">
        <v>1022</v>
      </c>
      <c r="K334" s="8">
        <v>2024</v>
      </c>
    </row>
    <row r="335" spans="1:11" x14ac:dyDescent="0.35">
      <c r="A335" s="21" t="str">
        <f t="shared" si="5"/>
        <v>2024INT - PIRACICABA/SOROCABA          22</v>
      </c>
      <c r="B335" t="s">
        <v>94</v>
      </c>
      <c r="C335">
        <v>68</v>
      </c>
      <c r="D335" s="18" t="s">
        <v>180</v>
      </c>
      <c r="G335" t="s">
        <v>164</v>
      </c>
      <c r="H335" s="9">
        <v>22</v>
      </c>
      <c r="I335" s="11" t="s">
        <v>102</v>
      </c>
      <c r="J335" s="11">
        <v>1022</v>
      </c>
      <c r="K335" s="8">
        <v>2024</v>
      </c>
    </row>
    <row r="336" spans="1:11" x14ac:dyDescent="0.35">
      <c r="A336" s="21" t="str">
        <f t="shared" si="5"/>
        <v>2024INT - PRESIDENTE PRUDENTE          22</v>
      </c>
      <c r="B336" t="s">
        <v>94</v>
      </c>
      <c r="C336">
        <v>76</v>
      </c>
      <c r="D336" t="s">
        <v>97</v>
      </c>
      <c r="G336" t="s">
        <v>164</v>
      </c>
      <c r="H336" s="9">
        <v>22</v>
      </c>
      <c r="I336" s="11" t="s">
        <v>102</v>
      </c>
      <c r="J336" s="11">
        <v>1022</v>
      </c>
      <c r="K336" s="8">
        <v>2024</v>
      </c>
    </row>
    <row r="337" spans="1:11" x14ac:dyDescent="0.35">
      <c r="A337" s="21" t="str">
        <f t="shared" si="5"/>
        <v>2024INT - RIBEIRAO PRETO               22</v>
      </c>
      <c r="B337" t="s">
        <v>94</v>
      </c>
      <c r="C337">
        <v>19</v>
      </c>
      <c r="D337" t="s">
        <v>148</v>
      </c>
      <c r="G337" t="s">
        <v>164</v>
      </c>
      <c r="H337" s="9">
        <v>22</v>
      </c>
      <c r="I337" s="11" t="s">
        <v>102</v>
      </c>
      <c r="J337" s="11">
        <v>1022</v>
      </c>
      <c r="K337" s="8">
        <v>2024</v>
      </c>
    </row>
    <row r="338" spans="1:11" x14ac:dyDescent="0.35">
      <c r="A338" s="21" t="str">
        <f t="shared" si="5"/>
        <v>2024INT - S. J. DO RIO PRETO           22</v>
      </c>
      <c r="B338" t="s">
        <v>94</v>
      </c>
      <c r="C338">
        <v>26</v>
      </c>
      <c r="D338" t="s">
        <v>98</v>
      </c>
      <c r="G338" t="s">
        <v>164</v>
      </c>
      <c r="H338" s="9">
        <v>22</v>
      </c>
      <c r="I338" s="11" t="s">
        <v>102</v>
      </c>
      <c r="J338" s="11">
        <v>1022</v>
      </c>
      <c r="K338" s="8">
        <v>2024</v>
      </c>
    </row>
    <row r="339" spans="1:11" x14ac:dyDescent="0.35">
      <c r="A339" s="21" t="str">
        <f t="shared" si="5"/>
        <v>2024INT - SAO CARLOS                   22</v>
      </c>
      <c r="B339" t="s">
        <v>94</v>
      </c>
      <c r="C339">
        <v>61</v>
      </c>
      <c r="D339" t="s">
        <v>157</v>
      </c>
      <c r="G339" t="s">
        <v>164</v>
      </c>
      <c r="H339" s="9">
        <v>22</v>
      </c>
      <c r="I339" s="11" t="s">
        <v>102</v>
      </c>
      <c r="J339" s="11">
        <v>1022</v>
      </c>
      <c r="K339" s="8">
        <v>2024</v>
      </c>
    </row>
    <row r="340" spans="1:11" x14ac:dyDescent="0.35">
      <c r="A340" s="21" t="str">
        <f t="shared" si="5"/>
        <v>2024INT - SOROCABA                     22</v>
      </c>
      <c r="B340" t="s">
        <v>94</v>
      </c>
      <c r="C340">
        <v>275</v>
      </c>
      <c r="D340" t="s">
        <v>99</v>
      </c>
      <c r="G340" t="s">
        <v>164</v>
      </c>
      <c r="H340" s="9">
        <v>22</v>
      </c>
      <c r="I340" s="11" t="s">
        <v>102</v>
      </c>
      <c r="J340" s="11">
        <v>1022</v>
      </c>
      <c r="K340" s="8">
        <v>2024</v>
      </c>
    </row>
    <row r="341" spans="1:11" x14ac:dyDescent="0.35">
      <c r="A341" s="21" t="str">
        <f t="shared" si="5"/>
        <v>2024INT - VALE DO PARAIBA              22</v>
      </c>
      <c r="B341" t="s">
        <v>94</v>
      </c>
      <c r="C341">
        <v>67</v>
      </c>
      <c r="D341" t="s">
        <v>139</v>
      </c>
      <c r="G341" t="s">
        <v>164</v>
      </c>
      <c r="H341" s="9">
        <v>22</v>
      </c>
      <c r="I341" s="11" t="s">
        <v>102</v>
      </c>
      <c r="J341" s="11">
        <v>1022</v>
      </c>
      <c r="K341" s="8">
        <v>2024</v>
      </c>
    </row>
    <row r="342" spans="1:11" x14ac:dyDescent="0.35">
      <c r="A342" s="21" t="str">
        <f t="shared" si="5"/>
        <v>2024RUN-OFF - SP INTERIOR22</v>
      </c>
      <c r="B342" t="s">
        <v>94</v>
      </c>
      <c r="C342" s="4">
        <v>0</v>
      </c>
      <c r="D342" s="9" t="s">
        <v>100</v>
      </c>
      <c r="G342" t="s">
        <v>164</v>
      </c>
      <c r="H342" s="9">
        <v>22</v>
      </c>
      <c r="I342" s="11" t="s">
        <v>102</v>
      </c>
      <c r="J342" s="11">
        <v>1022</v>
      </c>
      <c r="K342" s="8">
        <v>2024</v>
      </c>
    </row>
    <row r="343" spans="1:11" x14ac:dyDescent="0.35">
      <c r="A343" s="21" t="str">
        <f t="shared" si="5"/>
        <v>2024INT - ATNP SP INTERIOR             24</v>
      </c>
      <c r="B343" t="s">
        <v>94</v>
      </c>
      <c r="C343">
        <v>168</v>
      </c>
      <c r="D343" s="18" t="s">
        <v>182</v>
      </c>
      <c r="G343" t="s">
        <v>164</v>
      </c>
      <c r="H343">
        <v>24</v>
      </c>
      <c r="I343" s="11" t="s">
        <v>103</v>
      </c>
      <c r="J343" s="11">
        <v>1021</v>
      </c>
      <c r="K343" s="8">
        <v>2024</v>
      </c>
    </row>
    <row r="344" spans="1:11" x14ac:dyDescent="0.35">
      <c r="A344" s="21" t="str">
        <f t="shared" si="5"/>
        <v>2024INT - BAURU                        24</v>
      </c>
      <c r="B344" t="s">
        <v>94</v>
      </c>
      <c r="C344">
        <v>25</v>
      </c>
      <c r="D344" t="s">
        <v>96</v>
      </c>
      <c r="G344" t="s">
        <v>164</v>
      </c>
      <c r="H344">
        <v>24</v>
      </c>
      <c r="I344" s="11" t="s">
        <v>103</v>
      </c>
      <c r="J344" s="11">
        <v>1021</v>
      </c>
      <c r="K344" s="8">
        <v>2024</v>
      </c>
    </row>
    <row r="345" spans="1:11" x14ac:dyDescent="0.35">
      <c r="A345" s="21" t="str">
        <f t="shared" si="5"/>
        <v>2024INT - CAMPINAS/JUNDIAI             24</v>
      </c>
      <c r="B345" t="s">
        <v>94</v>
      </c>
      <c r="C345">
        <v>22</v>
      </c>
      <c r="D345" t="s">
        <v>135</v>
      </c>
      <c r="G345" t="s">
        <v>164</v>
      </c>
      <c r="H345">
        <v>24</v>
      </c>
      <c r="I345" s="11" t="s">
        <v>103</v>
      </c>
      <c r="J345" s="11">
        <v>1021</v>
      </c>
      <c r="K345" s="8">
        <v>2024</v>
      </c>
    </row>
    <row r="346" spans="1:11" x14ac:dyDescent="0.35">
      <c r="A346" s="21" t="str">
        <f t="shared" si="5"/>
        <v>2024INT - CAMPINAS/JUNDIAI             24</v>
      </c>
      <c r="B346" t="s">
        <v>94</v>
      </c>
      <c r="C346">
        <v>22</v>
      </c>
      <c r="D346" t="s">
        <v>135</v>
      </c>
      <c r="G346" t="s">
        <v>164</v>
      </c>
      <c r="H346">
        <v>24</v>
      </c>
      <c r="I346" s="11" t="s">
        <v>103</v>
      </c>
      <c r="J346" s="11">
        <v>1021</v>
      </c>
      <c r="K346" s="8">
        <v>2024</v>
      </c>
    </row>
    <row r="347" spans="1:11" x14ac:dyDescent="0.35">
      <c r="A347" s="21" t="str">
        <f t="shared" si="5"/>
        <v>2024INT - PIRACICABA/SOROCABA          24</v>
      </c>
      <c r="B347" t="s">
        <v>94</v>
      </c>
      <c r="C347">
        <v>68</v>
      </c>
      <c r="D347" s="18" t="s">
        <v>180</v>
      </c>
      <c r="G347" t="s">
        <v>164</v>
      </c>
      <c r="H347">
        <v>24</v>
      </c>
      <c r="I347" s="11" t="s">
        <v>103</v>
      </c>
      <c r="J347" s="11">
        <v>1021</v>
      </c>
      <c r="K347" s="8">
        <v>2024</v>
      </c>
    </row>
    <row r="348" spans="1:11" x14ac:dyDescent="0.35">
      <c r="A348" s="21" t="str">
        <f t="shared" si="5"/>
        <v>2024INT - PRESIDENTE PRUDENTE          24</v>
      </c>
      <c r="B348" t="s">
        <v>94</v>
      </c>
      <c r="C348">
        <v>76</v>
      </c>
      <c r="D348" t="s">
        <v>97</v>
      </c>
      <c r="G348" t="s">
        <v>164</v>
      </c>
      <c r="H348">
        <v>24</v>
      </c>
      <c r="I348" s="11" t="s">
        <v>103</v>
      </c>
      <c r="J348" s="11">
        <v>1021</v>
      </c>
      <c r="K348" s="8">
        <v>2024</v>
      </c>
    </row>
    <row r="349" spans="1:11" x14ac:dyDescent="0.35">
      <c r="A349" s="21" t="str">
        <f t="shared" si="5"/>
        <v>2024INT - RIBEIRAO PRETO               24</v>
      </c>
      <c r="B349" t="s">
        <v>94</v>
      </c>
      <c r="C349">
        <v>19</v>
      </c>
      <c r="D349" t="s">
        <v>148</v>
      </c>
      <c r="G349" t="s">
        <v>164</v>
      </c>
      <c r="H349">
        <v>24</v>
      </c>
      <c r="I349" s="11" t="s">
        <v>103</v>
      </c>
      <c r="J349" s="11">
        <v>1021</v>
      </c>
      <c r="K349" s="8">
        <v>2024</v>
      </c>
    </row>
    <row r="350" spans="1:11" x14ac:dyDescent="0.35">
      <c r="A350" s="21" t="str">
        <f t="shared" si="5"/>
        <v>2024INT - S. J. DO RIO PRETO           24</v>
      </c>
      <c r="B350" t="s">
        <v>94</v>
      </c>
      <c r="C350">
        <v>26</v>
      </c>
      <c r="D350" t="s">
        <v>98</v>
      </c>
      <c r="G350" t="s">
        <v>164</v>
      </c>
      <c r="H350">
        <v>24</v>
      </c>
      <c r="I350" s="11" t="s">
        <v>103</v>
      </c>
      <c r="J350" s="11">
        <v>1021</v>
      </c>
      <c r="K350" s="8">
        <v>2024</v>
      </c>
    </row>
    <row r="351" spans="1:11" x14ac:dyDescent="0.35">
      <c r="A351" s="21" t="str">
        <f t="shared" si="5"/>
        <v>2024INT - SAO CARLOS                   24</v>
      </c>
      <c r="B351" t="s">
        <v>94</v>
      </c>
      <c r="C351">
        <v>61</v>
      </c>
      <c r="D351" t="s">
        <v>157</v>
      </c>
      <c r="G351" t="s">
        <v>164</v>
      </c>
      <c r="H351">
        <v>24</v>
      </c>
      <c r="I351" s="11" t="s">
        <v>103</v>
      </c>
      <c r="J351" s="11">
        <v>1021</v>
      </c>
      <c r="K351" s="8">
        <v>2024</v>
      </c>
    </row>
    <row r="352" spans="1:11" x14ac:dyDescent="0.35">
      <c r="A352" s="21" t="str">
        <f t="shared" si="5"/>
        <v>2024INT - SOROCABA                     24</v>
      </c>
      <c r="B352" t="s">
        <v>94</v>
      </c>
      <c r="C352">
        <v>275</v>
      </c>
      <c r="D352" t="s">
        <v>99</v>
      </c>
      <c r="G352" t="s">
        <v>164</v>
      </c>
      <c r="H352">
        <v>24</v>
      </c>
      <c r="I352" s="11" t="s">
        <v>103</v>
      </c>
      <c r="J352" s="11">
        <v>1021</v>
      </c>
      <c r="K352" s="8">
        <v>2024</v>
      </c>
    </row>
    <row r="353" spans="1:11" x14ac:dyDescent="0.35">
      <c r="A353" s="21" t="str">
        <f t="shared" si="5"/>
        <v>2024INT - VALE DO PARAIBA              24</v>
      </c>
      <c r="B353" t="s">
        <v>94</v>
      </c>
      <c r="C353">
        <v>67</v>
      </c>
      <c r="D353" t="s">
        <v>139</v>
      </c>
      <c r="G353" t="s">
        <v>164</v>
      </c>
      <c r="H353">
        <v>24</v>
      </c>
      <c r="I353" s="11" t="s">
        <v>103</v>
      </c>
      <c r="J353" s="11">
        <v>1021</v>
      </c>
      <c r="K353" s="8">
        <v>2024</v>
      </c>
    </row>
    <row r="354" spans="1:11" x14ac:dyDescent="0.35">
      <c r="A354" s="21" t="str">
        <f t="shared" si="5"/>
        <v>2024RUN-OFF - SP INTERIOR24</v>
      </c>
      <c r="B354" t="s">
        <v>94</v>
      </c>
      <c r="C354" s="4">
        <v>0</v>
      </c>
      <c r="D354" s="9" t="s">
        <v>100</v>
      </c>
      <c r="G354" t="s">
        <v>164</v>
      </c>
      <c r="H354">
        <v>24</v>
      </c>
      <c r="I354" s="11" t="s">
        <v>103</v>
      </c>
      <c r="J354" s="11">
        <v>1021</v>
      </c>
      <c r="K354" s="8">
        <v>2024</v>
      </c>
    </row>
    <row r="355" spans="1:11" x14ac:dyDescent="0.35">
      <c r="A355" s="21" t="str">
        <f t="shared" si="5"/>
        <v>2024INT - ATNP SP INTERIOR             15</v>
      </c>
      <c r="B355" t="s">
        <v>94</v>
      </c>
      <c r="C355">
        <v>168</v>
      </c>
      <c r="D355" s="18" t="s">
        <v>182</v>
      </c>
      <c r="G355" t="s">
        <v>164</v>
      </c>
      <c r="H355" s="5">
        <v>15</v>
      </c>
      <c r="I355" s="11" t="s">
        <v>104</v>
      </c>
      <c r="J355" s="11">
        <v>1023</v>
      </c>
      <c r="K355" s="8">
        <v>2024</v>
      </c>
    </row>
    <row r="356" spans="1:11" x14ac:dyDescent="0.35">
      <c r="A356" s="21" t="str">
        <f t="shared" si="5"/>
        <v>2024INT - BAURU                        15</v>
      </c>
      <c r="B356" t="s">
        <v>94</v>
      </c>
      <c r="C356">
        <v>25</v>
      </c>
      <c r="D356" t="s">
        <v>96</v>
      </c>
      <c r="G356" t="s">
        <v>164</v>
      </c>
      <c r="H356" s="5">
        <v>15</v>
      </c>
      <c r="I356" s="11" t="s">
        <v>104</v>
      </c>
      <c r="J356" s="11">
        <v>1023</v>
      </c>
      <c r="K356" s="8">
        <v>2024</v>
      </c>
    </row>
    <row r="357" spans="1:11" x14ac:dyDescent="0.35">
      <c r="A357" s="21" t="str">
        <f t="shared" si="5"/>
        <v>2024INT - CAMPINAS/JUNDIAI             15</v>
      </c>
      <c r="B357" t="s">
        <v>94</v>
      </c>
      <c r="C357">
        <v>22</v>
      </c>
      <c r="D357" t="s">
        <v>135</v>
      </c>
      <c r="G357" t="s">
        <v>164</v>
      </c>
      <c r="H357" s="5">
        <v>15</v>
      </c>
      <c r="I357" s="11" t="s">
        <v>104</v>
      </c>
      <c r="J357" s="11">
        <v>1023</v>
      </c>
      <c r="K357" s="8">
        <v>2024</v>
      </c>
    </row>
    <row r="358" spans="1:11" x14ac:dyDescent="0.35">
      <c r="A358" s="21" t="str">
        <f t="shared" si="5"/>
        <v>2024INT - CAMPINAS/JUNDIAI             15</v>
      </c>
      <c r="B358" t="s">
        <v>94</v>
      </c>
      <c r="C358">
        <v>22</v>
      </c>
      <c r="D358" t="s">
        <v>135</v>
      </c>
      <c r="G358" t="s">
        <v>164</v>
      </c>
      <c r="H358" s="5">
        <v>15</v>
      </c>
      <c r="I358" s="11" t="s">
        <v>104</v>
      </c>
      <c r="J358" s="11">
        <v>1023</v>
      </c>
      <c r="K358" s="8">
        <v>2024</v>
      </c>
    </row>
    <row r="359" spans="1:11" x14ac:dyDescent="0.35">
      <c r="A359" s="21" t="str">
        <f t="shared" si="5"/>
        <v>2024INT - PIRACICABA/SOROCABA          15</v>
      </c>
      <c r="B359" t="s">
        <v>94</v>
      </c>
      <c r="C359">
        <v>68</v>
      </c>
      <c r="D359" s="18" t="s">
        <v>180</v>
      </c>
      <c r="G359" t="s">
        <v>164</v>
      </c>
      <c r="H359" s="5">
        <v>15</v>
      </c>
      <c r="I359" s="11" t="s">
        <v>104</v>
      </c>
      <c r="J359" s="11">
        <v>1023</v>
      </c>
      <c r="K359" s="8">
        <v>2024</v>
      </c>
    </row>
    <row r="360" spans="1:11" x14ac:dyDescent="0.35">
      <c r="A360" s="21" t="str">
        <f t="shared" si="5"/>
        <v>2024INT - PRESIDENTE PRUDENTE          15</v>
      </c>
      <c r="B360" t="s">
        <v>94</v>
      </c>
      <c r="C360">
        <v>76</v>
      </c>
      <c r="D360" t="s">
        <v>97</v>
      </c>
      <c r="G360" t="s">
        <v>164</v>
      </c>
      <c r="H360" s="5">
        <v>15</v>
      </c>
      <c r="I360" s="11" t="s">
        <v>104</v>
      </c>
      <c r="J360" s="11">
        <v>1023</v>
      </c>
      <c r="K360" s="8">
        <v>2024</v>
      </c>
    </row>
    <row r="361" spans="1:11" x14ac:dyDescent="0.35">
      <c r="A361" s="21" t="str">
        <f t="shared" si="5"/>
        <v>2024INT - RIBEIRAO PRETO               15</v>
      </c>
      <c r="B361" t="s">
        <v>94</v>
      </c>
      <c r="C361">
        <v>19</v>
      </c>
      <c r="D361" t="s">
        <v>148</v>
      </c>
      <c r="G361" t="s">
        <v>164</v>
      </c>
      <c r="H361" s="5">
        <v>15</v>
      </c>
      <c r="I361" s="11" t="s">
        <v>104</v>
      </c>
      <c r="J361" s="11">
        <v>1023</v>
      </c>
      <c r="K361" s="8">
        <v>2024</v>
      </c>
    </row>
    <row r="362" spans="1:11" x14ac:dyDescent="0.35">
      <c r="A362" s="21" t="str">
        <f t="shared" si="5"/>
        <v>2024INT - S. J. DO RIO PRETO           15</v>
      </c>
      <c r="B362" t="s">
        <v>94</v>
      </c>
      <c r="C362">
        <v>26</v>
      </c>
      <c r="D362" t="s">
        <v>98</v>
      </c>
      <c r="G362" t="s">
        <v>164</v>
      </c>
      <c r="H362" s="5">
        <v>15</v>
      </c>
      <c r="I362" s="11" t="s">
        <v>104</v>
      </c>
      <c r="J362" s="11">
        <v>1023</v>
      </c>
      <c r="K362" s="8">
        <v>2024</v>
      </c>
    </row>
    <row r="363" spans="1:11" x14ac:dyDescent="0.35">
      <c r="A363" s="21" t="str">
        <f t="shared" si="5"/>
        <v>2024INT - SAO CARLOS                   15</v>
      </c>
      <c r="B363" t="s">
        <v>94</v>
      </c>
      <c r="C363">
        <v>61</v>
      </c>
      <c r="D363" t="s">
        <v>157</v>
      </c>
      <c r="G363" t="s">
        <v>164</v>
      </c>
      <c r="H363" s="5">
        <v>15</v>
      </c>
      <c r="I363" s="11" t="s">
        <v>104</v>
      </c>
      <c r="J363" s="11">
        <v>1023</v>
      </c>
      <c r="K363" s="8">
        <v>2024</v>
      </c>
    </row>
    <row r="364" spans="1:11" x14ac:dyDescent="0.35">
      <c r="A364" s="21" t="str">
        <f t="shared" si="5"/>
        <v>2024INT - SOROCABA                     15</v>
      </c>
      <c r="B364" t="s">
        <v>94</v>
      </c>
      <c r="C364">
        <v>275</v>
      </c>
      <c r="D364" t="s">
        <v>99</v>
      </c>
      <c r="G364" t="s">
        <v>164</v>
      </c>
      <c r="H364" s="5">
        <v>15</v>
      </c>
      <c r="I364" s="11" t="s">
        <v>104</v>
      </c>
      <c r="J364" s="11">
        <v>1023</v>
      </c>
      <c r="K364" s="8">
        <v>2024</v>
      </c>
    </row>
    <row r="365" spans="1:11" x14ac:dyDescent="0.35">
      <c r="A365" s="21" t="str">
        <f t="shared" si="5"/>
        <v>2024INT - VALE DO PARAIBA              15</v>
      </c>
      <c r="B365" t="s">
        <v>94</v>
      </c>
      <c r="C365">
        <v>67</v>
      </c>
      <c r="D365" t="s">
        <v>139</v>
      </c>
      <c r="G365" t="s">
        <v>164</v>
      </c>
      <c r="H365" s="5">
        <v>15</v>
      </c>
      <c r="I365" s="11" t="s">
        <v>104</v>
      </c>
      <c r="J365" s="11">
        <v>1023</v>
      </c>
      <c r="K365" s="8">
        <v>2024</v>
      </c>
    </row>
    <row r="366" spans="1:11" x14ac:dyDescent="0.35">
      <c r="A366" s="21" t="str">
        <f t="shared" si="5"/>
        <v>2024RUN-OFF - SP INTERIOR15</v>
      </c>
      <c r="B366" t="s">
        <v>94</v>
      </c>
      <c r="C366" s="4">
        <v>0</v>
      </c>
      <c r="D366" s="9" t="s">
        <v>100</v>
      </c>
      <c r="G366" t="s">
        <v>164</v>
      </c>
      <c r="H366" s="5">
        <v>15</v>
      </c>
      <c r="I366" s="11" t="s">
        <v>104</v>
      </c>
      <c r="J366" s="11">
        <v>1023</v>
      </c>
      <c r="K366" s="8">
        <v>2024</v>
      </c>
    </row>
    <row r="367" spans="1:11" x14ac:dyDescent="0.35">
      <c r="A367" s="21" t="str">
        <f t="shared" si="5"/>
        <v>2002SUL - FLORIANOPOLIS                10</v>
      </c>
      <c r="B367" t="s">
        <v>105</v>
      </c>
      <c r="C367">
        <v>71</v>
      </c>
      <c r="D367" t="s">
        <v>136</v>
      </c>
      <c r="G367" t="s">
        <v>163</v>
      </c>
      <c r="H367" s="9">
        <v>10</v>
      </c>
      <c r="I367" s="13" t="s">
        <v>106</v>
      </c>
      <c r="J367" s="12">
        <v>1005</v>
      </c>
      <c r="K367" s="8">
        <v>2002</v>
      </c>
    </row>
    <row r="368" spans="1:11" x14ac:dyDescent="0.35">
      <c r="A368" s="21" t="str">
        <f t="shared" si="5"/>
        <v>2002SUL - JOINVILLE                    10</v>
      </c>
      <c r="B368" t="s">
        <v>105</v>
      </c>
      <c r="C368">
        <v>51</v>
      </c>
      <c r="D368" t="s">
        <v>107</v>
      </c>
      <c r="G368" t="s">
        <v>163</v>
      </c>
      <c r="H368" s="9">
        <v>10</v>
      </c>
      <c r="I368" s="13" t="s">
        <v>106</v>
      </c>
      <c r="J368" s="12">
        <v>1005</v>
      </c>
      <c r="K368" s="8">
        <v>2002</v>
      </c>
    </row>
    <row r="369" spans="1:11" x14ac:dyDescent="0.35">
      <c r="A369" s="21" t="str">
        <f t="shared" si="5"/>
        <v>2002SUL - LONDRINA                     10</v>
      </c>
      <c r="B369" t="s">
        <v>105</v>
      </c>
      <c r="C369">
        <v>32</v>
      </c>
      <c r="D369" t="s">
        <v>108</v>
      </c>
      <c r="G369" t="s">
        <v>165</v>
      </c>
      <c r="H369" s="9">
        <v>10</v>
      </c>
      <c r="I369" s="13" t="s">
        <v>106</v>
      </c>
      <c r="J369" s="12">
        <v>1005</v>
      </c>
      <c r="K369" s="8">
        <v>2002</v>
      </c>
    </row>
    <row r="370" spans="1:11" x14ac:dyDescent="0.35">
      <c r="A370" s="21" t="str">
        <f t="shared" si="5"/>
        <v>2002SUL - MARINGA                      10</v>
      </c>
      <c r="B370" t="s">
        <v>105</v>
      </c>
      <c r="C370">
        <v>292</v>
      </c>
      <c r="D370" t="s">
        <v>154</v>
      </c>
      <c r="G370" t="s">
        <v>165</v>
      </c>
      <c r="H370" s="9">
        <v>10</v>
      </c>
      <c r="I370" s="13" t="s">
        <v>106</v>
      </c>
      <c r="J370" s="12">
        <v>1005</v>
      </c>
      <c r="K370" s="8">
        <v>2002</v>
      </c>
    </row>
    <row r="371" spans="1:11" x14ac:dyDescent="0.35">
      <c r="A371" s="21" t="str">
        <f t="shared" si="5"/>
        <v>2002SUL - PLANALTO                     10</v>
      </c>
      <c r="B371" t="s">
        <v>116</v>
      </c>
      <c r="C371">
        <v>119</v>
      </c>
      <c r="D371" t="s">
        <v>109</v>
      </c>
      <c r="G371" t="s">
        <v>165</v>
      </c>
      <c r="H371" s="9">
        <v>10</v>
      </c>
      <c r="I371" s="13" t="s">
        <v>106</v>
      </c>
      <c r="J371" s="12">
        <v>1007</v>
      </c>
      <c r="K371" s="8">
        <v>2002</v>
      </c>
    </row>
    <row r="372" spans="1:11" x14ac:dyDescent="0.35">
      <c r="A372" s="21" t="str">
        <f t="shared" si="5"/>
        <v>2002SUL - PORTO ALEGRE                 10</v>
      </c>
      <c r="B372" t="s">
        <v>116</v>
      </c>
      <c r="C372">
        <v>45</v>
      </c>
      <c r="D372" t="s">
        <v>142</v>
      </c>
      <c r="G372" t="s">
        <v>165</v>
      </c>
      <c r="H372" s="9">
        <v>10</v>
      </c>
      <c r="I372" s="13" t="s">
        <v>106</v>
      </c>
      <c r="J372" s="12">
        <v>1007</v>
      </c>
      <c r="K372" s="8">
        <v>2002</v>
      </c>
    </row>
    <row r="373" spans="1:11" x14ac:dyDescent="0.35">
      <c r="A373" s="21" t="str">
        <f t="shared" si="5"/>
        <v>2002SUL - POA SÃO JOÃO                 10</v>
      </c>
      <c r="B373" t="s">
        <v>116</v>
      </c>
      <c r="C373">
        <v>45</v>
      </c>
      <c r="D373" t="s">
        <v>110</v>
      </c>
      <c r="G373" t="s">
        <v>165</v>
      </c>
      <c r="H373" s="9">
        <v>10</v>
      </c>
      <c r="I373" s="13" t="s">
        <v>106</v>
      </c>
      <c r="J373" s="12">
        <v>1007</v>
      </c>
      <c r="K373" s="8">
        <v>2002</v>
      </c>
    </row>
    <row r="374" spans="1:11" x14ac:dyDescent="0.35">
      <c r="A374" s="21" t="str">
        <f t="shared" si="5"/>
        <v>2002SUL - SANTA CRUZ                   10</v>
      </c>
      <c r="B374" t="s">
        <v>116</v>
      </c>
      <c r="C374">
        <v>261</v>
      </c>
      <c r="D374" t="s">
        <v>111</v>
      </c>
      <c r="G374" t="s">
        <v>165</v>
      </c>
      <c r="H374" s="9">
        <v>10</v>
      </c>
      <c r="I374" s="13" t="s">
        <v>106</v>
      </c>
      <c r="J374" s="12">
        <v>1007</v>
      </c>
      <c r="K374" s="8">
        <v>2002</v>
      </c>
    </row>
    <row r="375" spans="1:11" x14ac:dyDescent="0.35">
      <c r="A375" s="21" t="str">
        <f t="shared" si="5"/>
        <v>2002SUL - FLORIANOPOLIS                20</v>
      </c>
      <c r="B375" t="s">
        <v>105</v>
      </c>
      <c r="C375">
        <v>71</v>
      </c>
      <c r="D375" t="s">
        <v>136</v>
      </c>
      <c r="G375" t="s">
        <v>163</v>
      </c>
      <c r="H375" s="5">
        <v>20</v>
      </c>
      <c r="I375" s="13" t="s">
        <v>112</v>
      </c>
      <c r="J375" s="12">
        <v>1004</v>
      </c>
      <c r="K375" s="8">
        <v>2002</v>
      </c>
    </row>
    <row r="376" spans="1:11" x14ac:dyDescent="0.35">
      <c r="A376" s="21" t="str">
        <f t="shared" si="5"/>
        <v>2002SUL - JOINVILLE                    20</v>
      </c>
      <c r="B376" t="s">
        <v>105</v>
      </c>
      <c r="C376">
        <v>51</v>
      </c>
      <c r="D376" t="s">
        <v>107</v>
      </c>
      <c r="G376" t="s">
        <v>163</v>
      </c>
      <c r="H376" s="5">
        <v>20</v>
      </c>
      <c r="I376" s="13" t="s">
        <v>112</v>
      </c>
      <c r="J376" s="12">
        <v>1004</v>
      </c>
      <c r="K376" s="8">
        <v>2002</v>
      </c>
    </row>
    <row r="377" spans="1:11" x14ac:dyDescent="0.35">
      <c r="A377" s="21" t="str">
        <f t="shared" si="5"/>
        <v>2002SUL - LONDRINA                     20</v>
      </c>
      <c r="B377" t="s">
        <v>105</v>
      </c>
      <c r="C377">
        <v>32</v>
      </c>
      <c r="D377" t="s">
        <v>108</v>
      </c>
      <c r="G377" t="s">
        <v>165</v>
      </c>
      <c r="H377" s="5">
        <v>20</v>
      </c>
      <c r="I377" s="13" t="s">
        <v>112</v>
      </c>
      <c r="J377" s="12">
        <v>1004</v>
      </c>
      <c r="K377" s="8">
        <v>2002</v>
      </c>
    </row>
    <row r="378" spans="1:11" x14ac:dyDescent="0.35">
      <c r="A378" s="21" t="str">
        <f t="shared" si="5"/>
        <v>2002SUL - MARINGA                      20</v>
      </c>
      <c r="B378" t="s">
        <v>105</v>
      </c>
      <c r="C378">
        <v>292</v>
      </c>
      <c r="D378" t="s">
        <v>154</v>
      </c>
      <c r="G378" t="s">
        <v>165</v>
      </c>
      <c r="H378" s="5">
        <v>20</v>
      </c>
      <c r="I378" s="13" t="s">
        <v>112</v>
      </c>
      <c r="J378" s="12">
        <v>1004</v>
      </c>
      <c r="K378" s="8">
        <v>2002</v>
      </c>
    </row>
    <row r="379" spans="1:11" x14ac:dyDescent="0.35">
      <c r="A379" s="21" t="str">
        <f t="shared" si="5"/>
        <v>2002SUL - PLANALTO                     20</v>
      </c>
      <c r="B379" t="s">
        <v>116</v>
      </c>
      <c r="C379">
        <v>119</v>
      </c>
      <c r="D379" t="s">
        <v>109</v>
      </c>
      <c r="G379" t="s">
        <v>165</v>
      </c>
      <c r="H379" s="5">
        <v>20</v>
      </c>
      <c r="I379" s="13" t="s">
        <v>112</v>
      </c>
      <c r="J379" s="12">
        <v>1006</v>
      </c>
      <c r="K379" s="8">
        <v>2002</v>
      </c>
    </row>
    <row r="380" spans="1:11" x14ac:dyDescent="0.35">
      <c r="A380" s="21" t="str">
        <f t="shared" si="5"/>
        <v>2002SUL - PORTO ALEGRE                 20</v>
      </c>
      <c r="B380" t="s">
        <v>116</v>
      </c>
      <c r="C380">
        <v>45</v>
      </c>
      <c r="D380" t="s">
        <v>142</v>
      </c>
      <c r="G380" t="s">
        <v>165</v>
      </c>
      <c r="H380" s="5">
        <v>20</v>
      </c>
      <c r="I380" s="13" t="s">
        <v>112</v>
      </c>
      <c r="J380" s="12">
        <v>1006</v>
      </c>
      <c r="K380" s="8">
        <v>2002</v>
      </c>
    </row>
    <row r="381" spans="1:11" x14ac:dyDescent="0.35">
      <c r="A381" s="21" t="str">
        <f t="shared" si="5"/>
        <v>2002SUL - POA SÃO JOÃO                 20</v>
      </c>
      <c r="B381" t="s">
        <v>116</v>
      </c>
      <c r="C381">
        <v>45</v>
      </c>
      <c r="D381" t="s">
        <v>110</v>
      </c>
      <c r="G381" t="s">
        <v>165</v>
      </c>
      <c r="H381" s="5">
        <v>20</v>
      </c>
      <c r="I381" s="13" t="s">
        <v>112</v>
      </c>
      <c r="J381" s="12">
        <v>1006</v>
      </c>
      <c r="K381" s="8">
        <v>2002</v>
      </c>
    </row>
    <row r="382" spans="1:11" x14ac:dyDescent="0.35">
      <c r="A382" s="21" t="str">
        <f t="shared" si="5"/>
        <v>2002SUL - SANTA CRUZ                   20</v>
      </c>
      <c r="B382" t="s">
        <v>116</v>
      </c>
      <c r="C382">
        <v>261</v>
      </c>
      <c r="D382" t="s">
        <v>111</v>
      </c>
      <c r="G382" t="s">
        <v>165</v>
      </c>
      <c r="H382" s="5">
        <v>20</v>
      </c>
      <c r="I382" s="13" t="s">
        <v>112</v>
      </c>
      <c r="J382" s="12">
        <v>1006</v>
      </c>
      <c r="K382" s="8">
        <v>2002</v>
      </c>
    </row>
    <row r="383" spans="1:11" x14ac:dyDescent="0.35">
      <c r="A383" s="21" t="str">
        <f t="shared" si="5"/>
        <v>2024SUL - FLORIANOPOLIS                22</v>
      </c>
      <c r="B383" t="s">
        <v>105</v>
      </c>
      <c r="C383">
        <v>71</v>
      </c>
      <c r="D383" t="s">
        <v>136</v>
      </c>
      <c r="G383" t="s">
        <v>163</v>
      </c>
      <c r="H383" s="9">
        <v>22</v>
      </c>
      <c r="I383" s="11" t="s">
        <v>113</v>
      </c>
      <c r="J383" s="11">
        <v>1028</v>
      </c>
      <c r="K383" s="8">
        <v>2024</v>
      </c>
    </row>
    <row r="384" spans="1:11" x14ac:dyDescent="0.35">
      <c r="A384" s="21" t="str">
        <f t="shared" si="5"/>
        <v>2024SUL - JOINVILLE                    22</v>
      </c>
      <c r="B384" t="s">
        <v>105</v>
      </c>
      <c r="C384">
        <v>51</v>
      </c>
      <c r="D384" t="s">
        <v>107</v>
      </c>
      <c r="G384" t="s">
        <v>163</v>
      </c>
      <c r="H384" s="9">
        <v>22</v>
      </c>
      <c r="I384" s="11" t="s">
        <v>113</v>
      </c>
      <c r="J384" s="11">
        <v>1028</v>
      </c>
      <c r="K384" s="8">
        <v>2024</v>
      </c>
    </row>
    <row r="385" spans="1:11" x14ac:dyDescent="0.35">
      <c r="A385" s="21" t="str">
        <f t="shared" si="5"/>
        <v>2024SUL - LONDRINA                     22</v>
      </c>
      <c r="B385" t="s">
        <v>105</v>
      </c>
      <c r="C385">
        <v>32</v>
      </c>
      <c r="D385" t="s">
        <v>108</v>
      </c>
      <c r="G385" t="s">
        <v>165</v>
      </c>
      <c r="H385" s="9">
        <v>22</v>
      </c>
      <c r="I385" s="11" t="s">
        <v>113</v>
      </c>
      <c r="J385" s="11">
        <v>1028</v>
      </c>
      <c r="K385" s="8">
        <v>2024</v>
      </c>
    </row>
    <row r="386" spans="1:11" x14ac:dyDescent="0.35">
      <c r="A386" s="21" t="str">
        <f t="shared" ref="A386:A449" si="6">K386&amp;D386&amp;H386</f>
        <v>2024SUL - MARINGA                      22</v>
      </c>
      <c r="B386" t="s">
        <v>105</v>
      </c>
      <c r="C386">
        <v>292</v>
      </c>
      <c r="D386" t="s">
        <v>154</v>
      </c>
      <c r="G386" t="s">
        <v>165</v>
      </c>
      <c r="H386" s="9">
        <v>22</v>
      </c>
      <c r="I386" s="11" t="s">
        <v>113</v>
      </c>
      <c r="J386" s="11">
        <v>1028</v>
      </c>
      <c r="K386" s="8">
        <v>2024</v>
      </c>
    </row>
    <row r="387" spans="1:11" x14ac:dyDescent="0.35">
      <c r="A387" s="21" t="str">
        <f t="shared" si="6"/>
        <v>2024SUL - PLANALTO                     22</v>
      </c>
      <c r="B387" t="s">
        <v>116</v>
      </c>
      <c r="C387">
        <v>119</v>
      </c>
      <c r="D387" t="s">
        <v>109</v>
      </c>
      <c r="G387" t="s">
        <v>165</v>
      </c>
      <c r="H387" s="9">
        <v>22</v>
      </c>
      <c r="I387" s="11" t="s">
        <v>113</v>
      </c>
      <c r="J387" s="11">
        <v>1031</v>
      </c>
      <c r="K387" s="8">
        <v>2024</v>
      </c>
    </row>
    <row r="388" spans="1:11" x14ac:dyDescent="0.35">
      <c r="A388" s="21" t="str">
        <f t="shared" si="6"/>
        <v>2024SUL - PORTO ALEGRE                 22</v>
      </c>
      <c r="B388" t="s">
        <v>116</v>
      </c>
      <c r="C388">
        <v>45</v>
      </c>
      <c r="D388" t="s">
        <v>142</v>
      </c>
      <c r="G388" t="s">
        <v>165</v>
      </c>
      <c r="H388" s="9">
        <v>22</v>
      </c>
      <c r="I388" s="11" t="s">
        <v>113</v>
      </c>
      <c r="J388" s="11">
        <v>1031</v>
      </c>
      <c r="K388" s="8">
        <v>2024</v>
      </c>
    </row>
    <row r="389" spans="1:11" x14ac:dyDescent="0.35">
      <c r="A389" s="21" t="str">
        <f t="shared" si="6"/>
        <v>2024SUL - POA SÃO JOÃO                 22</v>
      </c>
      <c r="B389" t="s">
        <v>116</v>
      </c>
      <c r="C389">
        <v>45</v>
      </c>
      <c r="D389" t="s">
        <v>110</v>
      </c>
      <c r="G389" t="s">
        <v>165</v>
      </c>
      <c r="H389" s="9">
        <v>22</v>
      </c>
      <c r="I389" s="11" t="s">
        <v>113</v>
      </c>
      <c r="J389" s="11">
        <v>1031</v>
      </c>
      <c r="K389" s="8">
        <v>2024</v>
      </c>
    </row>
    <row r="390" spans="1:11" x14ac:dyDescent="0.35">
      <c r="A390" s="21" t="str">
        <f t="shared" si="6"/>
        <v>2024SUL - SANTA CRUZ                   22</v>
      </c>
      <c r="B390" t="s">
        <v>116</v>
      </c>
      <c r="C390">
        <v>261</v>
      </c>
      <c r="D390" t="s">
        <v>111</v>
      </c>
      <c r="G390" t="s">
        <v>165</v>
      </c>
      <c r="H390" s="9">
        <v>22</v>
      </c>
      <c r="I390" s="11" t="s">
        <v>113</v>
      </c>
      <c r="J390" s="11">
        <v>1031</v>
      </c>
      <c r="K390" s="8">
        <v>2024</v>
      </c>
    </row>
    <row r="391" spans="1:11" x14ac:dyDescent="0.35">
      <c r="A391" s="21" t="str">
        <f t="shared" si="6"/>
        <v>2024SUL - FLORIANOPOLIS                24</v>
      </c>
      <c r="B391" t="s">
        <v>105</v>
      </c>
      <c r="C391">
        <v>71</v>
      </c>
      <c r="D391" t="s">
        <v>136</v>
      </c>
      <c r="G391" t="s">
        <v>163</v>
      </c>
      <c r="H391" s="9">
        <v>24</v>
      </c>
      <c r="I391" s="11" t="s">
        <v>114</v>
      </c>
      <c r="J391" s="11">
        <v>1027</v>
      </c>
      <c r="K391" s="8">
        <v>2024</v>
      </c>
    </row>
    <row r="392" spans="1:11" x14ac:dyDescent="0.35">
      <c r="A392" s="21" t="str">
        <f t="shared" si="6"/>
        <v>2024SUL - JOINVILLE                    24</v>
      </c>
      <c r="B392" t="s">
        <v>105</v>
      </c>
      <c r="C392">
        <v>51</v>
      </c>
      <c r="D392" t="s">
        <v>107</v>
      </c>
      <c r="G392" t="s">
        <v>163</v>
      </c>
      <c r="H392" s="9">
        <v>24</v>
      </c>
      <c r="I392" s="11" t="s">
        <v>114</v>
      </c>
      <c r="J392" s="11">
        <v>1027</v>
      </c>
      <c r="K392" s="8">
        <v>2024</v>
      </c>
    </row>
    <row r="393" spans="1:11" x14ac:dyDescent="0.35">
      <c r="A393" s="21" t="str">
        <f t="shared" si="6"/>
        <v>2024SUL - LONDRINA                     24</v>
      </c>
      <c r="B393" t="s">
        <v>105</v>
      </c>
      <c r="C393">
        <v>32</v>
      </c>
      <c r="D393" t="s">
        <v>108</v>
      </c>
      <c r="G393" t="s">
        <v>165</v>
      </c>
      <c r="H393" s="9">
        <v>24</v>
      </c>
      <c r="I393" s="11" t="s">
        <v>114</v>
      </c>
      <c r="J393" s="11">
        <v>1027</v>
      </c>
      <c r="K393" s="8">
        <v>2024</v>
      </c>
    </row>
    <row r="394" spans="1:11" x14ac:dyDescent="0.35">
      <c r="A394" s="21" t="str">
        <f t="shared" si="6"/>
        <v>2024SUL - MARINGA                      24</v>
      </c>
      <c r="B394" t="s">
        <v>105</v>
      </c>
      <c r="C394">
        <v>292</v>
      </c>
      <c r="D394" t="s">
        <v>154</v>
      </c>
      <c r="G394" t="s">
        <v>165</v>
      </c>
      <c r="H394" s="9">
        <v>24</v>
      </c>
      <c r="I394" s="11" t="s">
        <v>114</v>
      </c>
      <c r="J394" s="11">
        <v>1027</v>
      </c>
      <c r="K394" s="8">
        <v>2024</v>
      </c>
    </row>
    <row r="395" spans="1:11" x14ac:dyDescent="0.35">
      <c r="A395" s="21" t="str">
        <f t="shared" si="6"/>
        <v>2024SUL - PLANALTO                     24</v>
      </c>
      <c r="B395" t="s">
        <v>116</v>
      </c>
      <c r="C395">
        <v>119</v>
      </c>
      <c r="D395" t="s">
        <v>109</v>
      </c>
      <c r="G395" t="s">
        <v>165</v>
      </c>
      <c r="H395" s="9">
        <v>24</v>
      </c>
      <c r="I395" s="11" t="s">
        <v>114</v>
      </c>
      <c r="J395" s="11">
        <v>1030</v>
      </c>
      <c r="K395" s="8">
        <v>2024</v>
      </c>
    </row>
    <row r="396" spans="1:11" x14ac:dyDescent="0.35">
      <c r="A396" s="21" t="str">
        <f t="shared" si="6"/>
        <v>2024SUL - PORTO ALEGRE                 24</v>
      </c>
      <c r="B396" t="s">
        <v>116</v>
      </c>
      <c r="C396">
        <v>45</v>
      </c>
      <c r="D396" t="s">
        <v>142</v>
      </c>
      <c r="G396" t="s">
        <v>165</v>
      </c>
      <c r="H396" s="9">
        <v>24</v>
      </c>
      <c r="I396" s="11" t="s">
        <v>114</v>
      </c>
      <c r="J396" s="11">
        <v>1030</v>
      </c>
      <c r="K396" s="8">
        <v>2024</v>
      </c>
    </row>
    <row r="397" spans="1:11" x14ac:dyDescent="0.35">
      <c r="A397" s="21" t="str">
        <f t="shared" si="6"/>
        <v>2024SUL - POA SÃO JOÃO                 24</v>
      </c>
      <c r="B397" t="s">
        <v>116</v>
      </c>
      <c r="C397">
        <v>45</v>
      </c>
      <c r="D397" t="s">
        <v>110</v>
      </c>
      <c r="G397" t="s">
        <v>165</v>
      </c>
      <c r="H397" s="9">
        <v>24</v>
      </c>
      <c r="I397" s="11" t="s">
        <v>114</v>
      </c>
      <c r="J397" s="11">
        <v>1030</v>
      </c>
      <c r="K397" s="8">
        <v>2024</v>
      </c>
    </row>
    <row r="398" spans="1:11" x14ac:dyDescent="0.35">
      <c r="A398" s="21" t="str">
        <f t="shared" si="6"/>
        <v>2024SUL - SANTA CRUZ                   24</v>
      </c>
      <c r="B398" t="s">
        <v>116</v>
      </c>
      <c r="C398">
        <v>261</v>
      </c>
      <c r="D398" t="s">
        <v>111</v>
      </c>
      <c r="G398" t="s">
        <v>165</v>
      </c>
      <c r="H398" s="9">
        <v>24</v>
      </c>
      <c r="I398" s="11" t="s">
        <v>114</v>
      </c>
      <c r="J398" s="11">
        <v>1030</v>
      </c>
      <c r="K398" s="8">
        <v>2024</v>
      </c>
    </row>
    <row r="399" spans="1:11" x14ac:dyDescent="0.35">
      <c r="A399" s="21" t="str">
        <f t="shared" si="6"/>
        <v>2024SUL - FLORIANOPOLIS                15</v>
      </c>
      <c r="B399" t="s">
        <v>105</v>
      </c>
      <c r="C399">
        <v>71</v>
      </c>
      <c r="D399" t="s">
        <v>136</v>
      </c>
      <c r="G399" t="s">
        <v>163</v>
      </c>
      <c r="H399" s="5">
        <v>15</v>
      </c>
      <c r="I399" s="11" t="s">
        <v>115</v>
      </c>
      <c r="J399" s="11">
        <v>1029</v>
      </c>
      <c r="K399" s="8">
        <v>2024</v>
      </c>
    </row>
    <row r="400" spans="1:11" x14ac:dyDescent="0.35">
      <c r="A400" s="21" t="str">
        <f t="shared" si="6"/>
        <v>2024SUL - JOINVILLE                    15</v>
      </c>
      <c r="B400" t="s">
        <v>105</v>
      </c>
      <c r="C400">
        <v>51</v>
      </c>
      <c r="D400" t="s">
        <v>107</v>
      </c>
      <c r="G400" t="s">
        <v>163</v>
      </c>
      <c r="H400" s="5">
        <v>15</v>
      </c>
      <c r="I400" s="11" t="s">
        <v>115</v>
      </c>
      <c r="J400" s="11">
        <v>1029</v>
      </c>
      <c r="K400" s="8">
        <v>2024</v>
      </c>
    </row>
    <row r="401" spans="1:11" x14ac:dyDescent="0.35">
      <c r="A401" s="21" t="str">
        <f t="shared" si="6"/>
        <v>2024SUL - LONDRINA                     15</v>
      </c>
      <c r="B401" t="s">
        <v>105</v>
      </c>
      <c r="C401">
        <v>32</v>
      </c>
      <c r="D401" t="s">
        <v>108</v>
      </c>
      <c r="G401" t="s">
        <v>165</v>
      </c>
      <c r="H401" s="5">
        <v>15</v>
      </c>
      <c r="I401" s="11" t="s">
        <v>115</v>
      </c>
      <c r="J401" s="11">
        <v>1029</v>
      </c>
      <c r="K401" s="8">
        <v>2024</v>
      </c>
    </row>
    <row r="402" spans="1:11" x14ac:dyDescent="0.35">
      <c r="A402" s="21" t="str">
        <f t="shared" si="6"/>
        <v>2024SUL - MARINGA                      15</v>
      </c>
      <c r="B402" t="s">
        <v>105</v>
      </c>
      <c r="C402">
        <v>292</v>
      </c>
      <c r="D402" t="s">
        <v>154</v>
      </c>
      <c r="G402" t="s">
        <v>165</v>
      </c>
      <c r="H402" s="5">
        <v>15</v>
      </c>
      <c r="I402" s="11" t="s">
        <v>115</v>
      </c>
      <c r="J402" s="11">
        <v>1029</v>
      </c>
      <c r="K402">
        <v>2024</v>
      </c>
    </row>
    <row r="403" spans="1:11" x14ac:dyDescent="0.35">
      <c r="A403" s="21" t="str">
        <f t="shared" si="6"/>
        <v>2024SUL - PLANALTO                     15</v>
      </c>
      <c r="B403" t="s">
        <v>116</v>
      </c>
      <c r="C403">
        <v>119</v>
      </c>
      <c r="D403" t="s">
        <v>109</v>
      </c>
      <c r="G403" t="s">
        <v>165</v>
      </c>
      <c r="H403" s="5">
        <v>15</v>
      </c>
      <c r="I403" s="11" t="s">
        <v>115</v>
      </c>
      <c r="J403" s="11">
        <v>1032</v>
      </c>
      <c r="K403" s="8">
        <v>2024</v>
      </c>
    </row>
    <row r="404" spans="1:11" x14ac:dyDescent="0.35">
      <c r="A404" s="21" t="str">
        <f t="shared" si="6"/>
        <v>2024SUL - PORTO ALEGRE                 15</v>
      </c>
      <c r="B404" t="s">
        <v>116</v>
      </c>
      <c r="C404">
        <v>45</v>
      </c>
      <c r="D404" t="s">
        <v>142</v>
      </c>
      <c r="G404" t="s">
        <v>165</v>
      </c>
      <c r="H404" s="5">
        <v>15</v>
      </c>
      <c r="I404" s="11" t="s">
        <v>115</v>
      </c>
      <c r="J404" s="11">
        <v>1032</v>
      </c>
      <c r="K404" s="8">
        <v>2024</v>
      </c>
    </row>
    <row r="405" spans="1:11" x14ac:dyDescent="0.35">
      <c r="A405" s="21" t="str">
        <f t="shared" si="6"/>
        <v>2024SUL - POA SÃO JOÃO                 15</v>
      </c>
      <c r="B405" t="s">
        <v>116</v>
      </c>
      <c r="C405">
        <v>45</v>
      </c>
      <c r="D405" t="s">
        <v>110</v>
      </c>
      <c r="G405" t="s">
        <v>165</v>
      </c>
      <c r="H405" s="5">
        <v>15</v>
      </c>
      <c r="I405" s="11" t="s">
        <v>115</v>
      </c>
      <c r="J405" s="11">
        <v>1032</v>
      </c>
      <c r="K405" s="8">
        <v>2024</v>
      </c>
    </row>
    <row r="406" spans="1:11" x14ac:dyDescent="0.35">
      <c r="A406" s="21" t="str">
        <f t="shared" si="6"/>
        <v>2024SUL - SANTA CRUZ                   15</v>
      </c>
      <c r="B406" t="s">
        <v>116</v>
      </c>
      <c r="C406">
        <v>261</v>
      </c>
      <c r="D406" t="s">
        <v>111</v>
      </c>
      <c r="G406" t="s">
        <v>165</v>
      </c>
      <c r="H406" s="5">
        <v>15</v>
      </c>
      <c r="I406" s="11" t="s">
        <v>115</v>
      </c>
      <c r="J406" s="11">
        <v>1032</v>
      </c>
      <c r="K406" s="8">
        <v>2024</v>
      </c>
    </row>
    <row r="407" spans="1:11" x14ac:dyDescent="0.35">
      <c r="A407" s="21" t="str">
        <f t="shared" si="6"/>
        <v>2002RUN-OFF - SUL                      10</v>
      </c>
      <c r="B407" t="s">
        <v>116</v>
      </c>
      <c r="C407" s="4">
        <v>183</v>
      </c>
      <c r="D407" t="s">
        <v>117</v>
      </c>
      <c r="G407" t="s">
        <v>165</v>
      </c>
      <c r="H407" s="9">
        <v>10</v>
      </c>
      <c r="I407" s="14" t="s">
        <v>118</v>
      </c>
      <c r="J407" s="7">
        <v>1007</v>
      </c>
      <c r="K407" s="8">
        <v>2002</v>
      </c>
    </row>
    <row r="408" spans="1:11" x14ac:dyDescent="0.35">
      <c r="A408" s="21" t="str">
        <f t="shared" si="6"/>
        <v>2002SUL - ATNP PORTO ALEGRE        10</v>
      </c>
      <c r="B408" t="s">
        <v>116</v>
      </c>
      <c r="C408" s="4">
        <v>172</v>
      </c>
      <c r="D408" t="s">
        <v>159</v>
      </c>
      <c r="G408" t="s">
        <v>165</v>
      </c>
      <c r="H408" s="9">
        <v>10</v>
      </c>
      <c r="I408" s="14" t="s">
        <v>118</v>
      </c>
      <c r="J408" s="7">
        <v>1007</v>
      </c>
      <c r="K408" s="8">
        <v>2002</v>
      </c>
    </row>
    <row r="409" spans="1:11" x14ac:dyDescent="0.35">
      <c r="A409" s="21" t="str">
        <f t="shared" si="6"/>
        <v>2002SUL - BLUMENAU                     10</v>
      </c>
      <c r="B409" t="s">
        <v>105</v>
      </c>
      <c r="C409">
        <v>23</v>
      </c>
      <c r="D409" t="s">
        <v>119</v>
      </c>
      <c r="G409" t="s">
        <v>163</v>
      </c>
      <c r="H409" s="9">
        <v>10</v>
      </c>
      <c r="I409" s="14" t="s">
        <v>118</v>
      </c>
      <c r="J409" s="14">
        <v>1005</v>
      </c>
      <c r="K409" s="8">
        <v>2002</v>
      </c>
    </row>
    <row r="410" spans="1:11" x14ac:dyDescent="0.35">
      <c r="A410" s="21" t="str">
        <f t="shared" si="6"/>
        <v>2002SUL - CASCAVEL                     10</v>
      </c>
      <c r="B410" t="s">
        <v>105</v>
      </c>
      <c r="C410">
        <v>230</v>
      </c>
      <c r="D410" t="s">
        <v>120</v>
      </c>
      <c r="G410" t="s">
        <v>165</v>
      </c>
      <c r="H410" s="9">
        <v>10</v>
      </c>
      <c r="I410" s="14" t="s">
        <v>118</v>
      </c>
      <c r="J410" s="14">
        <v>1005</v>
      </c>
      <c r="K410" s="8">
        <v>2002</v>
      </c>
    </row>
    <row r="411" spans="1:11" x14ac:dyDescent="0.35">
      <c r="A411" s="21" t="str">
        <f t="shared" si="6"/>
        <v>2002SUL - CAXIAS DO SUL                10</v>
      </c>
      <c r="B411" t="s">
        <v>116</v>
      </c>
      <c r="C411">
        <v>118</v>
      </c>
      <c r="D411" t="s">
        <v>121</v>
      </c>
      <c r="G411" t="s">
        <v>165</v>
      </c>
      <c r="H411" s="9">
        <v>10</v>
      </c>
      <c r="I411" s="14" t="s">
        <v>118</v>
      </c>
      <c r="J411" s="14">
        <v>1007</v>
      </c>
      <c r="K411" s="8">
        <v>2002</v>
      </c>
    </row>
    <row r="412" spans="1:11" x14ac:dyDescent="0.35">
      <c r="A412" s="21" t="str">
        <f t="shared" si="6"/>
        <v>2002SUL - CHAPECO                      10</v>
      </c>
      <c r="B412" t="s">
        <v>105</v>
      </c>
      <c r="C412">
        <v>132</v>
      </c>
      <c r="D412" t="s">
        <v>140</v>
      </c>
      <c r="G412" t="s">
        <v>165</v>
      </c>
      <c r="H412" s="9">
        <v>10</v>
      </c>
      <c r="I412" s="14" t="s">
        <v>118</v>
      </c>
      <c r="J412" s="14">
        <v>1005</v>
      </c>
      <c r="K412" s="8">
        <v>2002</v>
      </c>
    </row>
    <row r="413" spans="1:11" x14ac:dyDescent="0.35">
      <c r="A413" s="21" t="str">
        <f t="shared" si="6"/>
        <v>2002SUL - CURITIBA                     10</v>
      </c>
      <c r="B413" t="s">
        <v>116</v>
      </c>
      <c r="C413">
        <v>42</v>
      </c>
      <c r="D413" t="s">
        <v>141</v>
      </c>
      <c r="G413" t="s">
        <v>165</v>
      </c>
      <c r="H413" s="9">
        <v>10</v>
      </c>
      <c r="I413" s="14" t="s">
        <v>118</v>
      </c>
      <c r="J413" s="7">
        <v>1007</v>
      </c>
      <c r="K413" s="8">
        <v>2002</v>
      </c>
    </row>
    <row r="414" spans="1:11" x14ac:dyDescent="0.35">
      <c r="A414" s="21" t="str">
        <f t="shared" si="6"/>
        <v>2002SUL - CTBA METROPOLITANA           10</v>
      </c>
      <c r="B414" t="s">
        <v>116</v>
      </c>
      <c r="C414">
        <v>314</v>
      </c>
      <c r="D414" t="s">
        <v>122</v>
      </c>
      <c r="G414" t="s">
        <v>165</v>
      </c>
      <c r="H414" s="9">
        <v>10</v>
      </c>
      <c r="I414" s="14" t="s">
        <v>118</v>
      </c>
      <c r="J414" s="7">
        <v>1007</v>
      </c>
      <c r="K414" s="8">
        <v>2002</v>
      </c>
    </row>
    <row r="415" spans="1:11" x14ac:dyDescent="0.35">
      <c r="A415" s="21" t="str">
        <f t="shared" si="6"/>
        <v>2002RUN-OFF - SUL                      20</v>
      </c>
      <c r="B415" t="s">
        <v>116</v>
      </c>
      <c r="C415" s="4">
        <v>183</v>
      </c>
      <c r="D415" t="s">
        <v>117</v>
      </c>
      <c r="G415" t="s">
        <v>165</v>
      </c>
      <c r="H415" s="5">
        <v>20</v>
      </c>
      <c r="I415" s="14" t="s">
        <v>123</v>
      </c>
      <c r="J415" s="12">
        <v>1006</v>
      </c>
      <c r="K415" s="8">
        <v>2002</v>
      </c>
    </row>
    <row r="416" spans="1:11" x14ac:dyDescent="0.35">
      <c r="A416" s="21" t="str">
        <f t="shared" si="6"/>
        <v>2002SUL - ATNP PORTO ALEGRE        20</v>
      </c>
      <c r="B416" t="s">
        <v>116</v>
      </c>
      <c r="C416" s="4">
        <v>172</v>
      </c>
      <c r="D416" t="s">
        <v>159</v>
      </c>
      <c r="G416" t="s">
        <v>165</v>
      </c>
      <c r="H416" s="5">
        <v>20</v>
      </c>
      <c r="I416" s="14" t="s">
        <v>123</v>
      </c>
      <c r="J416" s="12">
        <v>1006</v>
      </c>
      <c r="K416" s="8">
        <v>2002</v>
      </c>
    </row>
    <row r="417" spans="1:11" x14ac:dyDescent="0.35">
      <c r="A417" s="21" t="str">
        <f t="shared" si="6"/>
        <v>2002SUL - BLUMENAU                     20</v>
      </c>
      <c r="B417" t="s">
        <v>105</v>
      </c>
      <c r="C417">
        <v>23</v>
      </c>
      <c r="D417" t="s">
        <v>119</v>
      </c>
      <c r="G417" t="s">
        <v>163</v>
      </c>
      <c r="H417" s="5">
        <v>20</v>
      </c>
      <c r="I417" s="14" t="s">
        <v>123</v>
      </c>
      <c r="J417" s="14">
        <v>1004</v>
      </c>
      <c r="K417" s="8">
        <v>2002</v>
      </c>
    </row>
    <row r="418" spans="1:11" x14ac:dyDescent="0.35">
      <c r="A418" s="21" t="str">
        <f t="shared" si="6"/>
        <v>2002SUL - CASCAVEL                     20</v>
      </c>
      <c r="B418" t="s">
        <v>105</v>
      </c>
      <c r="C418">
        <v>230</v>
      </c>
      <c r="D418" t="s">
        <v>120</v>
      </c>
      <c r="G418" t="s">
        <v>165</v>
      </c>
      <c r="H418" s="5">
        <v>20</v>
      </c>
      <c r="I418" s="14" t="s">
        <v>123</v>
      </c>
      <c r="J418" s="14">
        <v>1004</v>
      </c>
      <c r="K418" s="8">
        <v>2002</v>
      </c>
    </row>
    <row r="419" spans="1:11" x14ac:dyDescent="0.35">
      <c r="A419" s="21" t="str">
        <f t="shared" si="6"/>
        <v>2002SUL - CAXIAS DO SUL                20</v>
      </c>
      <c r="B419" t="s">
        <v>116</v>
      </c>
      <c r="C419">
        <v>118</v>
      </c>
      <c r="D419" t="s">
        <v>121</v>
      </c>
      <c r="G419" t="s">
        <v>165</v>
      </c>
      <c r="H419" s="5">
        <v>20</v>
      </c>
      <c r="I419" s="14" t="s">
        <v>123</v>
      </c>
      <c r="J419" s="14">
        <v>1006</v>
      </c>
      <c r="K419" s="8">
        <v>2002</v>
      </c>
    </row>
    <row r="420" spans="1:11" x14ac:dyDescent="0.35">
      <c r="A420" s="21" t="str">
        <f t="shared" si="6"/>
        <v>2002SUL - CHAPECO                      20</v>
      </c>
      <c r="B420" t="s">
        <v>105</v>
      </c>
      <c r="C420">
        <v>132</v>
      </c>
      <c r="D420" t="s">
        <v>140</v>
      </c>
      <c r="G420" t="s">
        <v>165</v>
      </c>
      <c r="H420" s="5">
        <v>20</v>
      </c>
      <c r="I420" s="14" t="s">
        <v>123</v>
      </c>
      <c r="J420" s="14">
        <v>1004</v>
      </c>
      <c r="K420" s="8">
        <v>2002</v>
      </c>
    </row>
    <row r="421" spans="1:11" x14ac:dyDescent="0.35">
      <c r="A421" s="21" t="str">
        <f t="shared" si="6"/>
        <v>2002SUL - CURITIBA                     20</v>
      </c>
      <c r="B421" t="s">
        <v>116</v>
      </c>
      <c r="C421">
        <v>42</v>
      </c>
      <c r="D421" t="s">
        <v>141</v>
      </c>
      <c r="G421" t="s">
        <v>165</v>
      </c>
      <c r="H421" s="5">
        <v>20</v>
      </c>
      <c r="I421" s="14" t="s">
        <v>123</v>
      </c>
      <c r="J421" s="12">
        <v>1006</v>
      </c>
      <c r="K421" s="8">
        <v>2002</v>
      </c>
    </row>
    <row r="422" spans="1:11" x14ac:dyDescent="0.35">
      <c r="A422" s="21" t="str">
        <f t="shared" si="6"/>
        <v>2002SUL - CTBA METROPOLITANA           20</v>
      </c>
      <c r="B422" t="s">
        <v>116</v>
      </c>
      <c r="C422">
        <v>314</v>
      </c>
      <c r="D422" t="s">
        <v>122</v>
      </c>
      <c r="G422" t="s">
        <v>165</v>
      </c>
      <c r="H422" s="5">
        <v>20</v>
      </c>
      <c r="I422" s="14" t="s">
        <v>123</v>
      </c>
      <c r="J422" s="12">
        <v>1006</v>
      </c>
      <c r="K422" s="8">
        <v>2002</v>
      </c>
    </row>
    <row r="423" spans="1:11" x14ac:dyDescent="0.35">
      <c r="A423" s="21" t="str">
        <f t="shared" si="6"/>
        <v>2024RUN-OFF - SUL                      22</v>
      </c>
      <c r="B423" t="s">
        <v>116</v>
      </c>
      <c r="C423" s="4">
        <v>183</v>
      </c>
      <c r="D423" t="s">
        <v>117</v>
      </c>
      <c r="G423" t="s">
        <v>165</v>
      </c>
      <c r="H423" s="9">
        <v>22</v>
      </c>
      <c r="I423" s="10" t="s">
        <v>124</v>
      </c>
      <c r="J423" s="11">
        <v>1031</v>
      </c>
      <c r="K423" s="8">
        <v>2024</v>
      </c>
    </row>
    <row r="424" spans="1:11" x14ac:dyDescent="0.35">
      <c r="A424" s="21" t="str">
        <f t="shared" si="6"/>
        <v>2024SUL - ATNP PORTO ALEGRE        22</v>
      </c>
      <c r="B424" t="s">
        <v>116</v>
      </c>
      <c r="C424" s="4">
        <v>172</v>
      </c>
      <c r="D424" t="s">
        <v>159</v>
      </c>
      <c r="G424" t="s">
        <v>165</v>
      </c>
      <c r="H424" s="9">
        <v>22</v>
      </c>
      <c r="I424" s="10" t="s">
        <v>124</v>
      </c>
      <c r="J424" s="11">
        <v>1031</v>
      </c>
      <c r="K424" s="8">
        <v>2024</v>
      </c>
    </row>
    <row r="425" spans="1:11" x14ac:dyDescent="0.35">
      <c r="A425" s="21" t="str">
        <f t="shared" si="6"/>
        <v>2024SUL - BLUMENAU                     22</v>
      </c>
      <c r="B425" t="s">
        <v>105</v>
      </c>
      <c r="C425">
        <v>23</v>
      </c>
      <c r="D425" t="s">
        <v>119</v>
      </c>
      <c r="G425" t="s">
        <v>163</v>
      </c>
      <c r="H425" s="9">
        <v>22</v>
      </c>
      <c r="I425" s="10" t="s">
        <v>124</v>
      </c>
      <c r="J425" s="10">
        <v>1028</v>
      </c>
      <c r="K425" s="8">
        <v>2024</v>
      </c>
    </row>
    <row r="426" spans="1:11" x14ac:dyDescent="0.35">
      <c r="A426" s="21" t="str">
        <f t="shared" si="6"/>
        <v>2024SUL - CASCAVEL                     22</v>
      </c>
      <c r="B426" t="s">
        <v>105</v>
      </c>
      <c r="C426">
        <v>230</v>
      </c>
      <c r="D426" t="s">
        <v>120</v>
      </c>
      <c r="G426" t="s">
        <v>165</v>
      </c>
      <c r="H426" s="9">
        <v>22</v>
      </c>
      <c r="I426" s="10" t="s">
        <v>124</v>
      </c>
      <c r="J426" s="10">
        <v>1028</v>
      </c>
      <c r="K426" s="8">
        <v>2024</v>
      </c>
    </row>
    <row r="427" spans="1:11" x14ac:dyDescent="0.35">
      <c r="A427" s="21" t="str">
        <f t="shared" si="6"/>
        <v>2024SUL - CAXIAS DO SUL                22</v>
      </c>
      <c r="B427" t="s">
        <v>116</v>
      </c>
      <c r="C427">
        <v>118</v>
      </c>
      <c r="D427" t="s">
        <v>121</v>
      </c>
      <c r="G427" t="s">
        <v>165</v>
      </c>
      <c r="H427" s="9">
        <v>22</v>
      </c>
      <c r="I427" s="10" t="s">
        <v>124</v>
      </c>
      <c r="J427" s="10">
        <v>1031</v>
      </c>
      <c r="K427" s="8">
        <v>2024</v>
      </c>
    </row>
    <row r="428" spans="1:11" x14ac:dyDescent="0.35">
      <c r="A428" s="21" t="str">
        <f t="shared" si="6"/>
        <v>2024SUL - CHAPECO                      22</v>
      </c>
      <c r="B428" t="s">
        <v>105</v>
      </c>
      <c r="C428">
        <v>132</v>
      </c>
      <c r="D428" t="s">
        <v>140</v>
      </c>
      <c r="G428" t="s">
        <v>165</v>
      </c>
      <c r="H428" s="9">
        <v>22</v>
      </c>
      <c r="I428" s="10" t="s">
        <v>124</v>
      </c>
      <c r="J428" s="10">
        <v>1028</v>
      </c>
      <c r="K428" s="8">
        <v>2024</v>
      </c>
    </row>
    <row r="429" spans="1:11" x14ac:dyDescent="0.35">
      <c r="A429" s="21" t="str">
        <f t="shared" si="6"/>
        <v>2024SUL - CURITIBA                     22</v>
      </c>
      <c r="B429" t="s">
        <v>116</v>
      </c>
      <c r="C429">
        <v>42</v>
      </c>
      <c r="D429" t="s">
        <v>141</v>
      </c>
      <c r="G429" t="s">
        <v>165</v>
      </c>
      <c r="H429" s="9">
        <v>22</v>
      </c>
      <c r="I429" s="10" t="s">
        <v>124</v>
      </c>
      <c r="J429" s="11">
        <v>1031</v>
      </c>
      <c r="K429" s="8">
        <v>2024</v>
      </c>
    </row>
    <row r="430" spans="1:11" x14ac:dyDescent="0.35">
      <c r="A430" s="21" t="str">
        <f t="shared" si="6"/>
        <v>2024SUL - CTBA METROPOLITANA           22</v>
      </c>
      <c r="B430" t="s">
        <v>116</v>
      </c>
      <c r="C430">
        <v>314</v>
      </c>
      <c r="D430" t="s">
        <v>122</v>
      </c>
      <c r="G430" t="s">
        <v>165</v>
      </c>
      <c r="H430" s="9">
        <v>22</v>
      </c>
      <c r="I430" s="10" t="s">
        <v>124</v>
      </c>
      <c r="J430" s="11">
        <v>1031</v>
      </c>
      <c r="K430" s="8">
        <v>2024</v>
      </c>
    </row>
    <row r="431" spans="1:11" x14ac:dyDescent="0.35">
      <c r="A431" s="21" t="str">
        <f t="shared" si="6"/>
        <v>2024RUN-OFF - SUL                      24</v>
      </c>
      <c r="B431" t="s">
        <v>116</v>
      </c>
      <c r="C431" s="4">
        <v>183</v>
      </c>
      <c r="D431" t="s">
        <v>117</v>
      </c>
      <c r="G431" t="s">
        <v>165</v>
      </c>
      <c r="H431">
        <v>24</v>
      </c>
      <c r="I431" s="10" t="s">
        <v>125</v>
      </c>
      <c r="J431" s="11">
        <v>1030</v>
      </c>
      <c r="K431" s="8">
        <v>2024</v>
      </c>
    </row>
    <row r="432" spans="1:11" x14ac:dyDescent="0.35">
      <c r="A432" s="21" t="str">
        <f t="shared" si="6"/>
        <v>2024SUL - ATNP PORTO ALEGRE        24</v>
      </c>
      <c r="B432" t="s">
        <v>116</v>
      </c>
      <c r="C432" s="4">
        <v>172</v>
      </c>
      <c r="D432" t="s">
        <v>159</v>
      </c>
      <c r="G432" t="s">
        <v>165</v>
      </c>
      <c r="H432">
        <v>24</v>
      </c>
      <c r="I432" s="10" t="s">
        <v>125</v>
      </c>
      <c r="J432" s="11">
        <v>1030</v>
      </c>
      <c r="K432" s="8">
        <v>2024</v>
      </c>
    </row>
    <row r="433" spans="1:11" x14ac:dyDescent="0.35">
      <c r="A433" s="21" t="str">
        <f t="shared" si="6"/>
        <v>2024SUL - BLUMENAU                     24</v>
      </c>
      <c r="B433" t="s">
        <v>105</v>
      </c>
      <c r="C433">
        <v>23</v>
      </c>
      <c r="D433" t="s">
        <v>119</v>
      </c>
      <c r="G433" t="s">
        <v>163</v>
      </c>
      <c r="H433">
        <v>24</v>
      </c>
      <c r="I433" s="10" t="s">
        <v>125</v>
      </c>
      <c r="J433" s="10">
        <v>1027</v>
      </c>
      <c r="K433" s="8">
        <v>2024</v>
      </c>
    </row>
    <row r="434" spans="1:11" x14ac:dyDescent="0.35">
      <c r="A434" s="21" t="str">
        <f t="shared" si="6"/>
        <v>2024SUL - CASCAVEL                     24</v>
      </c>
      <c r="B434" t="s">
        <v>105</v>
      </c>
      <c r="C434">
        <v>230</v>
      </c>
      <c r="D434" t="s">
        <v>120</v>
      </c>
      <c r="G434" t="s">
        <v>165</v>
      </c>
      <c r="H434">
        <v>24</v>
      </c>
      <c r="I434" s="10" t="s">
        <v>125</v>
      </c>
      <c r="J434" s="10">
        <v>1027</v>
      </c>
      <c r="K434" s="8">
        <v>2024</v>
      </c>
    </row>
    <row r="435" spans="1:11" x14ac:dyDescent="0.35">
      <c r="A435" s="21" t="str">
        <f t="shared" si="6"/>
        <v>2024SUL - CAXIAS DO SUL                24</v>
      </c>
      <c r="B435" t="s">
        <v>116</v>
      </c>
      <c r="C435">
        <v>118</v>
      </c>
      <c r="D435" t="s">
        <v>121</v>
      </c>
      <c r="G435" t="s">
        <v>165</v>
      </c>
      <c r="H435">
        <v>24</v>
      </c>
      <c r="I435" s="10" t="s">
        <v>125</v>
      </c>
      <c r="J435" s="10">
        <v>1030</v>
      </c>
      <c r="K435" s="8">
        <v>2024</v>
      </c>
    </row>
    <row r="436" spans="1:11" x14ac:dyDescent="0.35">
      <c r="A436" s="21" t="str">
        <f t="shared" si="6"/>
        <v>2024SUL - CHAPECO                      24</v>
      </c>
      <c r="B436" t="s">
        <v>105</v>
      </c>
      <c r="C436">
        <v>132</v>
      </c>
      <c r="D436" t="s">
        <v>140</v>
      </c>
      <c r="G436" t="s">
        <v>165</v>
      </c>
      <c r="H436">
        <v>24</v>
      </c>
      <c r="I436" s="10" t="s">
        <v>125</v>
      </c>
      <c r="J436" s="10">
        <v>1027</v>
      </c>
      <c r="K436" s="8">
        <v>2024</v>
      </c>
    </row>
    <row r="437" spans="1:11" x14ac:dyDescent="0.35">
      <c r="A437" s="21" t="str">
        <f t="shared" si="6"/>
        <v>2024SUL - CURITIBA                     24</v>
      </c>
      <c r="B437" t="s">
        <v>116</v>
      </c>
      <c r="C437">
        <v>42</v>
      </c>
      <c r="D437" t="s">
        <v>141</v>
      </c>
      <c r="G437" t="s">
        <v>165</v>
      </c>
      <c r="H437">
        <v>24</v>
      </c>
      <c r="I437" s="10" t="s">
        <v>125</v>
      </c>
      <c r="J437" s="11">
        <v>1030</v>
      </c>
      <c r="K437" s="8">
        <v>2024</v>
      </c>
    </row>
    <row r="438" spans="1:11" x14ac:dyDescent="0.35">
      <c r="A438" s="21" t="str">
        <f t="shared" si="6"/>
        <v>2024SUL - CTBA METROPOLITANA           24</v>
      </c>
      <c r="B438" t="s">
        <v>116</v>
      </c>
      <c r="C438">
        <v>314</v>
      </c>
      <c r="D438" t="s">
        <v>122</v>
      </c>
      <c r="G438" t="s">
        <v>165</v>
      </c>
      <c r="H438">
        <v>24</v>
      </c>
      <c r="I438" s="10" t="s">
        <v>125</v>
      </c>
      <c r="J438" s="11">
        <v>1030</v>
      </c>
      <c r="K438" s="8">
        <v>2024</v>
      </c>
    </row>
    <row r="439" spans="1:11" x14ac:dyDescent="0.35">
      <c r="A439" s="21" t="str">
        <f t="shared" si="6"/>
        <v>2024RUN-OFF - SUL                      15</v>
      </c>
      <c r="B439" t="s">
        <v>116</v>
      </c>
      <c r="C439" s="4">
        <v>183</v>
      </c>
      <c r="D439" t="s">
        <v>117</v>
      </c>
      <c r="G439" t="s">
        <v>165</v>
      </c>
      <c r="H439" s="5">
        <v>15</v>
      </c>
      <c r="I439" s="10" t="s">
        <v>126</v>
      </c>
      <c r="J439" s="11">
        <v>1032</v>
      </c>
      <c r="K439" s="8">
        <v>2024</v>
      </c>
    </row>
    <row r="440" spans="1:11" x14ac:dyDescent="0.35">
      <c r="A440" s="21" t="str">
        <f t="shared" si="6"/>
        <v>2024SUL - ATNP PORTO ALEGRE        15</v>
      </c>
      <c r="B440" t="s">
        <v>116</v>
      </c>
      <c r="C440" s="4">
        <v>172</v>
      </c>
      <c r="D440" t="s">
        <v>159</v>
      </c>
      <c r="G440" t="s">
        <v>165</v>
      </c>
      <c r="H440" s="5">
        <v>15</v>
      </c>
      <c r="I440" s="10" t="s">
        <v>126</v>
      </c>
      <c r="J440" s="11">
        <v>1032</v>
      </c>
      <c r="K440" s="8">
        <v>2024</v>
      </c>
    </row>
    <row r="441" spans="1:11" x14ac:dyDescent="0.35">
      <c r="A441" s="21" t="str">
        <f t="shared" si="6"/>
        <v>2024SUL - BLUMENAU                     15</v>
      </c>
      <c r="B441" t="s">
        <v>105</v>
      </c>
      <c r="C441">
        <v>23</v>
      </c>
      <c r="D441" t="s">
        <v>119</v>
      </c>
      <c r="G441" t="s">
        <v>163</v>
      </c>
      <c r="H441" s="5">
        <v>15</v>
      </c>
      <c r="I441" s="10" t="s">
        <v>126</v>
      </c>
      <c r="J441" s="10">
        <v>1029</v>
      </c>
      <c r="K441" s="8">
        <v>2024</v>
      </c>
    </row>
    <row r="442" spans="1:11" x14ac:dyDescent="0.35">
      <c r="A442" s="21" t="str">
        <f t="shared" si="6"/>
        <v>2024SUL - CASCAVEL                     15</v>
      </c>
      <c r="B442" t="s">
        <v>105</v>
      </c>
      <c r="C442">
        <v>230</v>
      </c>
      <c r="D442" t="s">
        <v>120</v>
      </c>
      <c r="G442" t="s">
        <v>165</v>
      </c>
      <c r="H442" s="5">
        <v>15</v>
      </c>
      <c r="I442" s="10" t="s">
        <v>126</v>
      </c>
      <c r="J442" s="10">
        <v>1029</v>
      </c>
      <c r="K442" s="8">
        <v>2024</v>
      </c>
    </row>
    <row r="443" spans="1:11" x14ac:dyDescent="0.35">
      <c r="A443" s="21" t="str">
        <f t="shared" si="6"/>
        <v>2024SUL - CAXIAS DO SUL                15</v>
      </c>
      <c r="B443" t="s">
        <v>116</v>
      </c>
      <c r="C443">
        <v>118</v>
      </c>
      <c r="D443" t="s">
        <v>121</v>
      </c>
      <c r="G443" t="s">
        <v>165</v>
      </c>
      <c r="H443" s="5">
        <v>15</v>
      </c>
      <c r="I443" s="10" t="s">
        <v>126</v>
      </c>
      <c r="J443" s="11">
        <v>1032</v>
      </c>
      <c r="K443" s="8">
        <v>2024</v>
      </c>
    </row>
    <row r="444" spans="1:11" x14ac:dyDescent="0.35">
      <c r="A444" s="21" t="str">
        <f t="shared" si="6"/>
        <v>2024SUL - CHAPECO                      15</v>
      </c>
      <c r="B444" t="s">
        <v>105</v>
      </c>
      <c r="C444">
        <v>132</v>
      </c>
      <c r="D444" t="s">
        <v>140</v>
      </c>
      <c r="G444" t="s">
        <v>165</v>
      </c>
      <c r="H444" s="5">
        <v>15</v>
      </c>
      <c r="I444" s="10" t="s">
        <v>126</v>
      </c>
      <c r="J444" s="10">
        <v>1029</v>
      </c>
      <c r="K444" s="8">
        <v>2024</v>
      </c>
    </row>
    <row r="445" spans="1:11" x14ac:dyDescent="0.35">
      <c r="A445" s="21" t="str">
        <f t="shared" si="6"/>
        <v>2024SUL - CURITIBA                     15</v>
      </c>
      <c r="B445" t="s">
        <v>116</v>
      </c>
      <c r="C445">
        <v>42</v>
      </c>
      <c r="D445" t="s">
        <v>141</v>
      </c>
      <c r="G445" t="s">
        <v>165</v>
      </c>
      <c r="H445" s="5">
        <v>15</v>
      </c>
      <c r="I445" s="10" t="s">
        <v>126</v>
      </c>
      <c r="J445" s="11">
        <v>1032</v>
      </c>
      <c r="K445">
        <v>2024</v>
      </c>
    </row>
    <row r="446" spans="1:11" x14ac:dyDescent="0.35">
      <c r="A446" s="21" t="str">
        <f t="shared" si="6"/>
        <v>2024SUL - CTBA METROPOLITANA           15</v>
      </c>
      <c r="B446" t="s">
        <v>116</v>
      </c>
      <c r="C446">
        <v>314</v>
      </c>
      <c r="D446" t="s">
        <v>122</v>
      </c>
      <c r="G446" t="s">
        <v>165</v>
      </c>
      <c r="H446" s="5">
        <v>15</v>
      </c>
      <c r="I446" s="10" t="s">
        <v>126</v>
      </c>
      <c r="J446" s="11">
        <v>1032</v>
      </c>
      <c r="K446" s="8">
        <v>2024</v>
      </c>
    </row>
    <row r="447" spans="1:11" x14ac:dyDescent="0.35">
      <c r="A447" s="21" t="str">
        <f t="shared" si="6"/>
        <v>2002RJ - SERRANA/NORTE FLUMINENSE      20</v>
      </c>
      <c r="B447" t="s">
        <v>83</v>
      </c>
      <c r="D447" t="s">
        <v>151</v>
      </c>
      <c r="G447" t="s">
        <v>162</v>
      </c>
      <c r="H447" s="5">
        <v>20</v>
      </c>
      <c r="I447" s="14" t="s">
        <v>89</v>
      </c>
      <c r="J447" s="7">
        <v>1010</v>
      </c>
      <c r="K447">
        <v>2002</v>
      </c>
    </row>
    <row r="448" spans="1:11" x14ac:dyDescent="0.35">
      <c r="A448" s="21" t="str">
        <f t="shared" si="6"/>
        <v>2002RJ - SERRANA/NORTE FLUMINENSE      10</v>
      </c>
      <c r="B448" t="s">
        <v>83</v>
      </c>
      <c r="D448" t="s">
        <v>151</v>
      </c>
      <c r="G448" t="s">
        <v>162</v>
      </c>
      <c r="H448" s="9">
        <v>10</v>
      </c>
      <c r="I448" s="14" t="s">
        <v>90</v>
      </c>
      <c r="J448" s="7">
        <v>1011</v>
      </c>
      <c r="K448">
        <v>2002</v>
      </c>
    </row>
    <row r="449" spans="1:11" x14ac:dyDescent="0.35">
      <c r="A449" s="21" t="str">
        <f t="shared" si="6"/>
        <v>2024RJ - SERRANA/NORTE FLUMINENSE      24</v>
      </c>
      <c r="B449" t="s">
        <v>83</v>
      </c>
      <c r="D449" t="s">
        <v>151</v>
      </c>
      <c r="G449" t="s">
        <v>162</v>
      </c>
      <c r="H449">
        <v>24</v>
      </c>
      <c r="I449" s="16" t="s">
        <v>91</v>
      </c>
      <c r="J449" s="16">
        <v>1036</v>
      </c>
      <c r="K449">
        <v>2024</v>
      </c>
    </row>
    <row r="450" spans="1:11" x14ac:dyDescent="0.35">
      <c r="A450" s="21" t="str">
        <f t="shared" ref="A450:A476" si="7">K450&amp;D450&amp;H450</f>
        <v>2024RJ - SERRANA/NORTE FLUMINENSE      22</v>
      </c>
      <c r="B450" t="s">
        <v>83</v>
      </c>
      <c r="D450" t="s">
        <v>151</v>
      </c>
      <c r="G450" t="s">
        <v>162</v>
      </c>
      <c r="H450" s="9">
        <v>22</v>
      </c>
      <c r="I450" s="16" t="s">
        <v>92</v>
      </c>
      <c r="J450" s="16">
        <v>1037</v>
      </c>
      <c r="K450">
        <v>2024</v>
      </c>
    </row>
    <row r="451" spans="1:11" x14ac:dyDescent="0.35">
      <c r="A451" s="21" t="str">
        <f t="shared" si="7"/>
        <v>2024RJ - SERRANA/NORTE FLUMINENSE      15</v>
      </c>
      <c r="B451" t="s">
        <v>83</v>
      </c>
      <c r="D451" t="s">
        <v>151</v>
      </c>
      <c r="G451" t="s">
        <v>162</v>
      </c>
      <c r="H451" s="5">
        <v>15</v>
      </c>
      <c r="I451" s="16" t="s">
        <v>93</v>
      </c>
      <c r="J451" s="16">
        <v>1038</v>
      </c>
      <c r="K451">
        <v>2024</v>
      </c>
    </row>
    <row r="452" spans="1:11" x14ac:dyDescent="0.35">
      <c r="A452" s="21" t="str">
        <f t="shared" si="7"/>
        <v>2002SUL - SANTO ANGELO                 10</v>
      </c>
      <c r="B452" t="s">
        <v>116</v>
      </c>
      <c r="C452">
        <v>293</v>
      </c>
      <c r="D452" t="s">
        <v>152</v>
      </c>
      <c r="G452" t="s">
        <v>165</v>
      </c>
      <c r="H452" s="9">
        <v>10</v>
      </c>
      <c r="I452" s="13" t="s">
        <v>106</v>
      </c>
      <c r="J452" s="12">
        <v>1007</v>
      </c>
      <c r="K452" s="8">
        <v>2002</v>
      </c>
    </row>
    <row r="453" spans="1:11" x14ac:dyDescent="0.35">
      <c r="A453" s="21" t="str">
        <f t="shared" si="7"/>
        <v>2002SUL - SANTO ANGELO                 20</v>
      </c>
      <c r="B453" t="s">
        <v>116</v>
      </c>
      <c r="C453">
        <v>293</v>
      </c>
      <c r="D453" t="s">
        <v>152</v>
      </c>
      <c r="G453" t="s">
        <v>165</v>
      </c>
      <c r="H453" s="5">
        <v>20</v>
      </c>
      <c r="I453" s="13" t="s">
        <v>112</v>
      </c>
      <c r="J453" s="12">
        <v>1006</v>
      </c>
      <c r="K453" s="8">
        <v>2002</v>
      </c>
    </row>
    <row r="454" spans="1:11" x14ac:dyDescent="0.35">
      <c r="A454" s="21" t="str">
        <f t="shared" si="7"/>
        <v>2024SUL - SANTO ANGELO                 22</v>
      </c>
      <c r="B454" t="s">
        <v>116</v>
      </c>
      <c r="C454">
        <v>293</v>
      </c>
      <c r="D454" t="s">
        <v>152</v>
      </c>
      <c r="G454" t="s">
        <v>165</v>
      </c>
      <c r="H454" s="9">
        <v>22</v>
      </c>
      <c r="I454" s="11" t="s">
        <v>113</v>
      </c>
      <c r="J454" s="11">
        <v>1031</v>
      </c>
      <c r="K454" s="8">
        <v>2024</v>
      </c>
    </row>
    <row r="455" spans="1:11" x14ac:dyDescent="0.35">
      <c r="A455" s="21" t="str">
        <f t="shared" si="7"/>
        <v>2024SUL - SANTO ANGELO                 24</v>
      </c>
      <c r="B455" t="s">
        <v>116</v>
      </c>
      <c r="C455">
        <v>293</v>
      </c>
      <c r="D455" t="s">
        <v>152</v>
      </c>
      <c r="G455" t="s">
        <v>165</v>
      </c>
      <c r="H455">
        <v>24</v>
      </c>
      <c r="I455" s="11" t="s">
        <v>114</v>
      </c>
      <c r="J455" s="11">
        <v>1030</v>
      </c>
      <c r="K455" s="8">
        <v>2024</v>
      </c>
    </row>
    <row r="456" spans="1:11" x14ac:dyDescent="0.35">
      <c r="A456" s="21" t="str">
        <f t="shared" si="7"/>
        <v>2024SUL - SANTO ANGELO                 15</v>
      </c>
      <c r="B456" t="s">
        <v>116</v>
      </c>
      <c r="C456">
        <v>293</v>
      </c>
      <c r="D456" t="s">
        <v>152</v>
      </c>
      <c r="G456" t="s">
        <v>165</v>
      </c>
      <c r="H456" s="5">
        <v>15</v>
      </c>
      <c r="I456" s="11" t="s">
        <v>115</v>
      </c>
      <c r="J456" s="11">
        <v>1032</v>
      </c>
      <c r="K456" s="8">
        <v>2024</v>
      </c>
    </row>
    <row r="457" spans="1:11" x14ac:dyDescent="0.35">
      <c r="A457" s="21" t="str">
        <f t="shared" si="7"/>
        <v>2002SUL - ATNP                         10</v>
      </c>
      <c r="B457" t="s">
        <v>116</v>
      </c>
      <c r="C457">
        <v>172</v>
      </c>
      <c r="D457" t="s">
        <v>153</v>
      </c>
      <c r="G457" t="s">
        <v>165</v>
      </c>
      <c r="H457" s="9">
        <v>10</v>
      </c>
      <c r="I457" s="14" t="s">
        <v>118</v>
      </c>
      <c r="J457" s="7">
        <v>1007</v>
      </c>
      <c r="K457" s="8">
        <v>2002</v>
      </c>
    </row>
    <row r="458" spans="1:11" x14ac:dyDescent="0.35">
      <c r="A458" s="21" t="str">
        <f t="shared" si="7"/>
        <v>2002SUL - ATNP                         20</v>
      </c>
      <c r="B458" t="s">
        <v>116</v>
      </c>
      <c r="C458">
        <v>172</v>
      </c>
      <c r="D458" t="s">
        <v>153</v>
      </c>
      <c r="G458" t="s">
        <v>165</v>
      </c>
      <c r="H458" s="5">
        <v>20</v>
      </c>
      <c r="I458" s="14" t="s">
        <v>123</v>
      </c>
      <c r="J458" s="12">
        <v>1006</v>
      </c>
      <c r="K458" s="8">
        <v>2002</v>
      </c>
    </row>
    <row r="459" spans="1:11" x14ac:dyDescent="0.35">
      <c r="A459" s="21" t="str">
        <f t="shared" si="7"/>
        <v>2024SUL - ATNP                         22</v>
      </c>
      <c r="B459" t="s">
        <v>116</v>
      </c>
      <c r="C459">
        <v>172</v>
      </c>
      <c r="D459" t="s">
        <v>153</v>
      </c>
      <c r="G459" t="s">
        <v>165</v>
      </c>
      <c r="H459" s="9">
        <v>22</v>
      </c>
      <c r="I459" s="10" t="s">
        <v>124</v>
      </c>
      <c r="J459" s="11">
        <v>1031</v>
      </c>
      <c r="K459" s="8">
        <v>2024</v>
      </c>
    </row>
    <row r="460" spans="1:11" x14ac:dyDescent="0.35">
      <c r="A460" s="21" t="str">
        <f t="shared" si="7"/>
        <v>2024SUL - ATNP                         24</v>
      </c>
      <c r="B460" t="s">
        <v>116</v>
      </c>
      <c r="C460">
        <v>172</v>
      </c>
      <c r="D460" t="s">
        <v>153</v>
      </c>
      <c r="G460" t="s">
        <v>165</v>
      </c>
      <c r="H460">
        <v>24</v>
      </c>
      <c r="I460" s="10" t="s">
        <v>125</v>
      </c>
      <c r="J460" s="11">
        <v>1030</v>
      </c>
      <c r="K460" s="8">
        <v>2024</v>
      </c>
    </row>
    <row r="461" spans="1:11" x14ac:dyDescent="0.35">
      <c r="A461" s="21" t="str">
        <f t="shared" si="7"/>
        <v>2024SUL - ATNP                         15</v>
      </c>
      <c r="B461" t="s">
        <v>116</v>
      </c>
      <c r="C461">
        <v>172</v>
      </c>
      <c r="D461" t="s">
        <v>153</v>
      </c>
      <c r="G461" t="s">
        <v>165</v>
      </c>
      <c r="H461" s="5">
        <v>15</v>
      </c>
      <c r="I461" s="10" t="s">
        <v>126</v>
      </c>
      <c r="J461" s="11">
        <v>1032</v>
      </c>
      <c r="K461" s="8">
        <v>2024</v>
      </c>
    </row>
    <row r="462" spans="1:11" x14ac:dyDescent="0.35">
      <c r="A462" s="21" t="str">
        <f t="shared" si="7"/>
        <v>2002INT - ATNP CAMPINAS/JUNDIAI        10</v>
      </c>
      <c r="B462" t="s">
        <v>94</v>
      </c>
      <c r="C462">
        <v>69</v>
      </c>
      <c r="D462" t="s">
        <v>172</v>
      </c>
      <c r="G462" t="s">
        <v>164</v>
      </c>
      <c r="H462" s="9">
        <v>10</v>
      </c>
      <c r="I462" s="13" t="s">
        <v>95</v>
      </c>
      <c r="J462" s="12">
        <v>1001</v>
      </c>
      <c r="K462" s="8">
        <v>2002</v>
      </c>
    </row>
    <row r="463" spans="1:11" x14ac:dyDescent="0.35">
      <c r="A463" s="21" t="str">
        <f t="shared" si="7"/>
        <v>2002INT - ATNP CAMPINAS/JUNDIAI        20</v>
      </c>
      <c r="B463" t="s">
        <v>94</v>
      </c>
      <c r="C463">
        <v>69</v>
      </c>
      <c r="D463" t="s">
        <v>172</v>
      </c>
      <c r="G463" t="s">
        <v>164</v>
      </c>
      <c r="H463" s="5">
        <v>20</v>
      </c>
      <c r="I463" s="13" t="s">
        <v>101</v>
      </c>
      <c r="J463" s="12">
        <v>1000</v>
      </c>
      <c r="K463" s="8">
        <v>2002</v>
      </c>
    </row>
    <row r="464" spans="1:11" x14ac:dyDescent="0.35">
      <c r="A464" s="21" t="str">
        <f t="shared" si="7"/>
        <v>2024INT - ATNP CAMPINAS/JUNDIAI        22</v>
      </c>
      <c r="B464" t="s">
        <v>94</v>
      </c>
      <c r="C464">
        <v>69</v>
      </c>
      <c r="D464" t="s">
        <v>172</v>
      </c>
      <c r="G464" t="s">
        <v>164</v>
      </c>
      <c r="H464" s="9">
        <v>22</v>
      </c>
      <c r="I464" s="11" t="s">
        <v>102</v>
      </c>
      <c r="J464" s="11">
        <v>1022</v>
      </c>
      <c r="K464" s="8">
        <v>2024</v>
      </c>
    </row>
    <row r="465" spans="1:11" x14ac:dyDescent="0.35">
      <c r="A465" s="21" t="str">
        <f t="shared" si="7"/>
        <v>2024INT - ATNP CAMPINAS/JUNDIAI        24</v>
      </c>
      <c r="B465" t="s">
        <v>94</v>
      </c>
      <c r="C465">
        <v>69</v>
      </c>
      <c r="D465" t="s">
        <v>172</v>
      </c>
      <c r="G465" t="s">
        <v>164</v>
      </c>
      <c r="H465">
        <v>24</v>
      </c>
      <c r="I465" s="11" t="s">
        <v>103</v>
      </c>
      <c r="J465" s="11">
        <v>1021</v>
      </c>
      <c r="K465" s="8">
        <v>2024</v>
      </c>
    </row>
    <row r="466" spans="1:11" x14ac:dyDescent="0.35">
      <c r="A466" s="21" t="str">
        <f t="shared" si="7"/>
        <v>2024INT - ATNP CAMPINAS/JUNDIAI        15</v>
      </c>
      <c r="B466" t="s">
        <v>94</v>
      </c>
      <c r="C466">
        <v>69</v>
      </c>
      <c r="D466" t="s">
        <v>172</v>
      </c>
      <c r="G466" t="s">
        <v>164</v>
      </c>
      <c r="H466" s="5">
        <v>15</v>
      </c>
      <c r="I466" s="11" t="s">
        <v>104</v>
      </c>
      <c r="J466" s="11">
        <v>1023</v>
      </c>
      <c r="K466" s="8">
        <v>2024</v>
      </c>
    </row>
    <row r="467" spans="1:11" x14ac:dyDescent="0.35">
      <c r="A467" s="21" t="str">
        <f t="shared" si="7"/>
        <v>2002N/NE - ATNP                        20</v>
      </c>
      <c r="B467" t="s">
        <v>77</v>
      </c>
      <c r="D467" t="s">
        <v>170</v>
      </c>
      <c r="G467" t="s">
        <v>162</v>
      </c>
      <c r="H467" s="5">
        <v>20</v>
      </c>
      <c r="I467" s="7" t="s">
        <v>78</v>
      </c>
      <c r="J467" s="7">
        <v>998</v>
      </c>
      <c r="K467" s="8">
        <v>2002</v>
      </c>
    </row>
    <row r="468" spans="1:11" x14ac:dyDescent="0.35">
      <c r="A468" s="21" t="str">
        <f t="shared" si="7"/>
        <v>2002N/NE - ATNP                        10</v>
      </c>
      <c r="B468" t="s">
        <v>77</v>
      </c>
      <c r="D468" t="s">
        <v>170</v>
      </c>
      <c r="G468" t="s">
        <v>162</v>
      </c>
      <c r="H468" s="9">
        <v>10</v>
      </c>
      <c r="I468" s="7" t="s">
        <v>79</v>
      </c>
      <c r="J468" s="7">
        <v>999</v>
      </c>
      <c r="K468" s="8">
        <v>2002</v>
      </c>
    </row>
    <row r="469" spans="1:11" x14ac:dyDescent="0.35">
      <c r="A469" s="21" t="str">
        <f t="shared" si="7"/>
        <v>2024N/NE - ATNP                        24</v>
      </c>
      <c r="B469" t="s">
        <v>77</v>
      </c>
      <c r="D469" t="s">
        <v>170</v>
      </c>
      <c r="G469" t="s">
        <v>162</v>
      </c>
      <c r="H469">
        <v>24</v>
      </c>
      <c r="I469" s="10" t="s">
        <v>80</v>
      </c>
      <c r="J469" s="10">
        <v>1018</v>
      </c>
      <c r="K469">
        <v>2024</v>
      </c>
    </row>
    <row r="470" spans="1:11" x14ac:dyDescent="0.35">
      <c r="A470" s="21" t="str">
        <f t="shared" si="7"/>
        <v>2024N/NE - ATNP                        22</v>
      </c>
      <c r="B470" t="s">
        <v>77</v>
      </c>
      <c r="D470" t="s">
        <v>170</v>
      </c>
      <c r="G470" t="s">
        <v>162</v>
      </c>
      <c r="H470" s="9">
        <v>22</v>
      </c>
      <c r="I470" s="10" t="s">
        <v>81</v>
      </c>
      <c r="J470" s="10">
        <v>1019</v>
      </c>
      <c r="K470">
        <v>2024</v>
      </c>
    </row>
    <row r="471" spans="1:11" x14ac:dyDescent="0.35">
      <c r="A471" s="21" t="str">
        <f t="shared" si="7"/>
        <v>2024N/NE - ATNP                        15</v>
      </c>
      <c r="B471" t="s">
        <v>77</v>
      </c>
      <c r="D471" t="s">
        <v>170</v>
      </c>
      <c r="G471" t="s">
        <v>162</v>
      </c>
      <c r="H471" s="5">
        <v>15</v>
      </c>
      <c r="I471" s="10" t="s">
        <v>82</v>
      </c>
      <c r="J471" s="10">
        <v>1020</v>
      </c>
      <c r="K471">
        <v>2024</v>
      </c>
    </row>
    <row r="472" spans="1:11" x14ac:dyDescent="0.35">
      <c r="A472" s="21" t="str">
        <f t="shared" si="7"/>
        <v>2002RJ - Z.NORTE                       10</v>
      </c>
      <c r="B472" t="s">
        <v>83</v>
      </c>
      <c r="C472">
        <v>218</v>
      </c>
      <c r="D472" t="s">
        <v>174</v>
      </c>
      <c r="G472" t="s">
        <v>162</v>
      </c>
      <c r="H472" s="9">
        <v>10</v>
      </c>
      <c r="I472" s="14" t="s">
        <v>90</v>
      </c>
      <c r="J472" s="7">
        <v>1011</v>
      </c>
      <c r="K472">
        <v>2002</v>
      </c>
    </row>
    <row r="473" spans="1:11" x14ac:dyDescent="0.35">
      <c r="A473" s="21" t="str">
        <f t="shared" si="7"/>
        <v>2024RJ - Z.NORTE                       24</v>
      </c>
      <c r="B473" t="s">
        <v>83</v>
      </c>
      <c r="C473">
        <v>218</v>
      </c>
      <c r="D473" t="s">
        <v>174</v>
      </c>
      <c r="G473" t="s">
        <v>162</v>
      </c>
      <c r="H473">
        <v>24</v>
      </c>
      <c r="I473" s="16" t="s">
        <v>91</v>
      </c>
      <c r="J473" s="16">
        <v>1036</v>
      </c>
      <c r="K473">
        <v>2024</v>
      </c>
    </row>
    <row r="474" spans="1:11" x14ac:dyDescent="0.35">
      <c r="A474" s="21" t="str">
        <f t="shared" si="7"/>
        <v>2024RJ - Z.NORTE                       22</v>
      </c>
      <c r="B474" t="s">
        <v>83</v>
      </c>
      <c r="C474">
        <v>218</v>
      </c>
      <c r="D474" t="s">
        <v>174</v>
      </c>
      <c r="G474" t="s">
        <v>162</v>
      </c>
      <c r="H474" s="9">
        <v>22</v>
      </c>
      <c r="I474" s="16" t="s">
        <v>92</v>
      </c>
      <c r="J474" s="16">
        <v>1037</v>
      </c>
      <c r="K474">
        <v>2024</v>
      </c>
    </row>
    <row r="475" spans="1:11" x14ac:dyDescent="0.35">
      <c r="A475" s="21" t="str">
        <f t="shared" si="7"/>
        <v>2024RJ - Z.NORTE                       15</v>
      </c>
      <c r="B475" t="s">
        <v>83</v>
      </c>
      <c r="C475">
        <v>218</v>
      </c>
      <c r="D475" t="s">
        <v>174</v>
      </c>
      <c r="G475" t="s">
        <v>162</v>
      </c>
      <c r="H475" s="5">
        <v>15</v>
      </c>
      <c r="I475" s="16" t="s">
        <v>93</v>
      </c>
      <c r="J475" s="16">
        <v>1038</v>
      </c>
      <c r="K475">
        <v>2024</v>
      </c>
    </row>
    <row r="476" spans="1:11" x14ac:dyDescent="0.35">
      <c r="A476" s="21" t="str">
        <f t="shared" si="7"/>
        <v>2002RJ - Z.NORTE                       20</v>
      </c>
      <c r="B476" t="s">
        <v>83</v>
      </c>
      <c r="C476">
        <v>218</v>
      </c>
      <c r="D476" t="s">
        <v>174</v>
      </c>
      <c r="G476" t="s">
        <v>162</v>
      </c>
      <c r="H476" s="5">
        <v>20</v>
      </c>
      <c r="I476" s="14" t="s">
        <v>89</v>
      </c>
      <c r="J476" s="7">
        <v>1010</v>
      </c>
      <c r="K476">
        <v>2002</v>
      </c>
    </row>
    <row r="477" spans="1:11" x14ac:dyDescent="0.35">
      <c r="A477" s="21" t="str">
        <f t="shared" ref="A477:A481" si="8">K477&amp;D477&amp;H477</f>
        <v>2002SUL - ATNP                         10</v>
      </c>
      <c r="B477" t="s">
        <v>116</v>
      </c>
      <c r="C477">
        <v>172</v>
      </c>
      <c r="D477" t="s">
        <v>153</v>
      </c>
      <c r="G477" t="s">
        <v>165</v>
      </c>
      <c r="H477" s="9">
        <v>10</v>
      </c>
      <c r="I477" s="14" t="s">
        <v>118</v>
      </c>
      <c r="J477" s="7">
        <v>1007</v>
      </c>
      <c r="K477" s="8">
        <v>2002</v>
      </c>
    </row>
    <row r="478" spans="1:11" x14ac:dyDescent="0.35">
      <c r="A478" s="21" t="str">
        <f t="shared" si="8"/>
        <v>2002SUL - ATNP                         20</v>
      </c>
      <c r="B478" t="s">
        <v>116</v>
      </c>
      <c r="C478">
        <v>172</v>
      </c>
      <c r="D478" t="s">
        <v>153</v>
      </c>
      <c r="G478" t="s">
        <v>165</v>
      </c>
      <c r="H478" s="5">
        <v>20</v>
      </c>
      <c r="I478" s="14" t="s">
        <v>123</v>
      </c>
      <c r="J478" s="12">
        <v>1006</v>
      </c>
      <c r="K478" s="8">
        <v>2002</v>
      </c>
    </row>
    <row r="479" spans="1:11" x14ac:dyDescent="0.35">
      <c r="A479" s="21" t="str">
        <f t="shared" si="8"/>
        <v>2024SUL - ATNP                         22</v>
      </c>
      <c r="B479" t="s">
        <v>116</v>
      </c>
      <c r="C479">
        <v>172</v>
      </c>
      <c r="D479" t="s">
        <v>153</v>
      </c>
      <c r="G479" t="s">
        <v>165</v>
      </c>
      <c r="H479" s="9">
        <v>22</v>
      </c>
      <c r="I479" s="10" t="s">
        <v>124</v>
      </c>
      <c r="J479" s="11">
        <v>1031</v>
      </c>
      <c r="K479" s="8">
        <v>2024</v>
      </c>
    </row>
    <row r="480" spans="1:11" x14ac:dyDescent="0.35">
      <c r="A480" s="21" t="str">
        <f t="shared" si="8"/>
        <v>2024SUL - ATNP                         24</v>
      </c>
      <c r="B480" t="s">
        <v>116</v>
      </c>
      <c r="C480">
        <v>172</v>
      </c>
      <c r="D480" t="s">
        <v>153</v>
      </c>
      <c r="G480" t="s">
        <v>165</v>
      </c>
      <c r="H480">
        <v>24</v>
      </c>
      <c r="I480" s="10" t="s">
        <v>125</v>
      </c>
      <c r="J480" s="11">
        <v>1030</v>
      </c>
      <c r="K480" s="8">
        <v>2024</v>
      </c>
    </row>
    <row r="481" spans="1:11" x14ac:dyDescent="0.35">
      <c r="A481" s="21" t="str">
        <f t="shared" si="8"/>
        <v>2024SUL - ATNP                         15</v>
      </c>
      <c r="B481" t="s">
        <v>116</v>
      </c>
      <c r="C481">
        <v>172</v>
      </c>
      <c r="D481" t="s">
        <v>153</v>
      </c>
      <c r="G481" t="s">
        <v>165</v>
      </c>
      <c r="H481" s="5">
        <v>15</v>
      </c>
      <c r="I481" s="10" t="s">
        <v>126</v>
      </c>
      <c r="J481" s="11">
        <v>1032</v>
      </c>
      <c r="K481" s="8">
        <v>2024</v>
      </c>
    </row>
    <row r="482" spans="1:11" x14ac:dyDescent="0.35">
      <c r="A482" s="21" t="str">
        <f t="shared" ref="A482:A496" si="9">K482&amp;D482&amp;H482</f>
        <v>2002INT - ATNP CAMPINAS/JUNDIAI        10</v>
      </c>
      <c r="B482" t="s">
        <v>94</v>
      </c>
      <c r="C482">
        <v>69</v>
      </c>
      <c r="D482" t="s">
        <v>172</v>
      </c>
      <c r="G482" t="s">
        <v>164</v>
      </c>
      <c r="H482" s="9">
        <v>10</v>
      </c>
      <c r="I482" s="13" t="s">
        <v>95</v>
      </c>
      <c r="J482" s="12">
        <v>1001</v>
      </c>
      <c r="K482" s="8">
        <v>2002</v>
      </c>
    </row>
    <row r="483" spans="1:11" x14ac:dyDescent="0.35">
      <c r="A483" s="21" t="str">
        <f t="shared" si="9"/>
        <v>2002INT - ATNP CAMPINAS/JUNDIAI        20</v>
      </c>
      <c r="B483" t="s">
        <v>94</v>
      </c>
      <c r="C483">
        <v>69</v>
      </c>
      <c r="D483" t="s">
        <v>172</v>
      </c>
      <c r="G483" t="s">
        <v>164</v>
      </c>
      <c r="H483" s="5">
        <v>20</v>
      </c>
      <c r="I483" s="13" t="s">
        <v>101</v>
      </c>
      <c r="J483" s="12">
        <v>1000</v>
      </c>
      <c r="K483" s="8">
        <v>2002</v>
      </c>
    </row>
    <row r="484" spans="1:11" x14ac:dyDescent="0.35">
      <c r="A484" s="21" t="str">
        <f t="shared" si="9"/>
        <v>2024INT - ATNP CAMPINAS/JUNDIAI        22</v>
      </c>
      <c r="B484" t="s">
        <v>94</v>
      </c>
      <c r="C484">
        <v>69</v>
      </c>
      <c r="D484" t="s">
        <v>172</v>
      </c>
      <c r="G484" t="s">
        <v>164</v>
      </c>
      <c r="H484" s="9">
        <v>22</v>
      </c>
      <c r="I484" s="11" t="s">
        <v>102</v>
      </c>
      <c r="J484" s="11">
        <v>1022</v>
      </c>
      <c r="K484" s="8">
        <v>2024</v>
      </c>
    </row>
    <row r="485" spans="1:11" x14ac:dyDescent="0.35">
      <c r="A485" s="21" t="str">
        <f t="shared" si="9"/>
        <v>2024INT - ATNP CAMPINAS/JUNDIAI        24</v>
      </c>
      <c r="B485" t="s">
        <v>94</v>
      </c>
      <c r="C485">
        <v>69</v>
      </c>
      <c r="D485" t="s">
        <v>172</v>
      </c>
      <c r="G485" t="s">
        <v>164</v>
      </c>
      <c r="H485">
        <v>24</v>
      </c>
      <c r="I485" s="11" t="s">
        <v>103</v>
      </c>
      <c r="J485" s="11">
        <v>1021</v>
      </c>
      <c r="K485" s="8">
        <v>2024</v>
      </c>
    </row>
    <row r="486" spans="1:11" x14ac:dyDescent="0.35">
      <c r="A486" s="21" t="str">
        <f t="shared" si="9"/>
        <v>2024INT - ATNP CAMPINAS/JUNDIAI        15</v>
      </c>
      <c r="B486" t="s">
        <v>94</v>
      </c>
      <c r="C486">
        <v>69</v>
      </c>
      <c r="D486" t="s">
        <v>172</v>
      </c>
      <c r="G486" t="s">
        <v>164</v>
      </c>
      <c r="H486" s="5">
        <v>15</v>
      </c>
      <c r="I486" s="11" t="s">
        <v>104</v>
      </c>
      <c r="J486" s="11">
        <v>1023</v>
      </c>
      <c r="K486" s="8">
        <v>2024</v>
      </c>
    </row>
    <row r="487" spans="1:11" x14ac:dyDescent="0.35">
      <c r="A487" s="21" t="str">
        <f t="shared" si="9"/>
        <v>2002N/NE - ATNP                        20</v>
      </c>
      <c r="B487" t="s">
        <v>77</v>
      </c>
      <c r="D487" t="s">
        <v>170</v>
      </c>
      <c r="G487" t="s">
        <v>162</v>
      </c>
      <c r="H487" s="5">
        <v>20</v>
      </c>
      <c r="I487" s="7" t="s">
        <v>78</v>
      </c>
      <c r="J487" s="7">
        <v>998</v>
      </c>
      <c r="K487" s="8">
        <v>2002</v>
      </c>
    </row>
    <row r="488" spans="1:11" x14ac:dyDescent="0.35">
      <c r="A488" s="21" t="str">
        <f t="shared" si="9"/>
        <v>2002N/NE - ATNP                        10</v>
      </c>
      <c r="B488" t="s">
        <v>77</v>
      </c>
      <c r="D488" t="s">
        <v>170</v>
      </c>
      <c r="G488" t="s">
        <v>162</v>
      </c>
      <c r="H488" s="9">
        <v>10</v>
      </c>
      <c r="I488" s="7" t="s">
        <v>79</v>
      </c>
      <c r="J488" s="7">
        <v>999</v>
      </c>
      <c r="K488" s="8">
        <v>2002</v>
      </c>
    </row>
    <row r="489" spans="1:11" x14ac:dyDescent="0.35">
      <c r="A489" s="21" t="str">
        <f t="shared" si="9"/>
        <v>2024N/NE - ATNP                        24</v>
      </c>
      <c r="B489" t="s">
        <v>77</v>
      </c>
      <c r="D489" t="s">
        <v>170</v>
      </c>
      <c r="G489" t="s">
        <v>162</v>
      </c>
      <c r="H489">
        <v>24</v>
      </c>
      <c r="I489" s="10" t="s">
        <v>80</v>
      </c>
      <c r="J489" s="10">
        <v>1018</v>
      </c>
      <c r="K489">
        <v>2024</v>
      </c>
    </row>
    <row r="490" spans="1:11" x14ac:dyDescent="0.35">
      <c r="A490" s="21" t="str">
        <f t="shared" si="9"/>
        <v>2024N/NE - ATNP                        22</v>
      </c>
      <c r="B490" t="s">
        <v>77</v>
      </c>
      <c r="D490" t="s">
        <v>170</v>
      </c>
      <c r="G490" t="s">
        <v>162</v>
      </c>
      <c r="H490" s="9">
        <v>22</v>
      </c>
      <c r="I490" s="10" t="s">
        <v>81</v>
      </c>
      <c r="J490" s="10">
        <v>1019</v>
      </c>
      <c r="K490">
        <v>2024</v>
      </c>
    </row>
    <row r="491" spans="1:11" x14ac:dyDescent="0.35">
      <c r="A491" s="21" t="str">
        <f t="shared" si="9"/>
        <v>2024N/NE - ATNP                        15</v>
      </c>
      <c r="B491" t="s">
        <v>77</v>
      </c>
      <c r="D491" t="s">
        <v>170</v>
      </c>
      <c r="G491" t="s">
        <v>162</v>
      </c>
      <c r="H491" s="5">
        <v>15</v>
      </c>
      <c r="I491" s="10" t="s">
        <v>82</v>
      </c>
      <c r="J491" s="10">
        <v>1020</v>
      </c>
      <c r="K491">
        <v>2024</v>
      </c>
    </row>
    <row r="492" spans="1:11" x14ac:dyDescent="0.35">
      <c r="A492" s="21" t="str">
        <f t="shared" si="9"/>
        <v>2002RJ - Z.NORTE                       10</v>
      </c>
      <c r="B492" t="s">
        <v>83</v>
      </c>
      <c r="C492">
        <v>218</v>
      </c>
      <c r="D492" t="s">
        <v>174</v>
      </c>
      <c r="G492" t="s">
        <v>162</v>
      </c>
      <c r="H492" s="9">
        <v>10</v>
      </c>
      <c r="I492" s="14" t="s">
        <v>90</v>
      </c>
      <c r="J492" s="7">
        <v>1011</v>
      </c>
      <c r="K492">
        <v>2002</v>
      </c>
    </row>
    <row r="493" spans="1:11" x14ac:dyDescent="0.35">
      <c r="A493" s="21" t="str">
        <f t="shared" si="9"/>
        <v>2024RJ - Z.NORTE                       24</v>
      </c>
      <c r="B493" t="s">
        <v>83</v>
      </c>
      <c r="C493">
        <v>218</v>
      </c>
      <c r="D493" t="s">
        <v>174</v>
      </c>
      <c r="G493" t="s">
        <v>162</v>
      </c>
      <c r="H493">
        <v>24</v>
      </c>
      <c r="I493" s="16" t="s">
        <v>91</v>
      </c>
      <c r="J493" s="16">
        <v>1036</v>
      </c>
      <c r="K493">
        <v>2024</v>
      </c>
    </row>
    <row r="494" spans="1:11" x14ac:dyDescent="0.35">
      <c r="A494" s="21" t="str">
        <f t="shared" si="9"/>
        <v>2024RJ - Z.NORTE                       22</v>
      </c>
      <c r="B494" t="s">
        <v>83</v>
      </c>
      <c r="C494">
        <v>218</v>
      </c>
      <c r="D494" t="s">
        <v>174</v>
      </c>
      <c r="G494" t="s">
        <v>162</v>
      </c>
      <c r="H494" s="9">
        <v>22</v>
      </c>
      <c r="I494" s="16" t="s">
        <v>92</v>
      </c>
      <c r="J494" s="16">
        <v>1037</v>
      </c>
      <c r="K494">
        <v>2024</v>
      </c>
    </row>
    <row r="495" spans="1:11" x14ac:dyDescent="0.35">
      <c r="A495" s="21" t="str">
        <f t="shared" si="9"/>
        <v>2024RJ - Z.NORTE                       15</v>
      </c>
      <c r="B495" t="s">
        <v>83</v>
      </c>
      <c r="C495">
        <v>218</v>
      </c>
      <c r="D495" t="s">
        <v>174</v>
      </c>
      <c r="G495" t="s">
        <v>162</v>
      </c>
      <c r="H495" s="5">
        <v>15</v>
      </c>
      <c r="I495" s="16" t="s">
        <v>93</v>
      </c>
      <c r="J495" s="16">
        <v>1038</v>
      </c>
      <c r="K495">
        <v>2024</v>
      </c>
    </row>
    <row r="496" spans="1:11" x14ac:dyDescent="0.35">
      <c r="A496" s="21" t="str">
        <f t="shared" si="9"/>
        <v>2002RJ - Z.NORTE                       20</v>
      </c>
      <c r="B496" t="s">
        <v>83</v>
      </c>
      <c r="C496">
        <v>218</v>
      </c>
      <c r="D496" t="s">
        <v>174</v>
      </c>
      <c r="G496" t="s">
        <v>162</v>
      </c>
      <c r="H496" s="5">
        <v>20</v>
      </c>
      <c r="I496" s="14" t="s">
        <v>89</v>
      </c>
      <c r="J496" s="7">
        <v>1010</v>
      </c>
      <c r="K496">
        <v>2002</v>
      </c>
    </row>
    <row r="497" spans="1:11" x14ac:dyDescent="0.35">
      <c r="A497" s="21" t="s">
        <v>186</v>
      </c>
      <c r="B497" t="s">
        <v>5</v>
      </c>
      <c r="C497" s="4">
        <v>305</v>
      </c>
      <c r="D497" s="18" t="s">
        <v>185</v>
      </c>
      <c r="E497" s="5" t="s">
        <v>11</v>
      </c>
      <c r="F497" t="s">
        <v>12</v>
      </c>
      <c r="G497" t="s">
        <v>160</v>
      </c>
      <c r="H497" s="5">
        <v>20</v>
      </c>
      <c r="I497" s="7" t="s">
        <v>6</v>
      </c>
      <c r="J497" s="7">
        <v>994</v>
      </c>
      <c r="K497">
        <v>2002</v>
      </c>
    </row>
    <row r="498" spans="1:11" x14ac:dyDescent="0.35">
      <c r="A498" s="21" t="s">
        <v>187</v>
      </c>
      <c r="B498" t="s">
        <v>5</v>
      </c>
      <c r="C498" s="4">
        <v>305</v>
      </c>
      <c r="D498" s="18" t="s">
        <v>185</v>
      </c>
      <c r="E498" s="5" t="s">
        <v>11</v>
      </c>
      <c r="F498" t="s">
        <v>12</v>
      </c>
      <c r="G498" t="s">
        <v>160</v>
      </c>
      <c r="H498" s="9">
        <v>10</v>
      </c>
      <c r="I498" s="7" t="s">
        <v>26</v>
      </c>
      <c r="J498" s="7">
        <v>995</v>
      </c>
      <c r="K498">
        <v>2002</v>
      </c>
    </row>
    <row r="499" spans="1:11" x14ac:dyDescent="0.35">
      <c r="A499" s="21" t="s">
        <v>188</v>
      </c>
      <c r="B499" t="s">
        <v>5</v>
      </c>
      <c r="C499" s="4">
        <v>305</v>
      </c>
      <c r="D499" s="18" t="s">
        <v>185</v>
      </c>
      <c r="E499" s="5" t="s">
        <v>11</v>
      </c>
      <c r="F499" t="s">
        <v>12</v>
      </c>
      <c r="G499" t="s">
        <v>160</v>
      </c>
      <c r="H499">
        <v>24</v>
      </c>
      <c r="I499" s="10" t="s">
        <v>27</v>
      </c>
      <c r="J499" s="10">
        <v>1012</v>
      </c>
      <c r="K499">
        <v>2024</v>
      </c>
    </row>
    <row r="500" spans="1:11" x14ac:dyDescent="0.35">
      <c r="A500" s="21" t="s">
        <v>189</v>
      </c>
      <c r="B500" t="s">
        <v>5</v>
      </c>
      <c r="C500" s="4">
        <v>305</v>
      </c>
      <c r="D500" s="18" t="s">
        <v>185</v>
      </c>
      <c r="E500" s="5" t="s">
        <v>11</v>
      </c>
      <c r="F500" t="s">
        <v>12</v>
      </c>
      <c r="G500" t="s">
        <v>160</v>
      </c>
      <c r="H500" s="9">
        <v>22</v>
      </c>
      <c r="I500" s="10" t="s">
        <v>28</v>
      </c>
      <c r="J500" s="10">
        <v>1013</v>
      </c>
      <c r="K500">
        <v>2024</v>
      </c>
    </row>
    <row r="501" spans="1:11" x14ac:dyDescent="0.35">
      <c r="A501" s="21" t="s">
        <v>190</v>
      </c>
      <c r="B501" t="s">
        <v>5</v>
      </c>
      <c r="C501" s="4">
        <v>305</v>
      </c>
      <c r="D501" s="18" t="s">
        <v>185</v>
      </c>
      <c r="E501" s="5" t="s">
        <v>11</v>
      </c>
      <c r="F501" t="s">
        <v>12</v>
      </c>
      <c r="G501" t="s">
        <v>160</v>
      </c>
      <c r="H501" s="5">
        <v>15</v>
      </c>
      <c r="I501" s="10" t="s">
        <v>29</v>
      </c>
      <c r="J501" s="10">
        <v>1014</v>
      </c>
      <c r="K501">
        <v>2024</v>
      </c>
    </row>
  </sheetData>
  <autoFilter ref="A1:K501" xr:uid="{93893A94-31FC-4D53-A58F-5CCFBAE4F5EB}"/>
  <pageMargins left="0.511811024" right="0.511811024" top="0.78740157499999996" bottom="0.78740157499999996" header="0.31496062000000002" footer="0.31496062000000002"/>
  <pageSetup paperSize="9" orientation="portrait" horizontalDpi="90" verticalDpi="90" r:id="rId1"/>
  <headerFooter>
    <oddHeader>&amp;C&amp;"Calibri"&amp;10&amp;K000000Internal&amp;1#</oddHeader>
    <oddFooter>&amp;L&amp;"Calibri,Regular"&amp;08&amp;B&amp;K7F7F7FClassificação Allianz:&amp;K595959 &amp;K7F7F7FPÚBLICO</oddFooter>
    <evenFooter>&amp;L&amp;"Calibri,Regular"&amp;08&amp;B&amp;K7F7F7FClassificação Allianz:&amp;K595959 &amp;K7F7F7FPÚBLICO</evenFooter>
    <firstFooter>&amp;L&amp;"Calibri,Regular"&amp;08&amp;B&amp;K7F7F7FClassificação Allianz:&amp;K595959 &amp;K7F7F7FPÚBLICO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B0C58-B68E-4AF9-9A0C-936F5D6378BB}">
  <sheetPr codeName="Planilha3">
    <pageSetUpPr autoPageBreaks="0"/>
  </sheetPr>
  <dimension ref="A1"/>
  <sheetViews>
    <sheetView showGridLines="0" workbookViewId="0">
      <selection activeCell="K27" sqref="K27"/>
    </sheetView>
  </sheetViews>
  <sheetFormatPr defaultRowHeight="14.5" x14ac:dyDescent="0.35"/>
  <sheetData/>
  <pageMargins left="0.511811024" right="0.511811024" top="0.78740157499999996" bottom="0.78740157499999996" header="0.31496062000000002" footer="0.31496062000000002"/>
  <pageSetup paperSize="9" orientation="portrait" r:id="rId1"/>
  <headerFooter>
    <oddHeader>&amp;C&amp;"Calibri"&amp;10&amp;K000000Internal&amp;1#</oddHeader>
    <oddFooter>&amp;L&amp;"Calibri,Regular"&amp;08&amp;B&amp;K7F7F7FClassificação Allianz:&amp;K595959 &amp;K7F7F7FPÚBLICO</oddFooter>
    <evenFooter>&amp;L&amp;"Calibri,Regular"&amp;08&amp;B&amp;K7F7F7FClassificação Allianz:&amp;K595959 &amp;K7F7F7FPÚBLICO</evenFooter>
    <firstFooter>&amp;L&amp;"Calibri,Regular"&amp;08&amp;B&amp;K7F7F7FClassificação Allianz:&amp;K595959 &amp;K7F7F7FPÚBLICO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dd20d239-a7e6-4c49-877c-45b7b43359cb" origin="userSelected">
  <element uid="3bce4a63-3676-4931-809d-3d727c6f4324" value=""/>
</sisl>
</file>

<file path=customXml/item2.xml><?xml version="1.0" encoding="utf-8"?>
<WrappedLabelHistory xmlns:xsd="http://www.w3.org/2001/XMLSchema" xmlns:xsi="http://www.w3.org/2001/XMLSchema-instance" xmlns="http://www.boldonjames.com/2016/02/Classifier/internal/wrappedLabelHistory">
  <Value>PD94bWwgdmVyc2lvbj0iMS4wIiBlbmNvZGluZz0idXMtYXNjaWkiPz48bGFiZWxIaXN0b3J5IHhtbG5zOnhzZD0iaHR0cDovL3d3dy53My5vcmcvMjAwMS9YTUxTY2hlbWEiIHhtbG5zOnhzaT0iaHR0cDovL3d3dy53My5vcmcvMjAwMS9YTUxTY2hlbWEtaW5zdGFuY2UiIHhtbG5zPSJodHRwOi8vd3d3LmJvbGRvbmphbWVzLmNvbS8yMDE2LzAyL0NsYXNzaWZpZXIvaW50ZXJuYWwvbGFiZWxIaXN0b3J5Ij48aXRlbT48c2lzbCBzaXNsVmVyc2lvbj0iMCIgcG9saWN5PSJkZDIwZDIzOS1hN2U2LTRjNDktODc3Yy00NWI3YjQzMzU5Y2IiIG9yaWdpbj0idXNlclNlbGVjdGVkIj48ZWxlbWVudCB1aWQ9IjNiY2U0YTYzLTM2NzYtNDkzMS04MDlkLTNkNzI3YzZmNDMyNCIgdmFsdWU9IiIgeG1sbnM9Imh0dHA6Ly93d3cuYm9sZG9uamFtZXMuY29tLzIwMDgvMDEvc2llL2ludGVybmFsL2xhYmVsIiAvPjwvc2lzbD48VXNlck5hbWU+QUxMSUFOWlxiZTAxOTQ2PC9Vc2VyTmFtZT48RGF0ZVRpbWU+MjgvMDUvMjAxOSAxNzoxNTowNTwvRGF0ZVRpbWU+PExhYmVsU3RyaW5nPiAgICAgICAyOC8wNS8yMDE5ICBQJiN4REE7QkxJQ08gIDwvTGFiZWxTdHJpbmc+PC9pdGVtPjwvbGFiZWxIaXN0b3J5Pg==</Value>
</WrappedLabelHistory>
</file>

<file path=customXml/itemProps1.xml><?xml version="1.0" encoding="utf-8"?>
<ds:datastoreItem xmlns:ds="http://schemas.openxmlformats.org/officeDocument/2006/customXml" ds:itemID="{A687BA0B-5167-4A30-B935-90399B85BE2D}">
  <ds:schemaRefs>
    <ds:schemaRef ds:uri="http://www.w3.org/2001/XMLSchema"/>
    <ds:schemaRef ds:uri="http://www.boldonjames.com/2008/01/sie/internal/label"/>
  </ds:schemaRefs>
</ds:datastoreItem>
</file>

<file path=customXml/itemProps2.xml><?xml version="1.0" encoding="utf-8"?>
<ds:datastoreItem xmlns:ds="http://schemas.openxmlformats.org/officeDocument/2006/customXml" ds:itemID="{DCA74A62-E908-4C3E-A1D4-6DC1121C84E7}">
  <ds:schemaRefs>
    <ds:schemaRef ds:uri="http://www.w3.org/2001/XMLSchema"/>
    <ds:schemaRef ds:uri="http://www.boldonjames.com/2016/02/Classifier/internal/wrappedLabelHistory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Bloqueios</vt:lpstr>
      <vt:lpstr>Planilha2</vt:lpstr>
      <vt:lpstr>REGRA</vt:lpstr>
      <vt:lpstr>BASE DE DADOS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Eduardo Gomes</dc:creator>
  <cp:lastModifiedBy>Arantes, Joao (ALLIANZSEGUROS S/A)</cp:lastModifiedBy>
  <dcterms:created xsi:type="dcterms:W3CDTF">2019-05-28T17:14:42Z</dcterms:created>
  <dcterms:modified xsi:type="dcterms:W3CDTF">2025-04-17T13:22:51Z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7dca5381-02db-4997-8936-68ee6baa8e60</vt:lpwstr>
  </property>
  <property fmtid="{D5CDD505-2E9C-101B-9397-08002B2CF9AE}" pid="3" name="bjSaver">
    <vt:lpwstr>w7hCtnqagPwZieTUJqAWXuUCNcFncJL1</vt:lpwstr>
  </property>
  <property fmtid="{D5CDD505-2E9C-101B-9397-08002B2CF9AE}" pid="4" name="X-CLASSIFIER-HEADER">
    <vt:lpwstr>[BRALL-{Classificação}]</vt:lpwstr>
  </property>
  <property fmtid="{D5CDD505-2E9C-101B-9397-08002B2CF9AE}" pid="5" name="bjLabelHistoryID">
    <vt:lpwstr>{DCA74A62-E908-4C3E-A1D4-6DC1121C84E7}</vt:lpwstr>
  </property>
  <property fmtid="{D5CDD505-2E9C-101B-9397-08002B2CF9AE}" pid="6" name="bjLeftFooterLabel-first">
    <vt:lpwstr>&amp;"Calibri,Regular"&amp;08&amp;B&amp;K7F7F7FClassificação Allianz:&amp;K595959 &amp;K7F7F7FPÚBLICO</vt:lpwstr>
  </property>
  <property fmtid="{D5CDD505-2E9C-101B-9397-08002B2CF9AE}" pid="7" name="bjLeftFooterLabel-even">
    <vt:lpwstr>&amp;"Calibri,Regular"&amp;08&amp;B&amp;K7F7F7FClassificação Allianz:&amp;K595959 &amp;K7F7F7FPÚBLICO</vt:lpwstr>
  </property>
  <property fmtid="{D5CDD505-2E9C-101B-9397-08002B2CF9AE}" pid="8" name="bjLeftFooterLabel">
    <vt:lpwstr>&amp;"Calibri,Regular"&amp;08&amp;B&amp;K7F7F7FClassificação Allianz:&amp;K595959 &amp;K7F7F7FPÚBLICO</vt:lpwstr>
  </property>
  <property fmtid="{D5CDD505-2E9C-101B-9397-08002B2CF9AE}" pid="9" name="bjDocumentLabelXML">
    <vt:lpwstr>&lt;?xml version="1.0" encoding="us-ascii"?&gt;&lt;sisl xmlns:xsi="http://www.w3.org/2001/XMLSchema-instance" xmlns:xsd="http://www.w3.org/2001/XMLSchema" sislVersion="0" policy="dd20d239-a7e6-4c49-877c-45b7b43359cb" origin="userSelected" xmlns="http://www.boldonj</vt:lpwstr>
  </property>
  <property fmtid="{D5CDD505-2E9C-101B-9397-08002B2CF9AE}" pid="10" name="bjDocumentLabelXML-0">
    <vt:lpwstr>ames.com/2008/01/sie/internal/label"&gt;&lt;element uid="3bce4a63-3676-4931-809d-3d727c6f4324" value="" /&gt;&lt;/sisl&gt;</vt:lpwstr>
  </property>
  <property fmtid="{D5CDD505-2E9C-101B-9397-08002B2CF9AE}" pid="11" name="bjDocumentSecurityLabel">
    <vt:lpwstr>       30/08/2022  PÚBLICO  </vt:lpwstr>
  </property>
  <property fmtid="{D5CDD505-2E9C-101B-9397-08002B2CF9AE}" pid="12" name="MSIP_Label_863bc15e-e7bf-41c1-bdb3-03882d8a2e2c_Enabled">
    <vt:lpwstr>true</vt:lpwstr>
  </property>
  <property fmtid="{D5CDD505-2E9C-101B-9397-08002B2CF9AE}" pid="13" name="MSIP_Label_863bc15e-e7bf-41c1-bdb3-03882d8a2e2c_SetDate">
    <vt:lpwstr>2024-03-04T17:53:38Z</vt:lpwstr>
  </property>
  <property fmtid="{D5CDD505-2E9C-101B-9397-08002B2CF9AE}" pid="14" name="MSIP_Label_863bc15e-e7bf-41c1-bdb3-03882d8a2e2c_Method">
    <vt:lpwstr>Privileged</vt:lpwstr>
  </property>
  <property fmtid="{D5CDD505-2E9C-101B-9397-08002B2CF9AE}" pid="15" name="MSIP_Label_863bc15e-e7bf-41c1-bdb3-03882d8a2e2c_Name">
    <vt:lpwstr>863bc15e-e7bf-41c1-bdb3-03882d8a2e2c</vt:lpwstr>
  </property>
  <property fmtid="{D5CDD505-2E9C-101B-9397-08002B2CF9AE}" pid="16" name="MSIP_Label_863bc15e-e7bf-41c1-bdb3-03882d8a2e2c_SiteId">
    <vt:lpwstr>6e06e42d-6925-47c6-b9e7-9581c7ca302a</vt:lpwstr>
  </property>
  <property fmtid="{D5CDD505-2E9C-101B-9397-08002B2CF9AE}" pid="17" name="MSIP_Label_863bc15e-e7bf-41c1-bdb3-03882d8a2e2c_ActionId">
    <vt:lpwstr>747a5b4b-2a18-4049-aff2-96a12cc4d1ae</vt:lpwstr>
  </property>
  <property fmtid="{D5CDD505-2E9C-101B-9397-08002B2CF9AE}" pid="18" name="MSIP_Label_863bc15e-e7bf-41c1-bdb3-03882d8a2e2c_ContentBits">
    <vt:lpwstr>1</vt:lpwstr>
  </property>
  <property fmtid="{D5CDD505-2E9C-101B-9397-08002B2CF9AE}" pid="19" name="_AdHocReviewCycleID">
    <vt:i4>-921055133</vt:i4>
  </property>
  <property fmtid="{D5CDD505-2E9C-101B-9397-08002B2CF9AE}" pid="20" name="_NewReviewCycle">
    <vt:lpwstr/>
  </property>
  <property fmtid="{D5CDD505-2E9C-101B-9397-08002B2CF9AE}" pid="21" name="_EmailSubject">
    <vt:lpwstr>Distribuição Propostas GO em 17/04/2025</vt:lpwstr>
  </property>
  <property fmtid="{D5CDD505-2E9C-101B-9397-08002B2CF9AE}" pid="22" name="_AuthorEmail">
    <vt:lpwstr>joao.arantes@allianz.com.br</vt:lpwstr>
  </property>
  <property fmtid="{D5CDD505-2E9C-101B-9397-08002B2CF9AE}" pid="23" name="_AuthorEmailDisplayName">
    <vt:lpwstr>Arantes, Joao (ALLIANZSEGUROS S/A)</vt:lpwstr>
  </property>
</Properties>
</file>