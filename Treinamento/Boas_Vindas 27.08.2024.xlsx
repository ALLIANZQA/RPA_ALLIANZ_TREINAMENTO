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ianzms.sharepoint.com/teams/BR0010-4777699/Shared Documents/Operações Comerciais/Ciclo de Vida do Corretor/Novos Cadastros/Controle de cadastro/Layout Boas Vindas/"/>
    </mc:Choice>
  </mc:AlternateContent>
  <xr:revisionPtr revIDLastSave="90" documentId="8_{05375250-5169-4FC4-AD43-4266DC9C7809}" xr6:coauthVersionLast="47" xr6:coauthVersionMax="47" xr10:uidLastSave="{41F9D8FE-DCE7-4BA4-9ACC-6FDAD3F08ED0}"/>
  <bookViews>
    <workbookView xWindow="-120" yWindow="-120" windowWidth="29040" windowHeight="15840" xr2:uid="{0E0F3B87-88CD-4456-A581-A7CEB6CC0E9D}"/>
  </bookViews>
  <sheets>
    <sheet name="Boas_Vindas" sheetId="1" r:id="rId1"/>
  </sheets>
  <externalReferences>
    <externalReference r:id="rId2"/>
  </externalReferences>
  <definedNames>
    <definedName name="_xlnm._FilterDatabase" localSheetId="0" hidden="1">Boas_Vindas!$A$1:$S$37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O2" i="1"/>
  <c r="Q14" i="1"/>
  <c r="Q13" i="1"/>
  <c r="Q12" i="1"/>
  <c r="Q11" i="1"/>
  <c r="Q10" i="1"/>
  <c r="Q9" i="1"/>
  <c r="Q8" i="1"/>
  <c r="Q7" i="1"/>
  <c r="Q6" i="1"/>
  <c r="Q4" i="1"/>
  <c r="Q3" i="1"/>
  <c r="Q2" i="1"/>
  <c r="P3" i="1"/>
  <c r="P4" i="1"/>
  <c r="P6" i="1"/>
  <c r="P7" i="1"/>
  <c r="P8" i="1"/>
  <c r="P9" i="1"/>
  <c r="P10" i="1"/>
  <c r="P11" i="1"/>
  <c r="P12" i="1"/>
  <c r="P13" i="1"/>
  <c r="P14" i="1"/>
  <c r="O14" i="1"/>
  <c r="O13" i="1"/>
  <c r="O12" i="1"/>
  <c r="O11" i="1"/>
  <c r="O10" i="1"/>
  <c r="O9" i="1"/>
  <c r="O8" i="1"/>
  <c r="O7" i="1"/>
  <c r="O6" i="1"/>
  <c r="O4" i="1"/>
  <c r="O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Fernanda Aparecida S Batista</author>
  </authors>
  <commentList>
    <comment ref="C1" authorId="0" shapeId="0" xr:uid="{90DEA7BA-22F0-4C03-8D94-12D91230B999}">
      <text>
        <r>
          <rPr>
            <sz val="9"/>
            <color indexed="81"/>
            <rFont val="Segoe UI"/>
            <family val="2"/>
          </rPr>
          <t>Informar nome da corretora conforme cadastro na Receita Federal. (NÃO PODE SER NOME FANTASIA)
Corretor pessoa física: informar o nome cadastrado na SUSEP</t>
        </r>
      </text>
    </comment>
  </commentList>
</comments>
</file>

<file path=xl/sharedStrings.xml><?xml version="1.0" encoding="utf-8"?>
<sst xmlns="http://schemas.openxmlformats.org/spreadsheetml/2006/main" count="525" uniqueCount="406">
  <si>
    <t>SUSEP</t>
  </si>
  <si>
    <t>212120263</t>
  </si>
  <si>
    <t>222131577</t>
  </si>
  <si>
    <t>242159733</t>
  </si>
  <si>
    <t>242158928</t>
  </si>
  <si>
    <t>242159403</t>
  </si>
  <si>
    <t>211131001</t>
  </si>
  <si>
    <t>232146759</t>
  </si>
  <si>
    <t>202057416</t>
  </si>
  <si>
    <t>242159845</t>
  </si>
  <si>
    <t>202015962</t>
  </si>
  <si>
    <t>242160042</t>
  </si>
  <si>
    <t>242160107</t>
  </si>
  <si>
    <t>222137423</t>
  </si>
  <si>
    <t>242160140</t>
  </si>
  <si>
    <t>242158876</t>
  </si>
  <si>
    <t>242158750</t>
  </si>
  <si>
    <t>202027060</t>
  </si>
  <si>
    <t>212115633</t>
  </si>
  <si>
    <t>242159700</t>
  </si>
  <si>
    <t>242159935</t>
  </si>
  <si>
    <t>242160038</t>
  </si>
  <si>
    <t>232144213</t>
  </si>
  <si>
    <t>222131566</t>
  </si>
  <si>
    <t>201073120</t>
  </si>
  <si>
    <t>242159575</t>
  </si>
  <si>
    <t>242160257</t>
  </si>
  <si>
    <t>242160609</t>
  </si>
  <si>
    <t>242160191</t>
  </si>
  <si>
    <t>242158746</t>
  </si>
  <si>
    <t>222136683</t>
  </si>
  <si>
    <t>242157052</t>
  </si>
  <si>
    <t>242160274</t>
  </si>
  <si>
    <t>242157512</t>
  </si>
  <si>
    <t>231148761</t>
  </si>
  <si>
    <t>222142138</t>
  </si>
  <si>
    <t>242155561</t>
  </si>
  <si>
    <t>CNPJ / CPF</t>
  </si>
  <si>
    <t>42641501000105</t>
  </si>
  <si>
    <t>44729792000105</t>
  </si>
  <si>
    <t>55909775000176</t>
  </si>
  <si>
    <t>38024020000175</t>
  </si>
  <si>
    <t>55874810000169</t>
  </si>
  <si>
    <t>69831190459</t>
  </si>
  <si>
    <t>46758040000106</t>
  </si>
  <si>
    <t>32107266000124</t>
  </si>
  <si>
    <t>56084774000100</t>
  </si>
  <si>
    <t>33234169000165</t>
  </si>
  <si>
    <t>56198080000196</t>
  </si>
  <si>
    <t>56284093000188</t>
  </si>
  <si>
    <t>46871573000191</t>
  </si>
  <si>
    <t>56306528000148</t>
  </si>
  <si>
    <t>55517322000102</t>
  </si>
  <si>
    <t>51851682000187</t>
  </si>
  <si>
    <t>35758979000146</t>
  </si>
  <si>
    <t>36608694000191</t>
  </si>
  <si>
    <t>55625387000163</t>
  </si>
  <si>
    <t>55902436000168</t>
  </si>
  <si>
    <t>55991787000192</t>
  </si>
  <si>
    <t>49749322000127</t>
  </si>
  <si>
    <t>44713463000176</t>
  </si>
  <si>
    <t>07450138808</t>
  </si>
  <si>
    <t>48159424000120</t>
  </si>
  <si>
    <t>55801647000104</t>
  </si>
  <si>
    <t>55387152000180</t>
  </si>
  <si>
    <t>56193842000161</t>
  </si>
  <si>
    <t>55156412000107</t>
  </si>
  <si>
    <t>44652399000160</t>
  </si>
  <si>
    <t>54139313000154</t>
  </si>
  <si>
    <t>16728857000162</t>
  </si>
  <si>
    <t>54285190000160</t>
  </si>
  <si>
    <t>51558376000157</t>
  </si>
  <si>
    <t>48840751000142</t>
  </si>
  <si>
    <t>54243478000171</t>
  </si>
  <si>
    <t>NOME CORRETORA</t>
  </si>
  <si>
    <t xml:space="preserve">C D AVANT CORRETORA DE SEGUROS LTDA </t>
  </si>
  <si>
    <t>E F LENHARO CORRETORA DE SEGUROS LTDA</t>
  </si>
  <si>
    <t>ELO SEGURO LTDA</t>
  </si>
  <si>
    <t>SALUTE CORRETORA DE SEGUROS LTDA</t>
  </si>
  <si>
    <t>PAULO BESLER MONTEIRO CORRETORA DE SEGUROS LTDA</t>
  </si>
  <si>
    <t>SAULO OLIVEIRA</t>
  </si>
  <si>
    <t xml:space="preserve">MARIA IDARAELE FERREIRA DE CARVALHO SOU </t>
  </si>
  <si>
    <t>ITAPUÃ &amp; H. PALMA CORRETORA DE SEGUROS LTDA</t>
  </si>
  <si>
    <t>VITAE GROUP CORRETAGEM BRASIL LTDA</t>
  </si>
  <si>
    <t>HJ CORRETORA DE SEGUROS LTDA</t>
  </si>
  <si>
    <t>RAFAEL MELLO CORRETORA DE SEGUROS LTDA</t>
  </si>
  <si>
    <t>ATUS DM CORRETORA DE SEGUROS</t>
  </si>
  <si>
    <t xml:space="preserve">MM GUIMARAES CORRETORA DE SEGUROS LTDA </t>
  </si>
  <si>
    <t>STARK CORRETORA DE SEGUROS LTDA</t>
  </si>
  <si>
    <t>DOZE PASSOS &amp; BENEFICIOS CORRETORA DE SEGUROS LTDA.</t>
  </si>
  <si>
    <t>A.F.D.BERTUCCI DOS SANTOS CORRETORA DE SEGUROS</t>
  </si>
  <si>
    <t>PASA CORRETORA DE SEGUROS LTDA</t>
  </si>
  <si>
    <t xml:space="preserve">VENTURINI CORRETORA DE SEGUROS LTDA </t>
  </si>
  <si>
    <t>J.CARDOSO ADMINISTRADORA E CORRETORA DE SEGUROS LTDA</t>
  </si>
  <si>
    <t>XRAV CORRETORA DE SEGUROS E NEGOCIOS IMOBILIARIOS LTDA</t>
  </si>
  <si>
    <t>MITZ CORRETORA DE SEGUROS LTDA</t>
  </si>
  <si>
    <t>GROWTH CORRETORA DE SEGUROS LTDA</t>
  </si>
  <si>
    <t>CATULO RIBEIRO CORRETORA DE SEGUROS LTDA</t>
  </si>
  <si>
    <t>ROBERTO CARLOS DA SILVA LEITÃO</t>
  </si>
  <si>
    <t>VIA CONSEGUROS ADMINISTRADORA E CORRETORA DE SEGUROS LTDA</t>
  </si>
  <si>
    <t>TUTUM CORRETORA DE SEGUROS LTDA</t>
  </si>
  <si>
    <t>TAVARES E RIBEIRO CORRETORA DE SEGUROS LTDA</t>
  </si>
  <si>
    <t>VITALIS CORRETORA DE SEGUROS LTDA</t>
  </si>
  <si>
    <t>DB CORRETORA DE SEGUROS LTDA</t>
  </si>
  <si>
    <t>MARONI CORRETORA DE SEGUROS E GERENCIADORA DE RISCOS LTDA</t>
  </si>
  <si>
    <t>ATLAS CONSULTORIA EMPRESARIAL, ADMINISTRACAO E CORRETORA DE SEGUROS LTDA</t>
  </si>
  <si>
    <t>BENDIZER CORRETORA DE SEGUROS LTDA</t>
  </si>
  <si>
    <t xml:space="preserve">ANAPOLIS CONSULTORIA E CORRETORA DE SEGUROS </t>
  </si>
  <si>
    <t>CONFIANZA CORRETORA</t>
  </si>
  <si>
    <t>VITORIA SEGUROS LTDA</t>
  </si>
  <si>
    <t>MIDAS CORRETORA DE SEGUROS LTDA</t>
  </si>
  <si>
    <t>E-mail corretor + account</t>
  </si>
  <si>
    <t>TULIO.HENRIQUE@VMSGESTAOCONTABIL.COM,patricia.farias@allianz.com.br</t>
  </si>
  <si>
    <t>FAFALIMMA00@GMAIL.COM,rodrigo.deus@allianz.com.br</t>
  </si>
  <si>
    <t>PBESLERMONTEIRO61@GMAIL.COM,adriano.campos@allianz.com.br</t>
  </si>
  <si>
    <t>SAULO_OLIVESS@YAHOO.COM.BR,julianna.printes@allianz.com.br</t>
  </si>
  <si>
    <t xml:space="preserve">CARVALHOSOUZAADMCOR@GMAIL.COM,olga.terceiro@allianz.com.br </t>
  </si>
  <si>
    <t>ITAPUACS@TERRA.COM.BR,rodrigo.amorim@allianz.com.br</t>
  </si>
  <si>
    <t>CORPORATEBR@VITAE.GROUP,hermival.souza@allianz.com.br</t>
  </si>
  <si>
    <t>HJCORRETORA2@GMAIL.COM,gleison.ferreira@allianz.com.br</t>
  </si>
  <si>
    <t xml:space="preserve">STARKCORRETORADESEGUROS@GMAIL.COM,veruscka.reis@allianz.com.br </t>
  </si>
  <si>
    <t>BLANCO@DOZEPASSOSCORRETORA.COM.BR,mariatania.dantas@allianz.com.br</t>
  </si>
  <si>
    <t>CADASTROS@PLATAFORMASEGUROS.COM.BR,vitor.mattos@allianz.com.br</t>
  </si>
  <si>
    <t xml:space="preserve">CORRETORA@MITZSEGUROS.COM.BR,olga.terceiro@allianz.com.br </t>
  </si>
  <si>
    <t>CORRETORA@PRIMESECURE.COM.BR,renata.magalhaes@allianz.com.br</t>
  </si>
  <si>
    <t>RCLEITAO.SEGUROS@GMAIL.COM,andreza.libanore@allianz.com.br</t>
  </si>
  <si>
    <t>CARLA@VIAMAQUINAS.COM.BR,andreia.cardias@allianz.com.br</t>
  </si>
  <si>
    <t>LUCIENE@TUTUMCORRETORASEGUROS.COM.BR,endyane.marques@allianz.com.br</t>
  </si>
  <si>
    <t>VITALISCLENTES@GMAIL.COM,aparecida.rodrigues@allianz.com.br</t>
  </si>
  <si>
    <t>ALEMOS@ATLASCORRETORA.COM.BR,fernando.lima@allianz.com.br</t>
  </si>
  <si>
    <t>BENDIZERCORRETORA@HOTMAIL.COM,fabiane.araujo@allianz.com.br</t>
  </si>
  <si>
    <t>DDD (celular)</t>
  </si>
  <si>
    <t>62</t>
  </si>
  <si>
    <t>14</t>
  </si>
  <si>
    <t>61</t>
  </si>
  <si>
    <t>71</t>
  </si>
  <si>
    <t>21</t>
  </si>
  <si>
    <t>81</t>
  </si>
  <si>
    <t>69</t>
  </si>
  <si>
    <t>11</t>
  </si>
  <si>
    <t>12</t>
  </si>
  <si>
    <t>31</t>
  </si>
  <si>
    <t>19</t>
  </si>
  <si>
    <t>41</t>
  </si>
  <si>
    <t>44</t>
  </si>
  <si>
    <t>15</t>
  </si>
  <si>
    <t>99</t>
  </si>
  <si>
    <t>47</t>
  </si>
  <si>
    <t>34</t>
  </si>
  <si>
    <t>32</t>
  </si>
  <si>
    <t>27</t>
  </si>
  <si>
    <t>51</t>
  </si>
  <si>
    <t>Celular</t>
  </si>
  <si>
    <t>981889800</t>
  </si>
  <si>
    <t>998557981</t>
  </si>
  <si>
    <t>999227753</t>
  </si>
  <si>
    <t>987945876</t>
  </si>
  <si>
    <t>988991263</t>
  </si>
  <si>
    <t>988335760</t>
  </si>
  <si>
    <t>999278099</t>
  </si>
  <si>
    <t>996584299</t>
  </si>
  <si>
    <t>50428810</t>
  </si>
  <si>
    <t>981949181</t>
  </si>
  <si>
    <t>991607365</t>
  </si>
  <si>
    <t>992946402</t>
  </si>
  <si>
    <t>994487015</t>
  </si>
  <si>
    <t>997821436</t>
  </si>
  <si>
    <t>980504021</t>
  </si>
  <si>
    <t>974046204</t>
  </si>
  <si>
    <t>988952725</t>
  </si>
  <si>
    <t>997531312</t>
  </si>
  <si>
    <t>34221343</t>
  </si>
  <si>
    <t>974037947</t>
  </si>
  <si>
    <t>984095872</t>
  </si>
  <si>
    <t>35110708</t>
  </si>
  <si>
    <t>991728390</t>
  </si>
  <si>
    <t>975273797</t>
  </si>
  <si>
    <t>999260104</t>
  </si>
  <si>
    <t>999608262</t>
  </si>
  <si>
    <t>999163382</t>
  </si>
  <si>
    <t>955882018</t>
  </si>
  <si>
    <t>998096325</t>
  </si>
  <si>
    <t>997250169</t>
  </si>
  <si>
    <t>997766058</t>
  </si>
  <si>
    <t>985250974</t>
  </si>
  <si>
    <t>982450815</t>
  </si>
  <si>
    <t>955961360</t>
  </si>
  <si>
    <t>997083422</t>
  </si>
  <si>
    <t>981318965</t>
  </si>
  <si>
    <t>Data da solicitação</t>
  </si>
  <si>
    <t>05/05/2024</t>
  </si>
  <si>
    <t>12/07/2024</t>
  </si>
  <si>
    <t>24/07/2024</t>
  </si>
  <si>
    <t>18/07/2024</t>
  </si>
  <si>
    <t>29/07/2024</t>
  </si>
  <si>
    <t>30/07/2024</t>
  </si>
  <si>
    <t>31/07/2024</t>
  </si>
  <si>
    <t>02/08/2024</t>
  </si>
  <si>
    <t>05/08/2024</t>
  </si>
  <si>
    <t>06/08/2024</t>
  </si>
  <si>
    <t>07/08/2024</t>
  </si>
  <si>
    <t>17/07/2024</t>
  </si>
  <si>
    <t>08/08/2024</t>
  </si>
  <si>
    <t>09/08/2024</t>
  </si>
  <si>
    <t>10/08/2024</t>
  </si>
  <si>
    <t>12/08/2024</t>
  </si>
  <si>
    <t>03/08/2024</t>
  </si>
  <si>
    <t>RESPONSÁVEL</t>
  </si>
  <si>
    <t>TIPO</t>
  </si>
  <si>
    <t>AGENTE / MEDIADOR</t>
  </si>
  <si>
    <t>Filial + UC</t>
  </si>
  <si>
    <t>44-H</t>
  </si>
  <si>
    <t>168-A</t>
  </si>
  <si>
    <t>177-A</t>
  </si>
  <si>
    <t>174-D</t>
  </si>
  <si>
    <t>182-I</t>
  </si>
  <si>
    <t>174-K</t>
  </si>
  <si>
    <t>174-L</t>
  </si>
  <si>
    <t>305-R</t>
  </si>
  <si>
    <t>305-B</t>
  </si>
  <si>
    <t>48-M</t>
  </si>
  <si>
    <t>70-N</t>
  </si>
  <si>
    <t>177-C</t>
  </si>
  <si>
    <t>70-E</t>
  </si>
  <si>
    <t>174-H</t>
  </si>
  <si>
    <t>305-O</t>
  </si>
  <si>
    <t>70-O</t>
  </si>
  <si>
    <t>107-L</t>
  </si>
  <si>
    <t>148-C</t>
  </si>
  <si>
    <t>32-E</t>
  </si>
  <si>
    <t>102-L</t>
  </si>
  <si>
    <t>102-A</t>
  </si>
  <si>
    <t>172-J</t>
  </si>
  <si>
    <t>177-F</t>
  </si>
  <si>
    <t>177-D</t>
  </si>
  <si>
    <t>305-U</t>
  </si>
  <si>
    <t>177-N</t>
  </si>
  <si>
    <t>107-C</t>
  </si>
  <si>
    <t>182-J</t>
  </si>
  <si>
    <t>174-J</t>
  </si>
  <si>
    <t>177-H</t>
  </si>
  <si>
    <t>305-P</t>
  </si>
  <si>
    <t>BA</t>
  </si>
  <si>
    <t>Nome account</t>
  </si>
  <si>
    <t>PATRICIA PEREIRA DE FARIAS</t>
  </si>
  <si>
    <t>JOAO FERNANDES</t>
  </si>
  <si>
    <t>JOSIANE DE C. FRANCO VILARINHO</t>
  </si>
  <si>
    <t>RODRIGO CEZAR CUNHA DE DEUS</t>
  </si>
  <si>
    <t>ADRIANO ELIAS TESTAHY CAMPOS</t>
  </si>
  <si>
    <t>JULIANNA PINHEIRO PRINTES</t>
  </si>
  <si>
    <t>OLGA ELIANISE LESSA TERCEIRO</t>
  </si>
  <si>
    <t>RODRIGO CESAR AMORIM</t>
  </si>
  <si>
    <t>HERMIVAL FRANCISCO DE SOUSA</t>
  </si>
  <si>
    <t>GLEISON DA SILVA FERREIRA</t>
  </si>
  <si>
    <t>GISELE MAZZUCCO</t>
  </si>
  <si>
    <t>FÁBIO DAMASCENO RIBEIRO</t>
  </si>
  <si>
    <t>ELISANGELA B OLIVEIRA</t>
  </si>
  <si>
    <t>VERUSCKA AMELIA MARINHO DOS REIS</t>
  </si>
  <si>
    <t>MARIA TANIA DANTAS SILVA</t>
  </si>
  <si>
    <t>JULIANA ASSIS</t>
  </si>
  <si>
    <t xml:space="preserve">FERNANDA SILVA </t>
  </si>
  <si>
    <t>VITOR HUGO MENDONCA DE MATTOS</t>
  </si>
  <si>
    <t>JESSIKA PAZIN</t>
  </si>
  <si>
    <t>RENATA REIS PARRA MAGALHAES</t>
  </si>
  <si>
    <t>ANDREZA DE ALMEIDA LIBANORE</t>
  </si>
  <si>
    <t>ANDREIA AVANCINI CARDIAS</t>
  </si>
  <si>
    <t>ENDYANE NUBIA NUNES MARQUES</t>
  </si>
  <si>
    <t>KARLA DA S.B.F. RIBEIRO</t>
  </si>
  <si>
    <t>APARECIDA ANDREA S RODRIGUES</t>
  </si>
  <si>
    <t>RENATA PEREIRA MELO</t>
  </si>
  <si>
    <t>NILCEA SILVA</t>
  </si>
  <si>
    <t>FERNANDO CESAR SOARES LIMA</t>
  </si>
  <si>
    <t>FABIANE GOIS DE ARAUJO</t>
  </si>
  <si>
    <t>LUCIENE FERNANDES</t>
  </si>
  <si>
    <t>ANDREA BASILIO DE FARIAS</t>
  </si>
  <si>
    <t>E-mail account</t>
  </si>
  <si>
    <t>patricia.farias@allianz.com.br</t>
  </si>
  <si>
    <t>rodrigo.deus@allianz.com.br</t>
  </si>
  <si>
    <t>adriano.campos@allianz.com.br</t>
  </si>
  <si>
    <t>julianna.printes@allianz.com.br</t>
  </si>
  <si>
    <t xml:space="preserve">olga.terceiro@allianz.com.br </t>
  </si>
  <si>
    <t>rodrigo.amorim@allianz.com.br</t>
  </si>
  <si>
    <t>hermival.souza@allianz.com.br</t>
  </si>
  <si>
    <t>gleison.ferreira@allianz.com.br</t>
  </si>
  <si>
    <t xml:space="preserve">veruscka.reis@allianz.com.br </t>
  </si>
  <si>
    <t>mariatania.dantas@allianz.com.br</t>
  </si>
  <si>
    <t>vitor.mattos@allianz.com.br</t>
  </si>
  <si>
    <t>renata.magalhaes@allianz.com.br</t>
  </si>
  <si>
    <t>andreza.libanore@allianz.com.br</t>
  </si>
  <si>
    <t>andreia.cardias@allianz.com.br</t>
  </si>
  <si>
    <t>endyane.marques@allianz.com.br</t>
  </si>
  <si>
    <t>aparecida.rodrigues@allianz.com.br</t>
  </si>
  <si>
    <t>fernando.lima@allianz.com.br</t>
  </si>
  <si>
    <t>fabiane.araujo@allianz.com.br</t>
  </si>
  <si>
    <t>DDD (telefone account)</t>
  </si>
  <si>
    <t>Telefone account</t>
  </si>
  <si>
    <t>991622828</t>
  </si>
  <si>
    <t>993067784</t>
  </si>
  <si>
    <t>982414553</t>
  </si>
  <si>
    <t>950782429</t>
  </si>
  <si>
    <t>957370678</t>
  </si>
  <si>
    <t>997904935</t>
  </si>
  <si>
    <t>962046905</t>
  </si>
  <si>
    <t>974230695</t>
  </si>
  <si>
    <t>980364469</t>
  </si>
  <si>
    <t>998098714</t>
  </si>
  <si>
    <t>972762325</t>
  </si>
  <si>
    <t>996223410</t>
  </si>
  <si>
    <t>Enviar</t>
  </si>
  <si>
    <t>Obs</t>
  </si>
  <si>
    <t xml:space="preserve"> fabio.ribeiro@allianz.com.br </t>
  </si>
  <si>
    <t>EFLENHARO@GMAIL.COM,joao.fernandes@allianz.com.br </t>
  </si>
  <si>
    <t xml:space="preserve">ELO@ELOFINANCE.COM.BR,josiane.franco@allianz.com.br </t>
  </si>
  <si>
    <t>RAFAELMELLO.WORK@GMAIL.COM,gisele.mazzucco@allianz.com.br </t>
  </si>
  <si>
    <t xml:space="preserve">DIEGO@ATUSSEGUROS.COM.BR, fabio.ribeiro@allianz.com.br </t>
  </si>
  <si>
    <t>LIGIA@MMGUIMARAES.COM.BR,elisangela.oliveira@allianz.com.br </t>
  </si>
  <si>
    <t>CORRETORA.BERTUCCI@GMAIL.COM,juliana.assis@allianz.com.br </t>
  </si>
  <si>
    <t>PATRICIA.PASASEGUROS@GMAIL.COM,fernanda.silva@allianz.com.br </t>
  </si>
  <si>
    <t>VIDA.RESIDENCIA@BRAGATOSEGUROS.COM.BR,jessika.pazin@allianz.com.br </t>
  </si>
  <si>
    <t>XRAVSEGUROSEIMOVEIS@GMAIL.COM,elisangela.oliveira@allianz.com.br </t>
  </si>
  <si>
    <t>CATULO@CRCSEGUROS.COM.BR,juliana.assis@allianz.com.br </t>
  </si>
  <si>
    <t>THIAGOVICO15@GMAIL.COM,karla.ribeiro@allianz.com.br </t>
  </si>
  <si>
    <t>BRUNOMIGUELGUIMARAES@OUTLOOK.COM.BR,renata.melo@allianz.com.br </t>
  </si>
  <si>
    <t>ALINE@MARONICORRETORA.COM.BR,nilcea.silva@allianz.com.br </t>
  </si>
  <si>
    <t>Gestão Comercial</t>
  </si>
  <si>
    <t>Física</t>
  </si>
  <si>
    <t>ba</t>
  </si>
  <si>
    <t>ANAPOLISCORRETORA@GMAIL.COM,luciene.fernandes@allianz.com.br</t>
  </si>
  <si>
    <t>luciene.fernandes@allianz.com.br</t>
  </si>
  <si>
    <t>andrea.farias1@allianz.com.br</t>
  </si>
  <si>
    <t>nilcea.silva@allianz.com.br</t>
  </si>
  <si>
    <t>CONFIANZACORRETORA01@GMAIL.COM,andrea.farias1@allianz.com.br</t>
  </si>
  <si>
    <t>CORRETORAMIDAS@GMAIL.COM,nilcea.silva@allianz.com.br</t>
  </si>
  <si>
    <t>VITORIACORTOLEDO@HOTMAIL.COM,andreia.cardias@allianz.com.br</t>
  </si>
  <si>
    <t>BA267050</t>
  </si>
  <si>
    <t>ba267050</t>
  </si>
  <si>
    <t>BA267051</t>
  </si>
  <si>
    <t>ba267051</t>
  </si>
  <si>
    <t>BA267052</t>
  </si>
  <si>
    <t>ba267052</t>
  </si>
  <si>
    <t>BA267053</t>
  </si>
  <si>
    <t>ba267053</t>
  </si>
  <si>
    <t>BA267054</t>
  </si>
  <si>
    <t>ba267054</t>
  </si>
  <si>
    <t>BA267055</t>
  </si>
  <si>
    <t>ba267055</t>
  </si>
  <si>
    <t>BA267056</t>
  </si>
  <si>
    <t>ba267056</t>
  </si>
  <si>
    <t>BA267057</t>
  </si>
  <si>
    <t>ba267057</t>
  </si>
  <si>
    <t>BA267058</t>
  </si>
  <si>
    <t>ba267058</t>
  </si>
  <si>
    <t>BA267059</t>
  </si>
  <si>
    <t>ba267059</t>
  </si>
  <si>
    <t>BA267060</t>
  </si>
  <si>
    <t>ba267060</t>
  </si>
  <si>
    <t>BA267061</t>
  </si>
  <si>
    <t>ba267061</t>
  </si>
  <si>
    <t>BA267062</t>
  </si>
  <si>
    <t>ba267062</t>
  </si>
  <si>
    <t>BA267063</t>
  </si>
  <si>
    <t>ba267063</t>
  </si>
  <si>
    <t>BA267064</t>
  </si>
  <si>
    <t>ba267064</t>
  </si>
  <si>
    <t>BA267065</t>
  </si>
  <si>
    <t>ba267065</t>
  </si>
  <si>
    <t>BA267066</t>
  </si>
  <si>
    <t>ba267066</t>
  </si>
  <si>
    <t>BA267067</t>
  </si>
  <si>
    <t>ba267067</t>
  </si>
  <si>
    <t>BA267068</t>
  </si>
  <si>
    <t>ba267068</t>
  </si>
  <si>
    <t>BA267069</t>
  </si>
  <si>
    <t>ba267069</t>
  </si>
  <si>
    <t>BA267070</t>
  </si>
  <si>
    <t>ba267070</t>
  </si>
  <si>
    <t>BA267071</t>
  </si>
  <si>
    <t>ba267071</t>
  </si>
  <si>
    <t>BA267072</t>
  </si>
  <si>
    <t>ba267072</t>
  </si>
  <si>
    <t>BA267073</t>
  </si>
  <si>
    <t>ba267073</t>
  </si>
  <si>
    <t>BA267074</t>
  </si>
  <si>
    <t>ba267074</t>
  </si>
  <si>
    <t>BA267075</t>
  </si>
  <si>
    <t>ba267075</t>
  </si>
  <si>
    <t>BA267076</t>
  </si>
  <si>
    <t>ba267076</t>
  </si>
  <si>
    <t>BA267077</t>
  </si>
  <si>
    <t>ba267077</t>
  </si>
  <si>
    <t>BA267078</t>
  </si>
  <si>
    <t>ba267078</t>
  </si>
  <si>
    <t>BA267079</t>
  </si>
  <si>
    <t>ba267079</t>
  </si>
  <si>
    <t>BA267080</t>
  </si>
  <si>
    <t>ba267080</t>
  </si>
  <si>
    <t>BA267081</t>
  </si>
  <si>
    <t>ba267081</t>
  </si>
  <si>
    <t>BA267082</t>
  </si>
  <si>
    <t>ba267082</t>
  </si>
  <si>
    <t>BA267083</t>
  </si>
  <si>
    <t>ba267083</t>
  </si>
  <si>
    <t>BA267084</t>
  </si>
  <si>
    <t>ba267084</t>
  </si>
  <si>
    <t>BA267085</t>
  </si>
  <si>
    <t>ba267085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</si>
</sst>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color theme="0"/>
      <name val="Arial"/>
      <family val="2"/>
    </font>
    <font>
      <b/>
      <sz val="11"/>
      <color theme="0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9"/>
      <color indexed="81"/>
      <name val="Segoe UI"/>
      <family val="2"/>
    </font>
    <font>
      <u/>
      <sz val="10"/>
      <color theme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00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/>
    <xf numFmtId="0" fontId="2" fillId="3" borderId="1" xfId="0" applyFont="1" applyFill="1" applyBorder="1"/>
    <xf numFmtId="0" fontId="3" fillId="0" borderId="0" xfId="0" applyFont="1"/>
    <xf numFmtId="49" fontId="2" fillId="3" borderId="1" xfId="0" applyNumberFormat="1" applyFont="1" applyFill="1" applyBorder="1"/>
    <xf numFmtId="49" fontId="3" fillId="0" borderId="0" xfId="0" applyNumberFormat="1" applyFont="1"/>
    <xf numFmtId="0" fontId="2" fillId="3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4" borderId="1" xfId="0" applyFont="1" applyFill="1" applyBorder="1"/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2" fillId="5" borderId="2" xfId="0" applyFont="1" applyFill="1" applyBorder="1" applyAlignment="1">
      <alignment horizontal="right"/>
    </xf>
    <xf numFmtId="0" fontId="5" fillId="0" borderId="0" xfId="1"/>
    <xf numFmtId="0" fontId="0" fillId="0" borderId="0" xfId="0" applyAlignment="1">
      <alignment horizontal="center"/>
    </xf>
  </cellXfs>
  <cellStyles count="2">
    <cellStyle name="Hiperlink" xfId="1" builtinId="8"/>
    <cellStyle name="Normal" xfId="0" builtinId="0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ntxnas1.intrallianz.es\Brasil\DIRETORIAS\DIR%20EXE%20COM&amp;MKT%20MNGT\GESTAO%20COMERCIAL\GEST&#195;O%20DE%20FILIAIS\Opera&#231;oes%20Comerciais\Cadastro%20Corretor\Controle%20Cadastro%20Corretores.xlsm" TargetMode="External"/><Relationship Id="rId1" Type="http://schemas.openxmlformats.org/officeDocument/2006/relationships/externalLinkPath" Target="file:///\\ntxnas1.intrallianz.es\Brasil\DIRETORIAS\DIR%20EXE%20COM&amp;MKT%20MNGT\GESTAO%20COMERCIAL\GEST&#195;O%20DE%20FILIAIS\Opera&#231;oes%20Comerciais\Cadastro%20Corretor\Controle%20Cadastro%20Corretores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Colar_Formulario_Antigo"/>
      <sheetName val="Colar_Formulario_Novo"/>
      <sheetName val="Importar BA"/>
      <sheetName val="Base"/>
      <sheetName val="Assessoria"/>
      <sheetName val="Base_Socios"/>
      <sheetName val="Base_Compliance"/>
      <sheetName val="Fluxo"/>
      <sheetName val="ATNP"/>
      <sheetName val="Suport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O1" t="str">
            <v>Vago</v>
          </cell>
          <cell r="P1" t="str">
            <v>-</v>
          </cell>
          <cell r="Q1" t="str">
            <v>-</v>
          </cell>
          <cell r="R1" t="str">
            <v>-</v>
          </cell>
        </row>
        <row r="2">
          <cell r="O2" t="str">
            <v>Mariana Silva Perez</v>
          </cell>
          <cell r="P2" t="str">
            <v>-</v>
          </cell>
          <cell r="Q2" t="str">
            <v>-</v>
          </cell>
          <cell r="R2" t="str">
            <v>-</v>
          </cell>
        </row>
        <row r="3">
          <cell r="O3" t="str">
            <v>Otto Ribeiro Lopes</v>
          </cell>
          <cell r="P3" t="str">
            <v>otto.lopes@allianz.com.br</v>
          </cell>
          <cell r="Q3">
            <v>63</v>
          </cell>
          <cell r="R3" t="str">
            <v>999495562</v>
          </cell>
        </row>
        <row r="4">
          <cell r="O4" t="str">
            <v>Matheus De Queiroz Pereira</v>
          </cell>
          <cell r="P4" t="str">
            <v>matheus.pereira@allianz.com.br</v>
          </cell>
          <cell r="Q4">
            <v>34</v>
          </cell>
          <cell r="R4" t="str">
            <v>999829116</v>
          </cell>
        </row>
        <row r="5">
          <cell r="O5" t="str">
            <v>Juliano Jose Guimaraes</v>
          </cell>
          <cell r="P5" t="str">
            <v>juliano.guimaraes@allianz.com.br</v>
          </cell>
          <cell r="Q5">
            <v>34</v>
          </cell>
          <cell r="R5" t="str">
            <v>988279452</v>
          </cell>
        </row>
        <row r="6">
          <cell r="O6" t="str">
            <v>Lucas De Carvalho Almeida</v>
          </cell>
          <cell r="P6" t="str">
            <v>-</v>
          </cell>
          <cell r="Q6" t="str">
            <v>-</v>
          </cell>
          <cell r="R6" t="str">
            <v>-</v>
          </cell>
        </row>
        <row r="7">
          <cell r="O7" t="str">
            <v>Ana  Janaina  Da Silva Sales</v>
          </cell>
          <cell r="P7" t="str">
            <v>-</v>
          </cell>
          <cell r="Q7" t="str">
            <v>-</v>
          </cell>
          <cell r="R7" t="str">
            <v>-</v>
          </cell>
        </row>
        <row r="8">
          <cell r="O8" t="str">
            <v>Fernanda  Larangeira Braga</v>
          </cell>
          <cell r="P8" t="str">
            <v>-</v>
          </cell>
          <cell r="Q8" t="str">
            <v>-</v>
          </cell>
          <cell r="R8" t="str">
            <v>-</v>
          </cell>
        </row>
        <row r="9">
          <cell r="O9" t="str">
            <v>Ana Clara Rodrigues Margarida</v>
          </cell>
          <cell r="P9" t="str">
            <v>-</v>
          </cell>
          <cell r="Q9" t="str">
            <v>-</v>
          </cell>
          <cell r="R9" t="str">
            <v>-</v>
          </cell>
        </row>
        <row r="10">
          <cell r="O10" t="str">
            <v>Gleison Da Silva Ferreira</v>
          </cell>
          <cell r="P10" t="str">
            <v>gleison.ferreira@allianz.com.br</v>
          </cell>
          <cell r="Q10">
            <v>0</v>
          </cell>
          <cell r="R10" t="str">
            <v/>
          </cell>
        </row>
        <row r="11">
          <cell r="O11" t="str">
            <v>Adriana de Oliveira</v>
          </cell>
          <cell r="P11" t="str">
            <v>adriana.oliveira@allianz.com.br</v>
          </cell>
          <cell r="Q11" t="str">
            <v>62</v>
          </cell>
          <cell r="R11" t="str">
            <v>996343042</v>
          </cell>
        </row>
        <row r="12">
          <cell r="O12" t="str">
            <v>Kauê Daniel Riquelme Medeiros</v>
          </cell>
          <cell r="P12" t="str">
            <v>-</v>
          </cell>
          <cell r="Q12" t="str">
            <v>-</v>
          </cell>
          <cell r="R12" t="str">
            <v>-</v>
          </cell>
        </row>
        <row r="13">
          <cell r="O13" t="str">
            <v>Alessiane De Fatima  Xavier  Carvalho</v>
          </cell>
          <cell r="P13" t="str">
            <v>-</v>
          </cell>
          <cell r="Q13" t="str">
            <v>-</v>
          </cell>
          <cell r="R13" t="str">
            <v>-</v>
          </cell>
        </row>
        <row r="14">
          <cell r="O14" t="str">
            <v>Leandro Messias Pires</v>
          </cell>
          <cell r="P14" t="str">
            <v>leandro.pires@allianz.com.br</v>
          </cell>
          <cell r="Q14">
            <v>62</v>
          </cell>
          <cell r="R14" t="str">
            <v>996079218</v>
          </cell>
        </row>
        <row r="15">
          <cell r="O15" t="str">
            <v>Tatiany  Jesus Alves De Macedo</v>
          </cell>
          <cell r="P15" t="str">
            <v>-</v>
          </cell>
          <cell r="Q15" t="str">
            <v>-</v>
          </cell>
          <cell r="R15" t="str">
            <v>-</v>
          </cell>
        </row>
        <row r="16">
          <cell r="O16" t="str">
            <v>Yuri Natan Nunes Dos Santos</v>
          </cell>
          <cell r="P16" t="str">
            <v>yuri.santos@allianz.com.br</v>
          </cell>
          <cell r="Q16">
            <v>62</v>
          </cell>
          <cell r="R16" t="str">
            <v>996887940</v>
          </cell>
        </row>
        <row r="17">
          <cell r="O17" t="str">
            <v>Elisa Cristina Silva</v>
          </cell>
          <cell r="P17" t="str">
            <v>elisa.silva@allianz.com.br</v>
          </cell>
          <cell r="Q17">
            <v>64</v>
          </cell>
          <cell r="R17" t="str">
            <v>999783595</v>
          </cell>
        </row>
        <row r="18">
          <cell r="O18" t="str">
            <v>Jose Carlos Candido De Oliveira</v>
          </cell>
          <cell r="P18" t="str">
            <v>josecarlos.candido@allianz.com.br</v>
          </cell>
          <cell r="Q18">
            <v>62</v>
          </cell>
          <cell r="R18">
            <v>999948335</v>
          </cell>
        </row>
        <row r="19">
          <cell r="O19" t="str">
            <v>Angela Maria Do Carmo</v>
          </cell>
          <cell r="P19" t="str">
            <v>angela.carmo@allianz.com.br</v>
          </cell>
          <cell r="Q19" t="str">
            <v>31</v>
          </cell>
          <cell r="R19" t="str">
            <v>996446917</v>
          </cell>
        </row>
        <row r="20">
          <cell r="O20" t="str">
            <v>Barbara H. Belo Torres E Silva</v>
          </cell>
          <cell r="P20" t="str">
            <v>-</v>
          </cell>
          <cell r="Q20" t="str">
            <v>-</v>
          </cell>
          <cell r="R20" t="str">
            <v>-</v>
          </cell>
        </row>
        <row r="21">
          <cell r="O21" t="str">
            <v>Bernardo Nogueira Barbosa</v>
          </cell>
          <cell r="P21" t="str">
            <v>bernardo.barbosa@allianz.com.br</v>
          </cell>
          <cell r="Q21" t="str">
            <v>31</v>
          </cell>
          <cell r="R21" t="str">
            <v>997818153</v>
          </cell>
        </row>
        <row r="22">
          <cell r="O22" t="str">
            <v>Claudia Oliveira Gomes</v>
          </cell>
          <cell r="P22" t="str">
            <v>claudia.gomes@allianz.com.br</v>
          </cell>
          <cell r="Q22">
            <v>31</v>
          </cell>
          <cell r="R22" t="str">
            <v>971780494</v>
          </cell>
        </row>
        <row r="23">
          <cell r="O23" t="str">
            <v>Douglas Caires Morais</v>
          </cell>
          <cell r="P23" t="str">
            <v>douglas.morais@allianz.com.br</v>
          </cell>
          <cell r="Q23">
            <v>31</v>
          </cell>
          <cell r="R23" t="str">
            <v>995202524</v>
          </cell>
        </row>
        <row r="24">
          <cell r="O24" t="str">
            <v>Fernando M Da Silva De Freitas</v>
          </cell>
          <cell r="P24" t="str">
            <v>fernando.freitas@allianz.com.br</v>
          </cell>
          <cell r="Q24">
            <v>0</v>
          </cell>
          <cell r="R24" t="str">
            <v/>
          </cell>
        </row>
        <row r="25">
          <cell r="O25" t="str">
            <v>Regiane Monteiro Das Neves</v>
          </cell>
          <cell r="P25" t="str">
            <v>regiane.monteiro@allianz.com.br</v>
          </cell>
          <cell r="Q25">
            <v>31</v>
          </cell>
          <cell r="R25" t="str">
            <v>988763761</v>
          </cell>
        </row>
        <row r="26">
          <cell r="O26" t="str">
            <v>Viviane Bernardes De Lima</v>
          </cell>
          <cell r="P26" t="str">
            <v>viviane.lima@allianz.com.br</v>
          </cell>
          <cell r="Q26" t="str">
            <v>31</v>
          </cell>
          <cell r="R26" t="str">
            <v>998421584</v>
          </cell>
        </row>
        <row r="27">
          <cell r="O27" t="str">
            <v>Leandro Tassara Machado</v>
          </cell>
          <cell r="P27" t="str">
            <v>leandro.machado@allianz.com.br</v>
          </cell>
          <cell r="Q27" t="str">
            <v>31</v>
          </cell>
          <cell r="R27" t="str">
            <v>999439847</v>
          </cell>
        </row>
        <row r="28">
          <cell r="O28" t="str">
            <v>Andre Luis Garcia Da Cunha</v>
          </cell>
          <cell r="P28" t="str">
            <v>andre.cunha@allianz.com.br</v>
          </cell>
          <cell r="Q28">
            <v>31</v>
          </cell>
          <cell r="R28">
            <v>971374419</v>
          </cell>
        </row>
        <row r="29">
          <cell r="O29" t="str">
            <v>Afonso José Faria Da Silva</v>
          </cell>
          <cell r="P29" t="str">
            <v>-</v>
          </cell>
          <cell r="Q29" t="str">
            <v>-</v>
          </cell>
          <cell r="R29" t="str">
            <v>-</v>
          </cell>
        </row>
        <row r="30">
          <cell r="O30" t="str">
            <v>Andre Lomeu Pereira Gouvea</v>
          </cell>
          <cell r="P30" t="str">
            <v>andre.gouvea@allianz.com.br</v>
          </cell>
          <cell r="Q30">
            <v>32</v>
          </cell>
          <cell r="R30" t="str">
            <v>999709445</v>
          </cell>
        </row>
        <row r="31">
          <cell r="O31" t="str">
            <v xml:space="preserve">Janaina Garcia De Moura </v>
          </cell>
          <cell r="P31" t="str">
            <v>-</v>
          </cell>
          <cell r="Q31" t="str">
            <v>-</v>
          </cell>
          <cell r="R31" t="str">
            <v>-</v>
          </cell>
        </row>
        <row r="32">
          <cell r="O32" t="str">
            <v xml:space="preserve">Mayara A. Da Silva Ventura Sampaio </v>
          </cell>
          <cell r="P32" t="str">
            <v>-</v>
          </cell>
          <cell r="Q32" t="str">
            <v>-</v>
          </cell>
          <cell r="R32" t="str">
            <v>-</v>
          </cell>
        </row>
        <row r="33">
          <cell r="O33" t="str">
            <v>Andriele Piceli Pala</v>
          </cell>
          <cell r="P33" t="str">
            <v>andriele.pala@allianz.com.br</v>
          </cell>
          <cell r="Q33">
            <v>35</v>
          </cell>
          <cell r="R33" t="str">
            <v>999550940</v>
          </cell>
        </row>
        <row r="34">
          <cell r="O34" t="str">
            <v>Celso Augusto Godoy Filho</v>
          </cell>
          <cell r="P34" t="str">
            <v>celso.filho@allianz.com.br</v>
          </cell>
          <cell r="Q34" t="str">
            <v>35</v>
          </cell>
          <cell r="R34" t="str">
            <v>998151765</v>
          </cell>
        </row>
        <row r="35">
          <cell r="O35" t="str">
            <v>Leandro Neves Gonzaga</v>
          </cell>
          <cell r="P35" t="str">
            <v>leandro.gonzaga@allianz.com.br</v>
          </cell>
          <cell r="Q35">
            <v>35</v>
          </cell>
          <cell r="R35" t="str">
            <v>988025712</v>
          </cell>
        </row>
        <row r="36">
          <cell r="O36" t="str">
            <v>Luciana Vilas Boas Lourenco</v>
          </cell>
          <cell r="P36" t="str">
            <v>luciana.lourenco@allianz.com.br</v>
          </cell>
          <cell r="Q36">
            <v>35</v>
          </cell>
          <cell r="R36">
            <v>998090919</v>
          </cell>
        </row>
        <row r="37">
          <cell r="O37" t="str">
            <v>Josiane De C. Franco Vilarinho</v>
          </cell>
          <cell r="P37" t="str">
            <v xml:space="preserve">josiane.franco@allianz.com.br </v>
          </cell>
          <cell r="Q37">
            <v>34</v>
          </cell>
          <cell r="R37">
            <v>984025776</v>
          </cell>
        </row>
        <row r="38">
          <cell r="O38" t="str">
            <v>Alexia Fernandes</v>
          </cell>
          <cell r="P38" t="str">
            <v>alexia.fernandes@allianz.com.br</v>
          </cell>
          <cell r="Q38">
            <v>31</v>
          </cell>
          <cell r="R38">
            <v>996490897</v>
          </cell>
        </row>
        <row r="39">
          <cell r="O39" t="str">
            <v>Fábio Damasceno Ribeiro</v>
          </cell>
          <cell r="P39" t="str">
            <v>-</v>
          </cell>
          <cell r="Q39" t="str">
            <v>-</v>
          </cell>
          <cell r="R39" t="str">
            <v>-</v>
          </cell>
        </row>
        <row r="40">
          <cell r="O40" t="str">
            <v>Karla Da S.B.F. Ribeiro</v>
          </cell>
          <cell r="P40" t="str">
            <v>karla.ribeiro@allianz.com.br </v>
          </cell>
          <cell r="Q40">
            <v>61</v>
          </cell>
          <cell r="R40">
            <v>998542196</v>
          </cell>
        </row>
        <row r="41">
          <cell r="O41" t="str">
            <v>Endyane Nubia Nunes Marques</v>
          </cell>
          <cell r="P41" t="str">
            <v>endyane.marques@allianz.com.br</v>
          </cell>
          <cell r="Q41">
            <v>31</v>
          </cell>
          <cell r="R41" t="str">
            <v>998098714</v>
          </cell>
        </row>
        <row r="42">
          <cell r="O42" t="str">
            <v>Luciene Fernandes</v>
          </cell>
          <cell r="P42" t="str">
            <v>luciene.fernandes@allianz.com.br</v>
          </cell>
          <cell r="Q42">
            <v>31</v>
          </cell>
          <cell r="R42" t="str">
            <v>998085122</v>
          </cell>
        </row>
        <row r="43">
          <cell r="O43" t="str">
            <v>Itamar Miranda Santos Junior</v>
          </cell>
          <cell r="P43" t="str">
            <v>itamar.junior@allianz.com.br</v>
          </cell>
          <cell r="Q43">
            <v>31</v>
          </cell>
          <cell r="R43" t="str">
            <v>997898473</v>
          </cell>
        </row>
        <row r="44">
          <cell r="O44" t="str">
            <v>Leonardo Silva Castro</v>
          </cell>
          <cell r="P44" t="str">
            <v>leonardo.castro@allianz.com.br</v>
          </cell>
          <cell r="Q44">
            <v>32</v>
          </cell>
          <cell r="R44" t="str">
            <v>988143749</v>
          </cell>
        </row>
        <row r="45">
          <cell r="O45" t="str">
            <v>Marcos Henrique Albuquerque Machado</v>
          </cell>
          <cell r="P45" t="str">
            <v>marcos.machado@allianz.com.br</v>
          </cell>
          <cell r="Q45">
            <v>62</v>
          </cell>
          <cell r="R45" t="str">
            <v>996238549</v>
          </cell>
        </row>
        <row r="46">
          <cell r="O46" t="str">
            <v>Laiane Pereira Martins</v>
          </cell>
          <cell r="P46" t="str">
            <v>laiane.martins@allianz.com.br</v>
          </cell>
          <cell r="Q46">
            <v>61</v>
          </cell>
          <cell r="R46" t="str">
            <v>996408325</v>
          </cell>
        </row>
        <row r="47">
          <cell r="O47" t="str">
            <v>Renata Pereira Melo</v>
          </cell>
          <cell r="P47" t="str">
            <v>renata.melo@allianz.com.br </v>
          </cell>
          <cell r="Q47">
            <v>34</v>
          </cell>
          <cell r="R47">
            <v>998273126</v>
          </cell>
        </row>
        <row r="48">
          <cell r="O48" t="str">
            <v>Christian Antonione Da Silva</v>
          </cell>
          <cell r="P48" t="str">
            <v>christian.silva@allianz.com.br</v>
          </cell>
          <cell r="Q48">
            <v>31</v>
          </cell>
          <cell r="R48" t="str">
            <v>997204460</v>
          </cell>
        </row>
        <row r="49">
          <cell r="O49" t="str">
            <v>Marcus Vinícius Cândido Lima</v>
          </cell>
          <cell r="P49" t="str">
            <v>-</v>
          </cell>
          <cell r="Q49" t="str">
            <v>-</v>
          </cell>
          <cell r="R49" t="str">
            <v>-</v>
          </cell>
        </row>
        <row r="50">
          <cell r="O50" t="str">
            <v>Gustavo Antônio Mendes Arruda</v>
          </cell>
          <cell r="P50" t="str">
            <v>-</v>
          </cell>
          <cell r="Q50" t="str">
            <v>-</v>
          </cell>
          <cell r="R50" t="str">
            <v>-</v>
          </cell>
        </row>
        <row r="51">
          <cell r="O51" t="str">
            <v>Vago</v>
          </cell>
          <cell r="P51" t="str">
            <v>-</v>
          </cell>
          <cell r="Q51" t="str">
            <v>-</v>
          </cell>
          <cell r="R51" t="str">
            <v>-</v>
          </cell>
        </row>
        <row r="52">
          <cell r="O52" t="str">
            <v xml:space="preserve">Cássia Ermelinda Duarte Fonseca </v>
          </cell>
          <cell r="P52" t="str">
            <v>-</v>
          </cell>
          <cell r="Q52" t="str">
            <v>-</v>
          </cell>
          <cell r="R52" t="str">
            <v>-</v>
          </cell>
        </row>
        <row r="53">
          <cell r="O53" t="str">
            <v>Adautina De Queiroz Neves</v>
          </cell>
          <cell r="P53" t="str">
            <v>adautina.neves@allianz.com.br</v>
          </cell>
          <cell r="Q53">
            <v>65</v>
          </cell>
          <cell r="R53" t="str">
            <v>999051674</v>
          </cell>
        </row>
        <row r="54">
          <cell r="O54" t="str">
            <v>Cristiane Medeiros Da Silva</v>
          </cell>
          <cell r="P54" t="str">
            <v>cristiane.medeiros@allianz.com.br</v>
          </cell>
          <cell r="Q54">
            <v>65</v>
          </cell>
          <cell r="R54" t="str">
            <v>999959911</v>
          </cell>
        </row>
        <row r="55">
          <cell r="O55" t="str">
            <v>Vago</v>
          </cell>
          <cell r="P55" t="str">
            <v>-</v>
          </cell>
          <cell r="Q55" t="str">
            <v>-</v>
          </cell>
          <cell r="R55" t="str">
            <v>-</v>
          </cell>
        </row>
        <row r="56">
          <cell r="O56" t="str">
            <v>Gabriela De Mattos R Logrado</v>
          </cell>
          <cell r="P56" t="str">
            <v>gabriela.logrado@allianz.com.br</v>
          </cell>
          <cell r="Q56" t="str">
            <v>65</v>
          </cell>
          <cell r="R56" t="str">
            <v>996741817</v>
          </cell>
        </row>
        <row r="57">
          <cell r="O57" t="str">
            <v>Graziela M. De F.  Salvioni</v>
          </cell>
          <cell r="P57" t="str">
            <v>-</v>
          </cell>
          <cell r="Q57" t="str">
            <v>-</v>
          </cell>
          <cell r="R57" t="str">
            <v>-</v>
          </cell>
        </row>
        <row r="58">
          <cell r="O58" t="str">
            <v>Aires Xarao De Souza Junior</v>
          </cell>
          <cell r="P58" t="str">
            <v>aires.junior@allianz.com.br</v>
          </cell>
          <cell r="Q58" t="str">
            <v>67</v>
          </cell>
          <cell r="R58" t="str">
            <v>998965064</v>
          </cell>
        </row>
        <row r="59">
          <cell r="O59" t="str">
            <v>Fabiola Ramos Vedrossi Caixeta</v>
          </cell>
          <cell r="P59" t="str">
            <v>fabiola.caixeta@allianz.com.br</v>
          </cell>
          <cell r="Q59">
            <v>67</v>
          </cell>
          <cell r="R59" t="str">
            <v>999413687</v>
          </cell>
        </row>
        <row r="60">
          <cell r="O60" t="str">
            <v>Ana Paula Barreto Pokrywiecki</v>
          </cell>
          <cell r="P60" t="str">
            <v>-</v>
          </cell>
          <cell r="Q60" t="str">
            <v>-</v>
          </cell>
          <cell r="R60" t="str">
            <v>-</v>
          </cell>
        </row>
        <row r="61">
          <cell r="O61" t="str">
            <v>Rodrigo Medeiros Laurito</v>
          </cell>
          <cell r="P61" t="str">
            <v>rodrigo.laurito@allianz.com.br</v>
          </cell>
          <cell r="Q61">
            <v>0</v>
          </cell>
          <cell r="R61" t="str">
            <v/>
          </cell>
        </row>
        <row r="62">
          <cell r="O62" t="str">
            <v>Reginaldo Ely Pinto</v>
          </cell>
          <cell r="P62" t="str">
            <v>reginaldo.pinto@allianz.com.br</v>
          </cell>
          <cell r="Q62">
            <v>0</v>
          </cell>
          <cell r="R62" t="str">
            <v/>
          </cell>
        </row>
        <row r="63">
          <cell r="O63" t="str">
            <v>Vago</v>
          </cell>
          <cell r="P63" t="str">
            <v>-</v>
          </cell>
          <cell r="Q63" t="str">
            <v>-</v>
          </cell>
          <cell r="R63" t="str">
            <v>-</v>
          </cell>
        </row>
        <row r="64">
          <cell r="O64" t="str">
            <v>Fabricio Gomes e Almeida</v>
          </cell>
          <cell r="P64" t="str">
            <v>fabricio.almeida@allianz.com.br</v>
          </cell>
          <cell r="Q64">
            <v>0</v>
          </cell>
          <cell r="R64" t="str">
            <v/>
          </cell>
        </row>
        <row r="65">
          <cell r="O65" t="str">
            <v>Fabio A. Cavalcante De Lima</v>
          </cell>
          <cell r="P65" t="str">
            <v>-</v>
          </cell>
          <cell r="Q65" t="str">
            <v>-</v>
          </cell>
          <cell r="R65" t="str">
            <v>-</v>
          </cell>
        </row>
        <row r="66">
          <cell r="O66" t="str">
            <v>Fernando Pacheco De V Duque</v>
          </cell>
          <cell r="P66" t="str">
            <v>fernando.duque@allianz.com.br</v>
          </cell>
          <cell r="Q66" t="str">
            <v>81</v>
          </cell>
          <cell r="R66" t="str">
            <v>987651637</v>
          </cell>
        </row>
        <row r="67">
          <cell r="O67" t="str">
            <v>Rosalia Cristina Nunes Branco</v>
          </cell>
          <cell r="P67" t="str">
            <v>rosalia.branco@allianz.com.br </v>
          </cell>
          <cell r="Q67">
            <v>81</v>
          </cell>
          <cell r="R67" t="str">
            <v>971120446</v>
          </cell>
        </row>
        <row r="68">
          <cell r="O68" t="str">
            <v>Morgana Pinheiro Sales</v>
          </cell>
          <cell r="P68" t="str">
            <v>morgana.sales@allianz.com.br</v>
          </cell>
          <cell r="Q68">
            <v>81</v>
          </cell>
          <cell r="R68" t="str">
            <v>983643313</v>
          </cell>
        </row>
        <row r="69">
          <cell r="O69" t="str">
            <v>Rosthiane R De A Oliveira</v>
          </cell>
          <cell r="P69" t="str">
            <v>rosthiane.oliveira@allianz.com.br</v>
          </cell>
          <cell r="Q69" t="str">
            <v>81</v>
          </cell>
          <cell r="R69" t="str">
            <v>981218782</v>
          </cell>
        </row>
        <row r="70">
          <cell r="O70" t="str">
            <v>Aguinaldo Da Costa Sial Junior</v>
          </cell>
          <cell r="P70" t="str">
            <v>aguinaldo.junior@allianz.com.br</v>
          </cell>
          <cell r="Q70">
            <v>81</v>
          </cell>
          <cell r="R70" t="str">
            <v>988440488</v>
          </cell>
        </row>
        <row r="71">
          <cell r="O71" t="str">
            <v>Jefferson Teixeira Da Silva</v>
          </cell>
          <cell r="P71" t="str">
            <v>-</v>
          </cell>
          <cell r="Q71" t="str">
            <v>-</v>
          </cell>
          <cell r="R71" t="str">
            <v>-</v>
          </cell>
        </row>
        <row r="72">
          <cell r="O72" t="str">
            <v>Ana Cristina Barata Alves</v>
          </cell>
          <cell r="P72" t="str">
            <v>anacristina.alves@allianz.com.br</v>
          </cell>
          <cell r="Q72">
            <v>85</v>
          </cell>
          <cell r="R72" t="str">
            <v>988089251</v>
          </cell>
        </row>
        <row r="73">
          <cell r="O73" t="str">
            <v>Eugenio Da Silva Pereira</v>
          </cell>
          <cell r="P73" t="str">
            <v>eugenio.pereira@allianz.com.br</v>
          </cell>
          <cell r="Q73" t="str">
            <v>85</v>
          </cell>
          <cell r="R73" t="str">
            <v>981864521</v>
          </cell>
        </row>
        <row r="74">
          <cell r="O74" t="str">
            <v>Caroline Carvalho Batalha</v>
          </cell>
          <cell r="P74" t="str">
            <v>caroline.batalha@allianz.com.br</v>
          </cell>
          <cell r="Q74">
            <v>85</v>
          </cell>
          <cell r="R74" t="str">
            <v>981612134</v>
          </cell>
        </row>
        <row r="75">
          <cell r="O75" t="str">
            <v>Cristiane Cortez Oliveira</v>
          </cell>
          <cell r="P75" t="str">
            <v>cristiane.oliveira2@allianz.com.br</v>
          </cell>
          <cell r="Q75">
            <v>85</v>
          </cell>
          <cell r="R75" t="str">
            <v>981035266</v>
          </cell>
        </row>
        <row r="76">
          <cell r="O76" t="str">
            <v>Moan Fillipe Botelho Santana</v>
          </cell>
          <cell r="P76" t="str">
            <v xml:space="preserve"> moan.santana@allianz.com.br </v>
          </cell>
          <cell r="Q76" t="str">
            <v>-</v>
          </cell>
          <cell r="R76" t="str">
            <v>-</v>
          </cell>
        </row>
        <row r="77">
          <cell r="O77" t="str">
            <v>Alessandra Gama De Araujo</v>
          </cell>
          <cell r="P77" t="str">
            <v>alessandra.araujo@allianz.com.br</v>
          </cell>
          <cell r="Q77" t="str">
            <v>71</v>
          </cell>
          <cell r="R77" t="str">
            <v>999070268</v>
          </cell>
        </row>
        <row r="78">
          <cell r="O78" t="str">
            <v>Vago</v>
          </cell>
          <cell r="P78" t="str">
            <v>-</v>
          </cell>
          <cell r="Q78" t="str">
            <v>-</v>
          </cell>
          <cell r="R78" t="str">
            <v>-</v>
          </cell>
        </row>
        <row r="79">
          <cell r="O79" t="str">
            <v>Felipe Novaes Vieira Santos</v>
          </cell>
          <cell r="P79" t="str">
            <v>felipe.santos@allianz.com.br</v>
          </cell>
          <cell r="Q79" t="str">
            <v>-</v>
          </cell>
          <cell r="R79" t="str">
            <v>-</v>
          </cell>
        </row>
        <row r="80">
          <cell r="O80" t="str">
            <v>Flavio De Moura César</v>
          </cell>
          <cell r="P80" t="str">
            <v>-</v>
          </cell>
          <cell r="Q80" t="str">
            <v>-</v>
          </cell>
          <cell r="R80" t="str">
            <v>-</v>
          </cell>
        </row>
        <row r="81">
          <cell r="O81" t="str">
            <v>Juliana Santos De Almeida</v>
          </cell>
          <cell r="P81" t="str">
            <v>juliana.almeida@allianz.com.br</v>
          </cell>
          <cell r="Q81" t="str">
            <v>71</v>
          </cell>
          <cell r="R81" t="str">
            <v>996883659</v>
          </cell>
        </row>
        <row r="82">
          <cell r="O82" t="str">
            <v>Patricia Pereira De Farias</v>
          </cell>
          <cell r="P82" t="str">
            <v>patricia.farias@allianz.com.br</v>
          </cell>
          <cell r="Q82">
            <v>0</v>
          </cell>
          <cell r="R82" t="str">
            <v/>
          </cell>
        </row>
        <row r="83">
          <cell r="O83" t="str">
            <v>Daniel Paulo Oliveira Ribeiro</v>
          </cell>
          <cell r="P83" t="str">
            <v>daniel.ribeiro@allianz.com.br</v>
          </cell>
          <cell r="Q83">
            <v>77</v>
          </cell>
          <cell r="R83" t="str">
            <v>998627757</v>
          </cell>
        </row>
        <row r="84">
          <cell r="O84" t="str">
            <v>Wilson Pantoja Gomes Filho</v>
          </cell>
          <cell r="P84" t="str">
            <v>wilson.filho@allianz.com.br</v>
          </cell>
          <cell r="Q84">
            <v>91</v>
          </cell>
          <cell r="R84" t="str">
            <v>988140094</v>
          </cell>
        </row>
        <row r="85">
          <cell r="O85" t="str">
            <v>Priscila Goncalves Brandao</v>
          </cell>
          <cell r="P85" t="str">
            <v>-</v>
          </cell>
          <cell r="Q85" t="str">
            <v>-</v>
          </cell>
          <cell r="R85" t="str">
            <v>-</v>
          </cell>
        </row>
        <row r="86">
          <cell r="O86" t="str">
            <v>Joelson de Oliveira Farias</v>
          </cell>
          <cell r="P86" t="str">
            <v>joelson.farias@allianz.com.br </v>
          </cell>
          <cell r="Q86" t="str">
            <v>-</v>
          </cell>
          <cell r="R86" t="str">
            <v>-</v>
          </cell>
        </row>
        <row r="87">
          <cell r="O87" t="str">
            <v>Karina De Albuquerque O Barros</v>
          </cell>
          <cell r="P87" t="str">
            <v>karina.barros@allianz.com.br</v>
          </cell>
          <cell r="Q87" t="str">
            <v>92</v>
          </cell>
          <cell r="R87" t="str">
            <v>993635216</v>
          </cell>
        </row>
        <row r="88">
          <cell r="O88" t="str">
            <v>Sara Elizabete De Assis Pereira</v>
          </cell>
          <cell r="P88" t="str">
            <v>-</v>
          </cell>
          <cell r="Q88" t="str">
            <v>-</v>
          </cell>
          <cell r="R88" t="str">
            <v>-</v>
          </cell>
        </row>
        <row r="89">
          <cell r="O89" t="str">
            <v>Vanessa Araujo Campos</v>
          </cell>
          <cell r="P89" t="str">
            <v>vanessa.campos@allianz.com.br</v>
          </cell>
          <cell r="Q89" t="str">
            <v>69</v>
          </cell>
          <cell r="R89" t="str">
            <v>999374325</v>
          </cell>
        </row>
        <row r="90">
          <cell r="O90" t="str">
            <v>Beatriz Conceicao Sacramento Dos Santos</v>
          </cell>
          <cell r="P90" t="str">
            <v>-</v>
          </cell>
          <cell r="Q90" t="str">
            <v>-</v>
          </cell>
          <cell r="R90" t="str">
            <v>-</v>
          </cell>
        </row>
        <row r="91">
          <cell r="O91" t="str">
            <v>Rosilene Lima Nogueira</v>
          </cell>
          <cell r="P91" t="str">
            <v>-</v>
          </cell>
          <cell r="Q91" t="str">
            <v>-</v>
          </cell>
          <cell r="R91" t="str">
            <v>-</v>
          </cell>
        </row>
        <row r="92">
          <cell r="O92" t="str">
            <v>Leticia Vitoria Aguiar Da Silva</v>
          </cell>
          <cell r="P92" t="str">
            <v>-</v>
          </cell>
          <cell r="Q92" t="str">
            <v>-</v>
          </cell>
          <cell r="R92" t="str">
            <v>-</v>
          </cell>
        </row>
        <row r="93">
          <cell r="O93" t="str">
            <v>Rodrigo Cezar Cunha De Deus</v>
          </cell>
          <cell r="P93" t="str">
            <v>rodrigo.deus@allianz.com.br</v>
          </cell>
          <cell r="Q93">
            <v>91</v>
          </cell>
          <cell r="R93" t="str">
            <v>991622828</v>
          </cell>
        </row>
        <row r="94">
          <cell r="O94" t="str">
            <v>Monica Maria Meira E Sa Prates</v>
          </cell>
          <cell r="P94" t="str">
            <v>monica.prates@allianz.com.br</v>
          </cell>
          <cell r="Q94">
            <v>81</v>
          </cell>
          <cell r="R94" t="str">
            <v>982989402</v>
          </cell>
        </row>
        <row r="95">
          <cell r="O95" t="str">
            <v>Veruscka Amelia Marinho dos Reis</v>
          </cell>
          <cell r="P95" t="str">
            <v xml:space="preserve">veruscka.reis@allianz.com.br </v>
          </cell>
          <cell r="Q95">
            <v>0</v>
          </cell>
          <cell r="R95">
            <v>0</v>
          </cell>
        </row>
        <row r="96">
          <cell r="O96" t="str">
            <v>Marcio Goddini De O Ferreira</v>
          </cell>
          <cell r="P96" t="str">
            <v>marcio.ferreira@allianz.com.br</v>
          </cell>
          <cell r="Q96">
            <v>91</v>
          </cell>
          <cell r="R96" t="str">
            <v>991065195</v>
          </cell>
        </row>
        <row r="97">
          <cell r="O97" t="str">
            <v>Fabiane Gois De Araujo</v>
          </cell>
          <cell r="P97" t="str">
            <v>fabiane.araujo@allianz.com.br</v>
          </cell>
          <cell r="Q97">
            <v>92</v>
          </cell>
          <cell r="R97" t="str">
            <v>996223410</v>
          </cell>
        </row>
        <row r="98">
          <cell r="O98" t="str">
            <v>Julianna Pinheiro Printes</v>
          </cell>
          <cell r="P98" t="str">
            <v>julianna.printes@allianz.com.br</v>
          </cell>
          <cell r="Q98">
            <v>91</v>
          </cell>
          <cell r="R98" t="str">
            <v>993067784</v>
          </cell>
        </row>
        <row r="99">
          <cell r="O99" t="str">
            <v>Olga Elianise Lessa Terceiro</v>
          </cell>
          <cell r="P99" t="str">
            <v xml:space="preserve">olga.terceiro@allianz.com.br </v>
          </cell>
          <cell r="Q99">
            <v>81</v>
          </cell>
          <cell r="R99" t="str">
            <v>982414553</v>
          </cell>
        </row>
        <row r="100">
          <cell r="O100" t="str">
            <v>Ivana Lucia De Freitas</v>
          </cell>
          <cell r="P100" t="str">
            <v>ivana.freitas@allianz.com.br</v>
          </cell>
          <cell r="Q100">
            <v>84</v>
          </cell>
          <cell r="R100" t="str">
            <v>981887151</v>
          </cell>
        </row>
        <row r="101">
          <cell r="O101" t="str">
            <v>Jacqueline Pereira De A Mendes</v>
          </cell>
          <cell r="P101" t="str">
            <v>jacqueline.mendes@allianz.com.br</v>
          </cell>
          <cell r="Q101" t="str">
            <v>84</v>
          </cell>
          <cell r="R101" t="str">
            <v>981860563</v>
          </cell>
        </row>
        <row r="102">
          <cell r="O102" t="str">
            <v>Larissa Albuquerque Azevedo</v>
          </cell>
          <cell r="P102" t="str">
            <v>larissa.araujo@allianz.com.br</v>
          </cell>
          <cell r="Q102" t="str">
            <v>-</v>
          </cell>
          <cell r="R102" t="str">
            <v>-</v>
          </cell>
        </row>
        <row r="103">
          <cell r="O103" t="str">
            <v>Adalberto Rodrigues De Souza</v>
          </cell>
          <cell r="P103" t="str">
            <v>adalberto.souza@allianz.com.br</v>
          </cell>
          <cell r="Q103" t="str">
            <v>83</v>
          </cell>
          <cell r="R103" t="str">
            <v>981485038</v>
          </cell>
        </row>
        <row r="104">
          <cell r="O104" t="str">
            <v>Patricia Toledo Da Mata Soares</v>
          </cell>
          <cell r="P104" t="str">
            <v>patricia.soares@allianz.com.br</v>
          </cell>
          <cell r="Q104">
            <v>0</v>
          </cell>
          <cell r="R104" t="str">
            <v/>
          </cell>
        </row>
        <row r="105">
          <cell r="O105" t="str">
            <v>Rafaela Duarte Jeronimo</v>
          </cell>
          <cell r="P105" t="str">
            <v>rafaela.jeronimo@allianz.com.br</v>
          </cell>
          <cell r="Q105">
            <v>83</v>
          </cell>
          <cell r="R105" t="str">
            <v>981049220</v>
          </cell>
        </row>
        <row r="106">
          <cell r="O106" t="str">
            <v>Diego Meneses Dos S E Silva</v>
          </cell>
          <cell r="P106" t="str">
            <v>diego.silva@allianz.com.br</v>
          </cell>
          <cell r="Q106" t="str">
            <v>86</v>
          </cell>
          <cell r="R106" t="str">
            <v>981808319</v>
          </cell>
        </row>
        <row r="107">
          <cell r="O107" t="str">
            <v>Ryan Barbosa Monteiro</v>
          </cell>
          <cell r="P107" t="str">
            <v>ryan.monteiro@allianz.com.br</v>
          </cell>
          <cell r="Q107">
            <v>86</v>
          </cell>
          <cell r="R107" t="str">
            <v>981084211</v>
          </cell>
        </row>
        <row r="108">
          <cell r="O108" t="str">
            <v>Sabrina De Oliveira Tavares Azevedo</v>
          </cell>
          <cell r="P108" t="str">
            <v>-</v>
          </cell>
          <cell r="Q108" t="str">
            <v>-</v>
          </cell>
          <cell r="R108" t="str">
            <v>-</v>
          </cell>
        </row>
        <row r="109">
          <cell r="O109" t="str">
            <v>Karinne Lauletta Furtado</v>
          </cell>
          <cell r="P109" t="str">
            <v>karinne.furtado@allianz.com.br</v>
          </cell>
          <cell r="Q109" t="str">
            <v>98</v>
          </cell>
          <cell r="R109" t="str">
            <v>991628833</v>
          </cell>
        </row>
        <row r="110">
          <cell r="O110" t="str">
            <v>Leinny Monica Gomes Amorim</v>
          </cell>
          <cell r="P110" t="str">
            <v>leinny.amorim@allianz.com.br</v>
          </cell>
          <cell r="Q110">
            <v>81</v>
          </cell>
          <cell r="R110" t="str">
            <v>981717148</v>
          </cell>
        </row>
        <row r="111">
          <cell r="O111" t="str">
            <v>Izys Mendes Lima Barreto</v>
          </cell>
          <cell r="P111" t="str">
            <v>izys.barreto@allianz.com.br</v>
          </cell>
          <cell r="Q111">
            <v>79</v>
          </cell>
          <cell r="R111" t="str">
            <v>996901204</v>
          </cell>
        </row>
        <row r="112">
          <cell r="O112" t="str">
            <v>Vago</v>
          </cell>
          <cell r="P112" t="str">
            <v>-</v>
          </cell>
          <cell r="Q112" t="str">
            <v>-</v>
          </cell>
          <cell r="R112" t="str">
            <v>-</v>
          </cell>
        </row>
        <row r="113">
          <cell r="O113" t="str">
            <v>Joao P. Aguiar Castro Neto</v>
          </cell>
          <cell r="P113" t="str">
            <v>-</v>
          </cell>
          <cell r="Q113" t="str">
            <v>-</v>
          </cell>
          <cell r="R113" t="str">
            <v>-</v>
          </cell>
        </row>
        <row r="114">
          <cell r="O114" t="str">
            <v>Ana Paula Xavier Guanais</v>
          </cell>
          <cell r="P114" t="str">
            <v>ana.guanais@allianz.com.br</v>
          </cell>
          <cell r="Q114">
            <v>0</v>
          </cell>
          <cell r="R114" t="str">
            <v/>
          </cell>
        </row>
        <row r="115">
          <cell r="O115" t="str">
            <v>Marcelo De Abreu Mesquita</v>
          </cell>
          <cell r="P115" t="str">
            <v>marcelo.mesquita@allianz.com.br</v>
          </cell>
          <cell r="Q115">
            <v>0</v>
          </cell>
          <cell r="R115" t="str">
            <v/>
          </cell>
        </row>
        <row r="116">
          <cell r="O116" t="str">
            <v>Erineuza Rodrigues Monzillo</v>
          </cell>
          <cell r="P116" t="str">
            <v>erineuza.monzillo@allianz.com.br</v>
          </cell>
          <cell r="Q116">
            <v>0</v>
          </cell>
          <cell r="R116" t="str">
            <v/>
          </cell>
        </row>
        <row r="117">
          <cell r="O117" t="str">
            <v>Vago</v>
          </cell>
          <cell r="P117" t="str">
            <v>-</v>
          </cell>
          <cell r="Q117" t="str">
            <v>-</v>
          </cell>
          <cell r="R117" t="str">
            <v>-</v>
          </cell>
        </row>
        <row r="118">
          <cell r="O118" t="str">
            <v>Deborah Dos Santos Rissi</v>
          </cell>
          <cell r="P118" t="str">
            <v>deborah.rissi@allianz.com.br</v>
          </cell>
          <cell r="Q118" t="str">
            <v>-</v>
          </cell>
          <cell r="R118" t="str">
            <v>-</v>
          </cell>
        </row>
        <row r="119">
          <cell r="O119" t="str">
            <v>Alciana Maria Da S. Carlucci</v>
          </cell>
          <cell r="P119" t="str">
            <v>-</v>
          </cell>
          <cell r="Q119" t="str">
            <v>-</v>
          </cell>
          <cell r="R119" t="str">
            <v>-</v>
          </cell>
        </row>
        <row r="120">
          <cell r="O120" t="str">
            <v>Fernanda Ribeiro De Oliveira</v>
          </cell>
          <cell r="P120" t="str">
            <v>fernanda.oliveira@allianz.com.br</v>
          </cell>
          <cell r="Q120" t="str">
            <v>11</v>
          </cell>
          <cell r="R120" t="str">
            <v>971684893</v>
          </cell>
        </row>
        <row r="121">
          <cell r="O121" t="str">
            <v>Luiz Roberto da Silva Pereira</v>
          </cell>
          <cell r="P121" t="str">
            <v>luiz.pereira2@allianz.com.br</v>
          </cell>
          <cell r="Q121" t="str">
            <v>21</v>
          </cell>
          <cell r="R121" t="str">
            <v>995936081</v>
          </cell>
        </row>
        <row r="122">
          <cell r="O122" t="str">
            <v>Rafael B do Nascimento Junior</v>
          </cell>
          <cell r="P122" t="str">
            <v>rafael.junior@allianz.com.br</v>
          </cell>
          <cell r="Q122">
            <v>81</v>
          </cell>
          <cell r="R122" t="str">
            <v>981732494</v>
          </cell>
        </row>
        <row r="123">
          <cell r="O123" t="str">
            <v>Raullison Celso De Castro</v>
          </cell>
          <cell r="P123" t="str">
            <v>raullison.castro@allianz.com.br</v>
          </cell>
          <cell r="Q123">
            <v>48</v>
          </cell>
          <cell r="R123" t="str">
            <v>991856501</v>
          </cell>
        </row>
        <row r="124">
          <cell r="O124" t="str">
            <v xml:space="preserve">Angelica Lacerda dos Santos </v>
          </cell>
          <cell r="P124" t="str">
            <v>-</v>
          </cell>
          <cell r="Q124" t="str">
            <v>-</v>
          </cell>
          <cell r="R124" t="str">
            <v>-</v>
          </cell>
        </row>
        <row r="125">
          <cell r="O125" t="str">
            <v>Wagner De Souza Silva</v>
          </cell>
          <cell r="P125" t="str">
            <v>wagner.silva@allianz.com.br</v>
          </cell>
          <cell r="Q125">
            <v>27</v>
          </cell>
          <cell r="R125" t="str">
            <v>988049249</v>
          </cell>
        </row>
        <row r="126">
          <cell r="O126" t="str">
            <v>Thays Ferreira Silva</v>
          </cell>
          <cell r="P126" t="str">
            <v>thays.silva@allianz.com.br</v>
          </cell>
          <cell r="Q126">
            <v>34</v>
          </cell>
          <cell r="R126" t="str">
            <v>998291704</v>
          </cell>
        </row>
        <row r="127">
          <cell r="O127" t="str">
            <v>Daniella E De Matos Rodrigues</v>
          </cell>
          <cell r="P127" t="str">
            <v>-</v>
          </cell>
          <cell r="Q127" t="str">
            <v>-</v>
          </cell>
          <cell r="R127" t="str">
            <v>-</v>
          </cell>
        </row>
        <row r="128">
          <cell r="O128" t="str">
            <v>Eudmila Ap S.S. Tassara</v>
          </cell>
          <cell r="P128" t="str">
            <v>-</v>
          </cell>
          <cell r="Q128" t="str">
            <v>-</v>
          </cell>
          <cell r="R128" t="str">
            <v>-</v>
          </cell>
        </row>
        <row r="129">
          <cell r="O129" t="str">
            <v>Leticia Fonseca Bezerra</v>
          </cell>
          <cell r="P129" t="str">
            <v>leticia.bezerra@allianz.com.br</v>
          </cell>
          <cell r="Q129">
            <v>31</v>
          </cell>
          <cell r="R129" t="str">
            <v>988618082</v>
          </cell>
        </row>
        <row r="130">
          <cell r="O130" t="str">
            <v>Rafael Sabino Serra Leite</v>
          </cell>
          <cell r="P130" t="str">
            <v>rafael.leite@allianz.com.br</v>
          </cell>
          <cell r="Q130">
            <v>85</v>
          </cell>
          <cell r="R130" t="str">
            <v>988293255</v>
          </cell>
        </row>
        <row r="131">
          <cell r="O131" t="str">
            <v>Lais Da Silva Ramos Xavier</v>
          </cell>
          <cell r="P131" t="str">
            <v>lais.xavier@allianz.com.br</v>
          </cell>
          <cell r="Q131">
            <v>21</v>
          </cell>
          <cell r="R131" t="str">
            <v>988495512</v>
          </cell>
        </row>
        <row r="132">
          <cell r="O132" t="str">
            <v>Cassia Melina De Oliveira Silveira</v>
          </cell>
          <cell r="P132" t="str">
            <v>-</v>
          </cell>
          <cell r="Q132" t="str">
            <v>-</v>
          </cell>
          <cell r="R132" t="str">
            <v>-</v>
          </cell>
        </row>
        <row r="133">
          <cell r="O133" t="str">
            <v>Enriete Silva Saucedo</v>
          </cell>
          <cell r="P133" t="str">
            <v>enriete.saucedo@allianz.com.br</v>
          </cell>
          <cell r="Q133">
            <v>51</v>
          </cell>
          <cell r="R133" t="str">
            <v>995724253</v>
          </cell>
        </row>
        <row r="134">
          <cell r="O134" t="str">
            <v>Nicole Demori</v>
          </cell>
          <cell r="P134" t="str">
            <v>nicole.demori@allianz.com.br</v>
          </cell>
          <cell r="Q134">
            <v>54</v>
          </cell>
          <cell r="R134" t="str">
            <v>999646302</v>
          </cell>
        </row>
        <row r="135">
          <cell r="O135" t="str">
            <v>Laila Steil</v>
          </cell>
          <cell r="P135" t="str">
            <v>-</v>
          </cell>
          <cell r="Q135" t="str">
            <v>-</v>
          </cell>
          <cell r="R135" t="str">
            <v>-</v>
          </cell>
        </row>
        <row r="136">
          <cell r="O136" t="str">
            <v>Marcio José Kaminski</v>
          </cell>
          <cell r="P136" t="str">
            <v>-</v>
          </cell>
          <cell r="Q136" t="str">
            <v>-</v>
          </cell>
          <cell r="R136" t="str">
            <v>-</v>
          </cell>
        </row>
        <row r="137">
          <cell r="O137" t="str">
            <v>Daisy M Pereira Marangoni</v>
          </cell>
          <cell r="P137" t="str">
            <v>daisy.marangoni@allianz.com.br</v>
          </cell>
          <cell r="Q137">
            <v>44</v>
          </cell>
          <cell r="R137" t="str">
            <v>991319014</v>
          </cell>
        </row>
        <row r="138">
          <cell r="O138" t="str">
            <v>Eduardo Henrique Dos Santos</v>
          </cell>
          <cell r="P138" t="str">
            <v>eduardo.santos1@allianz.com.br</v>
          </cell>
          <cell r="Q138">
            <v>0</v>
          </cell>
          <cell r="R138" t="str">
            <v/>
          </cell>
        </row>
        <row r="139">
          <cell r="O139" t="str">
            <v>Adriano Oliveira Guerra</v>
          </cell>
          <cell r="P139" t="str">
            <v>adriano.guerra@allianz.com.br</v>
          </cell>
          <cell r="Q139">
            <v>21</v>
          </cell>
          <cell r="R139" t="str">
            <v>985561252</v>
          </cell>
        </row>
        <row r="140">
          <cell r="O140" t="str">
            <v>Diego Duque De Vasconcelos</v>
          </cell>
          <cell r="P140" t="str">
            <v>diego.vasconcelos@allianz.com.br</v>
          </cell>
          <cell r="Q140" t="str">
            <v>21</v>
          </cell>
          <cell r="R140" t="str">
            <v>972402874</v>
          </cell>
        </row>
        <row r="141">
          <cell r="O141" t="str">
            <v>Adriana Goncalves Coelho</v>
          </cell>
          <cell r="P141" t="str">
            <v>adriana.coelho@allianz.com.br</v>
          </cell>
          <cell r="Q141">
            <v>21</v>
          </cell>
          <cell r="R141" t="str">
            <v>971558834</v>
          </cell>
        </row>
        <row r="142">
          <cell r="O142" t="str">
            <v>Dinah La Rocque De Castro</v>
          </cell>
          <cell r="P142" t="str">
            <v>dinah.castro@allianz.com.br</v>
          </cell>
          <cell r="Q142">
            <v>21</v>
          </cell>
          <cell r="R142" t="str">
            <v>984637874</v>
          </cell>
        </row>
        <row r="143">
          <cell r="O143" t="str">
            <v>Mary Hellen Bezerra Fernandes</v>
          </cell>
          <cell r="P143" t="str">
            <v>mary.fernandes@allianz.com.br</v>
          </cell>
          <cell r="Q143">
            <v>21</v>
          </cell>
          <cell r="R143" t="str">
            <v>967228412</v>
          </cell>
        </row>
        <row r="144">
          <cell r="O144" t="str">
            <v>Lucineide Alves De Medeiros</v>
          </cell>
          <cell r="P144" t="str">
            <v>lucineide.medeiros@allianz.com.br</v>
          </cell>
          <cell r="Q144">
            <v>21</v>
          </cell>
          <cell r="R144" t="str">
            <v>972277824</v>
          </cell>
        </row>
        <row r="145">
          <cell r="O145" t="str">
            <v>Danielle Freire Do Nascimento</v>
          </cell>
          <cell r="P145" t="str">
            <v>danielle.nascimento@allianz.com.br</v>
          </cell>
          <cell r="Q145">
            <v>21</v>
          </cell>
          <cell r="R145" t="str">
            <v>995063869</v>
          </cell>
        </row>
        <row r="146">
          <cell r="O146" t="str">
            <v>Ana Paula Leal Oliveira</v>
          </cell>
          <cell r="P146" t="str">
            <v>ana.oliveira@allianz.com.br</v>
          </cell>
          <cell r="Q146">
            <v>21</v>
          </cell>
          <cell r="R146">
            <v>972271905</v>
          </cell>
        </row>
        <row r="147">
          <cell r="O147" t="str">
            <v>Caroline Machado Falcao</v>
          </cell>
          <cell r="P147" t="str">
            <v>caroline.falcao@allianz.com.br</v>
          </cell>
          <cell r="Q147">
            <v>21</v>
          </cell>
          <cell r="R147" t="str">
            <v>972271844</v>
          </cell>
        </row>
        <row r="148">
          <cell r="O148" t="str">
            <v>Patricia Brasil Reis</v>
          </cell>
          <cell r="P148" t="str">
            <v>patricia.reis@allianz.com.br</v>
          </cell>
          <cell r="Q148" t="str">
            <v>21</v>
          </cell>
          <cell r="R148" t="str">
            <v>999814317</v>
          </cell>
        </row>
        <row r="149">
          <cell r="O149" t="str">
            <v>Valdirene Campos De Magalhaes</v>
          </cell>
          <cell r="P149" t="str">
            <v>valdirene.barbosa@allianz.com.br</v>
          </cell>
          <cell r="Q149">
            <v>21</v>
          </cell>
          <cell r="R149" t="str">
            <v>988824922</v>
          </cell>
        </row>
        <row r="150">
          <cell r="O150" t="str">
            <v>Armando Francisco Da S Filho</v>
          </cell>
          <cell r="P150" t="str">
            <v>armando.filho@allianz.com.br</v>
          </cell>
          <cell r="Q150" t="str">
            <v>21</v>
          </cell>
          <cell r="R150" t="str">
            <v>967507327</v>
          </cell>
        </row>
        <row r="151">
          <cell r="O151" t="str">
            <v>Nerilandi Alves Rodrigues</v>
          </cell>
          <cell r="P151" t="str">
            <v>-</v>
          </cell>
          <cell r="Q151" t="str">
            <v>-</v>
          </cell>
          <cell r="R151" t="str">
            <v>-</v>
          </cell>
        </row>
        <row r="152">
          <cell r="O152" t="str">
            <v>Vitor Hugo Mendonca De Mattos</v>
          </cell>
          <cell r="P152" t="str">
            <v>vitor.mattos@allianz.com.br</v>
          </cell>
          <cell r="Q152">
            <v>21</v>
          </cell>
          <cell r="R152" t="str">
            <v>997904935</v>
          </cell>
        </row>
        <row r="153">
          <cell r="O153" t="str">
            <v>Jheniffer Da Silva Emiliano</v>
          </cell>
          <cell r="P153" t="str">
            <v>jheniffer.emiliano@allianz.com.br</v>
          </cell>
          <cell r="Q153">
            <v>21</v>
          </cell>
          <cell r="R153" t="str">
            <v>995987103</v>
          </cell>
        </row>
        <row r="154">
          <cell r="O154" t="str">
            <v>Eliane Lucia Da S F Outor</v>
          </cell>
          <cell r="P154" t="str">
            <v>eliane.outor@allianz.com.br</v>
          </cell>
          <cell r="Q154">
            <v>21</v>
          </cell>
          <cell r="R154">
            <v>967217519</v>
          </cell>
        </row>
        <row r="155">
          <cell r="O155" t="str">
            <v>Gustavo Gripa Correa</v>
          </cell>
          <cell r="P155" t="str">
            <v>gustavo.correa@allianz.com.br</v>
          </cell>
          <cell r="Q155">
            <v>22</v>
          </cell>
          <cell r="R155" t="str">
            <v>998318156</v>
          </cell>
        </row>
        <row r="156">
          <cell r="O156" t="str">
            <v>Pamela Dos Santos Burige</v>
          </cell>
          <cell r="P156" t="str">
            <v>pamela.burige@allianz.com.br</v>
          </cell>
          <cell r="Q156">
            <v>21</v>
          </cell>
          <cell r="R156" t="str">
            <v>988824690</v>
          </cell>
        </row>
        <row r="157">
          <cell r="O157" t="str">
            <v>Lucas Miranda Dos Santos Godin</v>
          </cell>
          <cell r="P157" t="str">
            <v>lucas.godinho@allianz.com.br</v>
          </cell>
          <cell r="Q157">
            <v>21</v>
          </cell>
          <cell r="R157" t="str">
            <v>984920064</v>
          </cell>
        </row>
        <row r="158">
          <cell r="O158" t="str">
            <v>Andrea Do Amaral Duarte</v>
          </cell>
          <cell r="P158" t="str">
            <v>andrea.duarte@allianz.com.br</v>
          </cell>
          <cell r="Q158">
            <v>24</v>
          </cell>
          <cell r="R158" t="str">
            <v>988081367</v>
          </cell>
        </row>
        <row r="159">
          <cell r="O159" t="str">
            <v>Flavia Silva Da Costa</v>
          </cell>
          <cell r="P159" t="str">
            <v>flavia.costa@allianz.com.br</v>
          </cell>
          <cell r="Q159">
            <v>21</v>
          </cell>
          <cell r="R159" t="str">
            <v>994619587</v>
          </cell>
        </row>
        <row r="160">
          <cell r="O160" t="str">
            <v>Shirley Klein De Almeida</v>
          </cell>
          <cell r="P160" t="str">
            <v>shirley.klein@allianz.com.br</v>
          </cell>
          <cell r="Q160">
            <v>27</v>
          </cell>
          <cell r="R160" t="str">
            <v>988071873</v>
          </cell>
        </row>
        <row r="161">
          <cell r="O161" t="str">
            <v>Renato Carvalho Faillace</v>
          </cell>
          <cell r="P161" t="str">
            <v>renato.faillace@allianz.com.br</v>
          </cell>
          <cell r="Q161">
            <v>21</v>
          </cell>
          <cell r="R161" t="str">
            <v>988358380</v>
          </cell>
        </row>
        <row r="162">
          <cell r="O162" t="str">
            <v>Ana Claudia Diniz Da Cunha</v>
          </cell>
          <cell r="P162" t="str">
            <v>ana.cunha@allianz.com.br</v>
          </cell>
          <cell r="Q162">
            <v>21</v>
          </cell>
          <cell r="R162" t="str">
            <v>988824557</v>
          </cell>
        </row>
        <row r="163">
          <cell r="O163" t="str">
            <v>Adriano Elias Testahy Campos</v>
          </cell>
          <cell r="P163" t="str">
            <v>adriano.campos@allianz.com.br</v>
          </cell>
          <cell r="Q163">
            <v>21</v>
          </cell>
          <cell r="R163">
            <v>972271475</v>
          </cell>
        </row>
        <row r="164">
          <cell r="O164" t="str">
            <v>Fernando Cesar Soares Lima</v>
          </cell>
          <cell r="P164" t="str">
            <v>fernando.lima@allianz.com.br</v>
          </cell>
          <cell r="Q164">
            <v>21</v>
          </cell>
          <cell r="R164" t="str">
            <v>972762325</v>
          </cell>
        </row>
        <row r="165">
          <cell r="O165" t="str">
            <v>Aline Regina Dos S Madeira</v>
          </cell>
          <cell r="P165" t="str">
            <v>aline.madeira@allianz.com.br</v>
          </cell>
          <cell r="Q165">
            <v>27</v>
          </cell>
          <cell r="R165" t="str">
            <v>995702547</v>
          </cell>
        </row>
        <row r="166">
          <cell r="O166" t="str">
            <v>Betina Miranda Carrasco</v>
          </cell>
          <cell r="P166" t="str">
            <v>betina.carrasco@allianz.com.br</v>
          </cell>
          <cell r="Q166" t="str">
            <v>27</v>
          </cell>
          <cell r="R166" t="str">
            <v>997946126</v>
          </cell>
        </row>
        <row r="167">
          <cell r="O167" t="str">
            <v>Geiza Madalena Antero Vinand</v>
          </cell>
          <cell r="P167" t="str">
            <v>geiza.vinand@allianz.com.br</v>
          </cell>
          <cell r="Q167">
            <v>27</v>
          </cell>
          <cell r="R167" t="str">
            <v>988023284</v>
          </cell>
        </row>
        <row r="168">
          <cell r="O168" t="str">
            <v>Jonatas Fernandes Lauretto</v>
          </cell>
          <cell r="P168" t="str">
            <v>jonatas.lauretto@allianz.com.br</v>
          </cell>
          <cell r="Q168">
            <v>27</v>
          </cell>
          <cell r="R168" t="str">
            <v>999407527</v>
          </cell>
        </row>
        <row r="169">
          <cell r="O169" t="str">
            <v>Lucas Pianca Monteiro</v>
          </cell>
          <cell r="P169" t="str">
            <v>lucas.monteiro@allianz.com.br</v>
          </cell>
          <cell r="Q169">
            <v>0</v>
          </cell>
          <cell r="R169" t="str">
            <v/>
          </cell>
        </row>
        <row r="170">
          <cell r="O170" t="str">
            <v>Dimas Augusto De Campos Soares</v>
          </cell>
          <cell r="P170" t="str">
            <v>dimas.soares@allianz.com.br</v>
          </cell>
          <cell r="Q170" t="str">
            <v>24</v>
          </cell>
          <cell r="R170" t="str">
            <v>998328256</v>
          </cell>
        </row>
        <row r="171">
          <cell r="O171" t="str">
            <v>Roberta Serafim De Oliveira</v>
          </cell>
          <cell r="P171" t="str">
            <v>roberta.oliveira@allianz.com.br</v>
          </cell>
          <cell r="Q171">
            <v>21</v>
          </cell>
          <cell r="R171" t="str">
            <v>967228407</v>
          </cell>
        </row>
        <row r="172">
          <cell r="O172" t="str">
            <v>Marcelly Costa Vericimo</v>
          </cell>
          <cell r="P172" t="str">
            <v>marcelly.vericimo@allianz.com.br</v>
          </cell>
          <cell r="Q172">
            <v>22</v>
          </cell>
          <cell r="R172" t="str">
            <v>999818126</v>
          </cell>
        </row>
        <row r="173">
          <cell r="O173" t="str">
            <v>Bruna Oliveira De Souza</v>
          </cell>
          <cell r="P173" t="str">
            <v>bruna.souza@allianz.com.br</v>
          </cell>
          <cell r="Q173">
            <v>24</v>
          </cell>
          <cell r="R173" t="str">
            <v>988219815</v>
          </cell>
        </row>
        <row r="174">
          <cell r="O174" t="str">
            <v>Stephanye Nathalye C. Ribeiro</v>
          </cell>
          <cell r="P174" t="str">
            <v>stephanye.ribeiro@allianz.com.br</v>
          </cell>
          <cell r="Q174">
            <v>0</v>
          </cell>
          <cell r="R174" t="str">
            <v/>
          </cell>
        </row>
        <row r="175">
          <cell r="O175" t="str">
            <v>Danillo Nogueira Boem</v>
          </cell>
          <cell r="P175" t="str">
            <v>danillo.boem@allianz.com.br</v>
          </cell>
          <cell r="Q175">
            <v>0</v>
          </cell>
          <cell r="R175" t="str">
            <v/>
          </cell>
        </row>
        <row r="176">
          <cell r="O176" t="str">
            <v>Marco Antonio Schiabel</v>
          </cell>
          <cell r="P176" t="str">
            <v>marco.schiabel@allianz.com.br</v>
          </cell>
          <cell r="Q176">
            <v>11</v>
          </cell>
          <cell r="R176" t="str">
            <v>952588197</v>
          </cell>
        </row>
        <row r="177">
          <cell r="O177" t="str">
            <v>Leandro Braga Araujo</v>
          </cell>
          <cell r="P177" t="str">
            <v>leandro.araujo@allianz.com.br</v>
          </cell>
          <cell r="Q177">
            <v>11</v>
          </cell>
          <cell r="R177" t="str">
            <v>975479180</v>
          </cell>
        </row>
        <row r="178">
          <cell r="O178" t="str">
            <v>Claudia Marileia Malaggi</v>
          </cell>
          <cell r="P178" t="str">
            <v>claudia.malaggi@allianz.com.br</v>
          </cell>
          <cell r="Q178">
            <v>11</v>
          </cell>
          <cell r="R178" t="str">
            <v>910507965</v>
          </cell>
        </row>
        <row r="179">
          <cell r="O179" t="str">
            <v>Luiz Cicelini Junior</v>
          </cell>
          <cell r="P179" t="str">
            <v>luiz.junior@allianz.com.br</v>
          </cell>
          <cell r="Q179" t="str">
            <v>11</v>
          </cell>
          <cell r="R179" t="str">
            <v>974630759</v>
          </cell>
        </row>
        <row r="180">
          <cell r="O180" t="str">
            <v>Sonia Marli Do Nascimento</v>
          </cell>
          <cell r="P180" t="str">
            <v>sonia.nascimento@allianz.com.br</v>
          </cell>
          <cell r="Q180">
            <v>11</v>
          </cell>
          <cell r="R180" t="str">
            <v>955523723</v>
          </cell>
        </row>
        <row r="181">
          <cell r="O181" t="str">
            <v>Marcia Duarte Castelo</v>
          </cell>
          <cell r="P181" t="str">
            <v>marcia.castelo@allianz.com.br</v>
          </cell>
          <cell r="Q181">
            <v>11</v>
          </cell>
          <cell r="R181" t="str">
            <v>995588429</v>
          </cell>
        </row>
        <row r="182">
          <cell r="O182" t="str">
            <v>Andreza De Almeida Libanore</v>
          </cell>
          <cell r="P182" t="str">
            <v>andreza.libanore@allianz.com.br</v>
          </cell>
          <cell r="Q182">
            <v>11</v>
          </cell>
          <cell r="R182" t="str">
            <v>974230695</v>
          </cell>
        </row>
        <row r="183">
          <cell r="O183" t="str">
            <v>Eduardo Dutra Marques</v>
          </cell>
          <cell r="P183" t="str">
            <v>eduardo.marques@allianz.com.br</v>
          </cell>
          <cell r="Q183">
            <v>11</v>
          </cell>
          <cell r="R183" t="str">
            <v>996560833</v>
          </cell>
        </row>
        <row r="184">
          <cell r="O184" t="str">
            <v>Eliane Pereira Fernandes</v>
          </cell>
          <cell r="P184" t="str">
            <v>eliane.fernandes@allianz.com.br</v>
          </cell>
          <cell r="Q184">
            <v>11</v>
          </cell>
          <cell r="R184" t="str">
            <v>995270436</v>
          </cell>
        </row>
        <row r="185">
          <cell r="O185" t="str">
            <v>Everton Carvalho Da Silva</v>
          </cell>
          <cell r="P185" t="str">
            <v>everton.silva1@allianz.com.br</v>
          </cell>
          <cell r="Q185">
            <v>11</v>
          </cell>
          <cell r="R185" t="str">
            <v>975480814</v>
          </cell>
        </row>
        <row r="186">
          <cell r="O186" t="str">
            <v>Luciana Regina Slupko Mayer</v>
          </cell>
          <cell r="P186" t="str">
            <v>luciana.mayer@allianz.com.br</v>
          </cell>
          <cell r="Q186">
            <v>11</v>
          </cell>
          <cell r="R186" t="str">
            <v>996209712</v>
          </cell>
        </row>
        <row r="187">
          <cell r="O187" t="str">
            <v>Noadia Jaqueline Da Silva Rodrigues</v>
          </cell>
          <cell r="P187" t="str">
            <v>-</v>
          </cell>
          <cell r="Q187" t="str">
            <v>-</v>
          </cell>
          <cell r="R187" t="str">
            <v>-</v>
          </cell>
        </row>
        <row r="188">
          <cell r="O188" t="str">
            <v>Thamires Yasmin Amorim Faleiro</v>
          </cell>
          <cell r="P188" t="str">
            <v>thamires.faleiro@allianz.com.br</v>
          </cell>
          <cell r="Q188">
            <v>13</v>
          </cell>
          <cell r="R188" t="str">
            <v>996333022</v>
          </cell>
        </row>
        <row r="189">
          <cell r="O189" t="str">
            <v>Adonias Batista de Brito</v>
          </cell>
          <cell r="P189" t="str">
            <v>adonias.brito@allianz.com.br </v>
          </cell>
          <cell r="Q189">
            <v>11</v>
          </cell>
          <cell r="R189" t="str">
            <v>975302614</v>
          </cell>
        </row>
        <row r="190">
          <cell r="O190" t="str">
            <v>Marina Tojar Melo</v>
          </cell>
          <cell r="P190" t="str">
            <v>marina.melo@allianz.com.br</v>
          </cell>
          <cell r="Q190">
            <v>11</v>
          </cell>
          <cell r="R190" t="str">
            <v>973447404</v>
          </cell>
        </row>
        <row r="191">
          <cell r="O191" t="str">
            <v>Renata Reis Parra Magalhaes</v>
          </cell>
          <cell r="P191" t="str">
            <v>renata.magalhaes@allianz.com.br</v>
          </cell>
          <cell r="Q191">
            <v>11</v>
          </cell>
          <cell r="R191" t="str">
            <v>962046905</v>
          </cell>
        </row>
        <row r="192">
          <cell r="O192" t="str">
            <v>Suzi Cristina Da Silva Pietrucci</v>
          </cell>
          <cell r="P192" t="str">
            <v>-</v>
          </cell>
          <cell r="Q192" t="str">
            <v>-</v>
          </cell>
          <cell r="R192" t="str">
            <v>-</v>
          </cell>
        </row>
        <row r="193">
          <cell r="O193" t="str">
            <v>Leandro Paiva Santos</v>
          </cell>
          <cell r="P193" t="str">
            <v>leandro.santos@allianz.com.br</v>
          </cell>
          <cell r="Q193">
            <v>0</v>
          </cell>
          <cell r="R193" t="str">
            <v/>
          </cell>
        </row>
        <row r="194">
          <cell r="O194" t="str">
            <v>Talita Carrera</v>
          </cell>
          <cell r="P194" t="str">
            <v>-</v>
          </cell>
          <cell r="Q194" t="str">
            <v>-</v>
          </cell>
          <cell r="R194" t="str">
            <v>-</v>
          </cell>
        </row>
        <row r="195">
          <cell r="O195" t="str">
            <v>Claudia Stelmastchuk P Costa</v>
          </cell>
          <cell r="P195" t="str">
            <v>claudia.pires@allianz.com.br</v>
          </cell>
          <cell r="Q195">
            <v>11</v>
          </cell>
          <cell r="R195" t="str">
            <v>973446937</v>
          </cell>
        </row>
        <row r="196">
          <cell r="O196" t="str">
            <v>Luiz Guilherme D Dos Santos</v>
          </cell>
          <cell r="P196" t="str">
            <v>luiz.santos1@allianz.com.br</v>
          </cell>
          <cell r="Q196" t="str">
            <v>11</v>
          </cell>
          <cell r="R196" t="str">
            <v>973725819</v>
          </cell>
        </row>
        <row r="197">
          <cell r="O197" t="str">
            <v>Priscila Dos Santos Rubio</v>
          </cell>
          <cell r="P197" t="str">
            <v>priscila.rubio@allianz.com.br</v>
          </cell>
          <cell r="Q197" t="str">
            <v>11</v>
          </cell>
          <cell r="R197" t="str">
            <v>972246735</v>
          </cell>
        </row>
        <row r="198">
          <cell r="O198" t="str">
            <v>Rodrigo Issamu T Kuguyama</v>
          </cell>
          <cell r="P198" t="str">
            <v>rodrigo.kuguyama@allianz.com.br</v>
          </cell>
          <cell r="Q198" t="str">
            <v>11</v>
          </cell>
          <cell r="R198" t="str">
            <v>973682978</v>
          </cell>
        </row>
        <row r="199">
          <cell r="O199" t="str">
            <v>Saulo De Souza Santiago</v>
          </cell>
          <cell r="P199" t="str">
            <v>saulo.santiago@allianz.com.br</v>
          </cell>
          <cell r="Q199">
            <v>0</v>
          </cell>
          <cell r="R199" t="str">
            <v/>
          </cell>
        </row>
        <row r="200">
          <cell r="O200" t="str">
            <v>Bruna Bizarri Da Silva</v>
          </cell>
          <cell r="P200" t="str">
            <v>bruna.silva1@allianz.com.br</v>
          </cell>
          <cell r="Q200" t="str">
            <v>11</v>
          </cell>
          <cell r="R200" t="str">
            <v>942569174</v>
          </cell>
        </row>
        <row r="201">
          <cell r="O201" t="str">
            <v>Claudia Marques De Assuncao</v>
          </cell>
          <cell r="P201" t="str">
            <v>claudia.assuncao@allianz.com.br</v>
          </cell>
          <cell r="Q201" t="str">
            <v>11</v>
          </cell>
          <cell r="R201" t="str">
            <v>973295476</v>
          </cell>
        </row>
        <row r="202">
          <cell r="O202" t="str">
            <v>Diogo Luiz De Carvalho Junior</v>
          </cell>
          <cell r="P202" t="str">
            <v>diogo.junior@allianz.com.br</v>
          </cell>
          <cell r="Q202">
            <v>11</v>
          </cell>
          <cell r="R202" t="str">
            <v>941561689</v>
          </cell>
        </row>
        <row r="203">
          <cell r="O203" t="str">
            <v>Nathalie Gallego Do Carmo</v>
          </cell>
          <cell r="P203" t="str">
            <v>nathalie.carmo@allianz.com.br</v>
          </cell>
          <cell r="Q203">
            <v>0</v>
          </cell>
          <cell r="R203" t="str">
            <v/>
          </cell>
        </row>
        <row r="204">
          <cell r="O204" t="str">
            <v>Alberto Lemes De Oliveira</v>
          </cell>
          <cell r="P204" t="str">
            <v>alberto.oliveira@allianz.com.br</v>
          </cell>
          <cell r="Q204">
            <v>11</v>
          </cell>
          <cell r="R204" t="str">
            <v>971409339</v>
          </cell>
        </row>
        <row r="205">
          <cell r="O205" t="str">
            <v>Dayane De Oliveira Assis</v>
          </cell>
          <cell r="P205" t="str">
            <v>dayane.oliveira@allianz.com.br</v>
          </cell>
          <cell r="Q205" t="str">
            <v>11</v>
          </cell>
          <cell r="R205" t="str">
            <v>941621693</v>
          </cell>
        </row>
        <row r="206">
          <cell r="O206" t="str">
            <v>Karen Silvia Moraes</v>
          </cell>
          <cell r="P206" t="str">
            <v>karen.moraes@allianz.com.br</v>
          </cell>
          <cell r="Q206">
            <v>11</v>
          </cell>
          <cell r="R206" t="str">
            <v>999656934</v>
          </cell>
        </row>
        <row r="207">
          <cell r="O207" t="str">
            <v>Monica Aparecida Plassa</v>
          </cell>
          <cell r="P207" t="str">
            <v>monica.plassa@allianz.com.br</v>
          </cell>
          <cell r="Q207">
            <v>11</v>
          </cell>
          <cell r="R207" t="str">
            <v>995206801</v>
          </cell>
        </row>
        <row r="208">
          <cell r="O208" t="str">
            <v>Leticia Pitkowski</v>
          </cell>
          <cell r="P208" t="str">
            <v>-</v>
          </cell>
          <cell r="Q208" t="str">
            <v>-</v>
          </cell>
          <cell r="R208" t="str">
            <v>-</v>
          </cell>
        </row>
        <row r="209">
          <cell r="O209" t="str">
            <v>Rosana Cristina Teixeira</v>
          </cell>
          <cell r="P209" t="str">
            <v>rosana.teixeira@allianz.com.br</v>
          </cell>
          <cell r="Q209">
            <v>11</v>
          </cell>
          <cell r="R209" t="str">
            <v>999725563</v>
          </cell>
        </row>
        <row r="210">
          <cell r="O210" t="str">
            <v>Claudia Lima Do N Rodrigues</v>
          </cell>
          <cell r="P210" t="str">
            <v>claudia.rodrigues@allianz.com.br</v>
          </cell>
          <cell r="Q210" t="str">
            <v>11</v>
          </cell>
          <cell r="R210" t="str">
            <v>973285244</v>
          </cell>
        </row>
        <row r="211">
          <cell r="O211" t="str">
            <v>Deise Araujo Dos Santos</v>
          </cell>
          <cell r="P211" t="str">
            <v>deise.santos@allianz.com.br</v>
          </cell>
          <cell r="Q211" t="str">
            <v>11</v>
          </cell>
          <cell r="R211" t="str">
            <v>971451600</v>
          </cell>
        </row>
        <row r="212">
          <cell r="O212" t="str">
            <v>Danilo Penteado Ruas</v>
          </cell>
          <cell r="P212" t="str">
            <v>danilo.ruas@allianz.com.br</v>
          </cell>
          <cell r="Q212">
            <v>13</v>
          </cell>
          <cell r="R212" t="str">
            <v>997220945</v>
          </cell>
        </row>
        <row r="213">
          <cell r="O213" t="str">
            <v>Gilberto Soares De Oliveira</v>
          </cell>
          <cell r="P213" t="str">
            <v>gilberto.oliveira@allianz.com.br</v>
          </cell>
          <cell r="Q213">
            <v>11</v>
          </cell>
          <cell r="R213" t="str">
            <v>950416197</v>
          </cell>
        </row>
        <row r="214">
          <cell r="O214" t="str">
            <v>Daniele Barbosa Beck</v>
          </cell>
          <cell r="P214" t="str">
            <v>daniele.beck@allianz.com.br</v>
          </cell>
          <cell r="Q214" t="str">
            <v>11</v>
          </cell>
          <cell r="R214" t="str">
            <v>942091596</v>
          </cell>
        </row>
        <row r="215">
          <cell r="O215" t="str">
            <v>Luiz Alberto Sanchetta</v>
          </cell>
          <cell r="P215" t="str">
            <v>luiz.sanchetta@allianz.com.br</v>
          </cell>
          <cell r="Q215">
            <v>11</v>
          </cell>
          <cell r="R215" t="str">
            <v>975899617</v>
          </cell>
        </row>
        <row r="216">
          <cell r="O216" t="str">
            <v>Raphael Lisboa Duarte Callado</v>
          </cell>
          <cell r="P216" t="str">
            <v>raphael.callado@allianz.com.br</v>
          </cell>
          <cell r="Q216" t="str">
            <v>13</v>
          </cell>
          <cell r="R216" t="str">
            <v>997672593</v>
          </cell>
        </row>
        <row r="217">
          <cell r="O217" t="str">
            <v>Denys Rebelo Antipou</v>
          </cell>
          <cell r="P217" t="str">
            <v>denys.antipou@allianz.com.br</v>
          </cell>
          <cell r="Q217">
            <v>11</v>
          </cell>
          <cell r="R217" t="str">
            <v>962025155</v>
          </cell>
        </row>
        <row r="218">
          <cell r="O218" t="str">
            <v>Erica Aparecida Da Silva</v>
          </cell>
          <cell r="P218" t="str">
            <v>erica.silva@allianz.com.br</v>
          </cell>
          <cell r="Q218">
            <v>11</v>
          </cell>
          <cell r="R218" t="str">
            <v>961996147</v>
          </cell>
        </row>
        <row r="219">
          <cell r="O219" t="str">
            <v>Roberto Raposo De Medeiros</v>
          </cell>
          <cell r="P219" t="str">
            <v>roberto.medeiros@allianz.com.br</v>
          </cell>
          <cell r="Q219">
            <v>11</v>
          </cell>
          <cell r="R219" t="str">
            <v>999223857</v>
          </cell>
        </row>
        <row r="220">
          <cell r="O220" t="str">
            <v>Bruna Da S Pereira S Carneiro</v>
          </cell>
          <cell r="P220" t="str">
            <v>bruna.carneiro@allianz.com.br</v>
          </cell>
          <cell r="Q220">
            <v>11</v>
          </cell>
          <cell r="R220" t="str">
            <v>975079785</v>
          </cell>
        </row>
        <row r="221">
          <cell r="O221" t="str">
            <v>Hermival Francisco De Sousa</v>
          </cell>
          <cell r="P221" t="str">
            <v>hermival.souza@allianz.com.br</v>
          </cell>
          <cell r="Q221" t="str">
            <v>11</v>
          </cell>
          <cell r="R221" t="str">
            <v>950782429</v>
          </cell>
        </row>
        <row r="222">
          <cell r="O222" t="str">
            <v>Daniela De Sousa Carvalho</v>
          </cell>
          <cell r="P222" t="str">
            <v>daniela.carvalho@allianz.com.br</v>
          </cell>
          <cell r="Q222">
            <v>11</v>
          </cell>
          <cell r="R222" t="str">
            <v>941349884</v>
          </cell>
        </row>
        <row r="223">
          <cell r="O223" t="str">
            <v>Elaine Cristina N Sousa</v>
          </cell>
          <cell r="P223" t="str">
            <v>elaine.sousa@allianz.com.br</v>
          </cell>
          <cell r="Q223" t="str">
            <v>-</v>
          </cell>
          <cell r="R223" t="str">
            <v>-</v>
          </cell>
        </row>
        <row r="224">
          <cell r="O224" t="str">
            <v>Emilia Elizabeth De Souza Carn</v>
          </cell>
          <cell r="P224" t="str">
            <v>emilia.carneiro@allianz.com.br</v>
          </cell>
          <cell r="Q224">
            <v>11</v>
          </cell>
          <cell r="R224">
            <v>952525486</v>
          </cell>
        </row>
        <row r="225">
          <cell r="O225" t="str">
            <v>Daniela Cristina Bernardo Gois</v>
          </cell>
          <cell r="P225" t="str">
            <v>daniela.gois@allianz.com.br</v>
          </cell>
          <cell r="Q225" t="str">
            <v>11</v>
          </cell>
          <cell r="R225" t="str">
            <v>950345519</v>
          </cell>
        </row>
        <row r="226">
          <cell r="O226" t="str">
            <v>Jocineia Martins Da Silva</v>
          </cell>
          <cell r="P226" t="str">
            <v>jocineia.silva@allianz.com.br</v>
          </cell>
          <cell r="Q226">
            <v>11</v>
          </cell>
          <cell r="R226" t="str">
            <v>957370495</v>
          </cell>
        </row>
        <row r="227">
          <cell r="O227" t="str">
            <v>Maria Tania Dantas Silva</v>
          </cell>
          <cell r="P227" t="str">
            <v>mariatania.dantas@allianz.com.br</v>
          </cell>
          <cell r="Q227">
            <v>11</v>
          </cell>
          <cell r="R227" t="str">
            <v>957370678</v>
          </cell>
        </row>
        <row r="228">
          <cell r="O228" t="str">
            <v>Andrea Basilio De Farias</v>
          </cell>
          <cell r="P228" t="str">
            <v>andrea.farias1@allianz.com.br</v>
          </cell>
          <cell r="Q228">
            <v>11</v>
          </cell>
          <cell r="R228" t="str">
            <v>965511339</v>
          </cell>
        </row>
        <row r="229">
          <cell r="O229" t="str">
            <v>David Jose Da Silva</v>
          </cell>
          <cell r="P229" t="str">
            <v>david.silva2@allianz.com.br</v>
          </cell>
          <cell r="Q229">
            <v>11</v>
          </cell>
          <cell r="R229">
            <v>956187814</v>
          </cell>
        </row>
        <row r="230">
          <cell r="O230" t="str">
            <v>Rodrigo Cesar Amorim</v>
          </cell>
          <cell r="P230" t="str">
            <v>rodrigo.amorim@allianz.com.br</v>
          </cell>
          <cell r="Q230" t="str">
            <v>-</v>
          </cell>
          <cell r="R230" t="str">
            <v>-</v>
          </cell>
        </row>
        <row r="231">
          <cell r="O231" t="str">
            <v>Aparecida Andrea S Rodrigues</v>
          </cell>
          <cell r="P231" t="str">
            <v>aparecida.rodrigues@allianz.com.br</v>
          </cell>
          <cell r="Q231">
            <v>11</v>
          </cell>
          <cell r="R231">
            <v>998491641</v>
          </cell>
        </row>
        <row r="232">
          <cell r="O232" t="str">
            <v>Lilian Giuliano</v>
          </cell>
          <cell r="P232" t="str">
            <v>-</v>
          </cell>
          <cell r="Q232" t="str">
            <v>-</v>
          </cell>
          <cell r="R232" t="str">
            <v>-</v>
          </cell>
        </row>
        <row r="233">
          <cell r="O233" t="str">
            <v>Crislaine Melo</v>
          </cell>
          <cell r="P233" t="str">
            <v>-</v>
          </cell>
          <cell r="Q233" t="str">
            <v>-</v>
          </cell>
          <cell r="R233" t="str">
            <v>-</v>
          </cell>
        </row>
        <row r="234">
          <cell r="O234" t="str">
            <v>Eliana Pedroso</v>
          </cell>
          <cell r="P234" t="str">
            <v>-</v>
          </cell>
          <cell r="Q234" t="str">
            <v>-</v>
          </cell>
          <cell r="R234" t="str">
            <v>-</v>
          </cell>
        </row>
        <row r="235">
          <cell r="O235" t="str">
            <v>Marilia Martins</v>
          </cell>
          <cell r="P235" t="str">
            <v>-</v>
          </cell>
          <cell r="Q235" t="str">
            <v>-</v>
          </cell>
          <cell r="R235" t="str">
            <v>-</v>
          </cell>
        </row>
        <row r="236">
          <cell r="O236" t="str">
            <v>Daniel Lourenço</v>
          </cell>
          <cell r="P236" t="str">
            <v>-</v>
          </cell>
          <cell r="Q236" t="str">
            <v>-</v>
          </cell>
          <cell r="R236" t="str">
            <v>-</v>
          </cell>
        </row>
        <row r="237">
          <cell r="O237" t="str">
            <v>Bruno Ribas</v>
          </cell>
          <cell r="P237" t="str">
            <v>-</v>
          </cell>
          <cell r="Q237" t="str">
            <v>-</v>
          </cell>
          <cell r="R237" t="str">
            <v>-</v>
          </cell>
        </row>
        <row r="238">
          <cell r="O238" t="str">
            <v>Silvia Taschetti</v>
          </cell>
          <cell r="P238" t="str">
            <v>-</v>
          </cell>
          <cell r="Q238" t="str">
            <v>-</v>
          </cell>
          <cell r="R238" t="str">
            <v>-</v>
          </cell>
        </row>
        <row r="239">
          <cell r="O239" t="str">
            <v>Tadeu Silva</v>
          </cell>
          <cell r="P239" t="str">
            <v>-</v>
          </cell>
          <cell r="Q239" t="str">
            <v>-</v>
          </cell>
          <cell r="R239" t="str">
            <v>-</v>
          </cell>
        </row>
        <row r="240">
          <cell r="O240" t="str">
            <v>Matheus Gomes</v>
          </cell>
          <cell r="P240" t="str">
            <v>-</v>
          </cell>
          <cell r="Q240" t="str">
            <v>-</v>
          </cell>
          <cell r="R240" t="str">
            <v>-</v>
          </cell>
        </row>
        <row r="241">
          <cell r="O241" t="str">
            <v>Andreia Yukie Sato</v>
          </cell>
          <cell r="P241" t="str">
            <v>andreia.sato@allianz.com.br</v>
          </cell>
          <cell r="Q241">
            <v>19</v>
          </cell>
          <cell r="R241" t="str">
            <v>988441977</v>
          </cell>
        </row>
        <row r="242">
          <cell r="O242" t="str">
            <v>Franciele Pupim</v>
          </cell>
          <cell r="P242" t="str">
            <v>-</v>
          </cell>
          <cell r="Q242" t="str">
            <v>-</v>
          </cell>
          <cell r="R242" t="str">
            <v>-</v>
          </cell>
        </row>
        <row r="243">
          <cell r="O243" t="str">
            <v>Patricia Sylos</v>
          </cell>
          <cell r="P243" t="str">
            <v>-</v>
          </cell>
          <cell r="Q243" t="str">
            <v>-</v>
          </cell>
          <cell r="R243" t="str">
            <v>-</v>
          </cell>
        </row>
        <row r="244">
          <cell r="O244" t="str">
            <v>Renato A Lopes</v>
          </cell>
          <cell r="P244" t="str">
            <v>-</v>
          </cell>
          <cell r="Q244" t="str">
            <v>-</v>
          </cell>
          <cell r="R244" t="str">
            <v>-</v>
          </cell>
        </row>
        <row r="245">
          <cell r="O245" t="str">
            <v>Rosangela F Da Silva</v>
          </cell>
          <cell r="P245" t="str">
            <v>-</v>
          </cell>
          <cell r="Q245" t="str">
            <v>-</v>
          </cell>
          <cell r="R245" t="str">
            <v>-</v>
          </cell>
        </row>
        <row r="246">
          <cell r="O246" t="str">
            <v>Rosiane S Honorato</v>
          </cell>
          <cell r="P246" t="str">
            <v>-</v>
          </cell>
          <cell r="Q246" t="str">
            <v>-</v>
          </cell>
          <cell r="R246" t="str">
            <v>-</v>
          </cell>
        </row>
        <row r="247">
          <cell r="O247" t="str">
            <v>William Bonifacio</v>
          </cell>
          <cell r="P247" t="str">
            <v>-</v>
          </cell>
          <cell r="Q247" t="str">
            <v>-</v>
          </cell>
          <cell r="R247" t="str">
            <v>-</v>
          </cell>
        </row>
        <row r="248">
          <cell r="O248" t="str">
            <v>Kaue Pereira A Da Silva</v>
          </cell>
          <cell r="P248" t="str">
            <v>-</v>
          </cell>
          <cell r="Q248" t="str">
            <v>-</v>
          </cell>
          <cell r="R248" t="str">
            <v>-</v>
          </cell>
        </row>
        <row r="249">
          <cell r="O249" t="str">
            <v>Edirilsa Bastos</v>
          </cell>
          <cell r="P249" t="str">
            <v>-</v>
          </cell>
          <cell r="Q249" t="str">
            <v>-</v>
          </cell>
          <cell r="R249" t="str">
            <v>-</v>
          </cell>
        </row>
        <row r="250">
          <cell r="O250" t="str">
            <v>Jessica Gimenes</v>
          </cell>
          <cell r="P250" t="str">
            <v>-</v>
          </cell>
          <cell r="Q250" t="str">
            <v>-</v>
          </cell>
          <cell r="R250" t="str">
            <v>-</v>
          </cell>
        </row>
        <row r="251">
          <cell r="O251" t="str">
            <v>Rafael Petrin</v>
          </cell>
          <cell r="P251" t="str">
            <v>-</v>
          </cell>
          <cell r="Q251" t="str">
            <v>-</v>
          </cell>
          <cell r="R251" t="str">
            <v>-</v>
          </cell>
        </row>
        <row r="252">
          <cell r="O252" t="str">
            <v>Valeria M Palhares</v>
          </cell>
          <cell r="P252" t="str">
            <v>-</v>
          </cell>
          <cell r="Q252" t="str">
            <v>-</v>
          </cell>
          <cell r="R252" t="str">
            <v>-</v>
          </cell>
        </row>
        <row r="253">
          <cell r="O253" t="str">
            <v>Claudia Magalhaes</v>
          </cell>
          <cell r="P253" t="str">
            <v>-</v>
          </cell>
          <cell r="Q253" t="str">
            <v>-</v>
          </cell>
          <cell r="R253" t="str">
            <v>-</v>
          </cell>
        </row>
        <row r="254">
          <cell r="O254" t="str">
            <v>Erica Cassandre</v>
          </cell>
          <cell r="P254" t="str">
            <v>-</v>
          </cell>
          <cell r="Q254" t="str">
            <v>-</v>
          </cell>
          <cell r="R254" t="str">
            <v>-</v>
          </cell>
        </row>
        <row r="255">
          <cell r="O255" t="str">
            <v>Izabela Cuba</v>
          </cell>
          <cell r="P255" t="str">
            <v>-</v>
          </cell>
          <cell r="Q255" t="str">
            <v>-</v>
          </cell>
          <cell r="R255" t="str">
            <v>-</v>
          </cell>
        </row>
        <row r="256">
          <cell r="O256" t="str">
            <v>Ana Carolina Ribeiro</v>
          </cell>
          <cell r="P256" t="str">
            <v>-</v>
          </cell>
          <cell r="Q256" t="str">
            <v>-</v>
          </cell>
          <cell r="R256" t="str">
            <v>-</v>
          </cell>
        </row>
        <row r="257">
          <cell r="O257" t="str">
            <v>Bruno Moraes Castro</v>
          </cell>
          <cell r="P257" t="str">
            <v>bruno.castro@allianz.com.br</v>
          </cell>
          <cell r="Q257" t="str">
            <v>12</v>
          </cell>
          <cell r="R257" t="str">
            <v>996595309</v>
          </cell>
        </row>
        <row r="258">
          <cell r="O258" t="str">
            <v>Fernando Martins</v>
          </cell>
          <cell r="P258" t="str">
            <v>-</v>
          </cell>
          <cell r="Q258" t="str">
            <v>-</v>
          </cell>
          <cell r="R258" t="str">
            <v>-</v>
          </cell>
        </row>
        <row r="259">
          <cell r="O259" t="str">
            <v>VAGO</v>
          </cell>
          <cell r="P259" t="str">
            <v>-</v>
          </cell>
          <cell r="Q259" t="str">
            <v>-</v>
          </cell>
          <cell r="R259" t="str">
            <v>-</v>
          </cell>
        </row>
        <row r="260">
          <cell r="O260" t="str">
            <v>Priscila Pontes De Assis</v>
          </cell>
          <cell r="P260" t="str">
            <v>-</v>
          </cell>
          <cell r="Q260" t="str">
            <v>-</v>
          </cell>
          <cell r="R260" t="str">
            <v>-</v>
          </cell>
        </row>
        <row r="261">
          <cell r="O261" t="str">
            <v>Allan C Soares</v>
          </cell>
          <cell r="P261" t="str">
            <v>-</v>
          </cell>
          <cell r="Q261" t="str">
            <v>-</v>
          </cell>
          <cell r="R261" t="str">
            <v>-</v>
          </cell>
        </row>
        <row r="262">
          <cell r="O262" t="str">
            <v>Sonia Bortoleto</v>
          </cell>
          <cell r="P262" t="str">
            <v>-</v>
          </cell>
          <cell r="Q262" t="str">
            <v>-</v>
          </cell>
          <cell r="R262" t="str">
            <v>-</v>
          </cell>
        </row>
        <row r="263">
          <cell r="O263" t="str">
            <v>Tatiana G Monis</v>
          </cell>
          <cell r="P263" t="str">
            <v>-</v>
          </cell>
          <cell r="Q263" t="str">
            <v>-</v>
          </cell>
          <cell r="R263" t="str">
            <v>-</v>
          </cell>
        </row>
        <row r="264">
          <cell r="O264" t="str">
            <v>Vanessa Penatti</v>
          </cell>
          <cell r="P264" t="str">
            <v>-</v>
          </cell>
          <cell r="Q264" t="str">
            <v>-</v>
          </cell>
          <cell r="R264" t="str">
            <v>-</v>
          </cell>
        </row>
        <row r="265">
          <cell r="O265" t="str">
            <v>Mary Hellen C Leme</v>
          </cell>
          <cell r="P265" t="str">
            <v>-</v>
          </cell>
          <cell r="Q265" t="str">
            <v>-</v>
          </cell>
          <cell r="R265" t="str">
            <v>-</v>
          </cell>
        </row>
        <row r="266">
          <cell r="O266" t="str">
            <v>Cleyciane Roberta Da Silva</v>
          </cell>
          <cell r="P266" t="str">
            <v>cleyciane.silva@allianz.com.br</v>
          </cell>
          <cell r="Q266">
            <v>15</v>
          </cell>
          <cell r="R266" t="str">
            <v>997117329</v>
          </cell>
        </row>
        <row r="267">
          <cell r="O267" t="str">
            <v>Priscila R C Sant´Ana</v>
          </cell>
          <cell r="P267" t="str">
            <v>-</v>
          </cell>
          <cell r="Q267" t="str">
            <v>-</v>
          </cell>
          <cell r="R267" t="str">
            <v>-</v>
          </cell>
        </row>
        <row r="268">
          <cell r="O268" t="str">
            <v>Elisangela B Oliveira</v>
          </cell>
          <cell r="P268" t="str">
            <v>elisangela.oliveira@allianz.com.br </v>
          </cell>
          <cell r="Q268">
            <v>19</v>
          </cell>
          <cell r="R268">
            <v>999325375</v>
          </cell>
        </row>
        <row r="269">
          <cell r="O269" t="str">
            <v>Lidiane Cristina Bronze Correa</v>
          </cell>
          <cell r="P269" t="str">
            <v>-</v>
          </cell>
          <cell r="Q269" t="str">
            <v>-</v>
          </cell>
          <cell r="R269" t="str">
            <v>-</v>
          </cell>
        </row>
        <row r="270">
          <cell r="O270" t="str">
            <v>Daniela Gui</v>
          </cell>
          <cell r="P270" t="str">
            <v>-</v>
          </cell>
          <cell r="Q270" t="str">
            <v>-</v>
          </cell>
          <cell r="R270" t="str">
            <v>-</v>
          </cell>
        </row>
        <row r="271">
          <cell r="O271" t="str">
            <v>Renata Matheus</v>
          </cell>
          <cell r="P271" t="str">
            <v>renata.matheus@allianz.com.br</v>
          </cell>
          <cell r="Q271">
            <v>11</v>
          </cell>
          <cell r="R271" t="str">
            <v>973262057</v>
          </cell>
        </row>
        <row r="272">
          <cell r="O272" t="str">
            <v>Gisele Mazzucco</v>
          </cell>
          <cell r="P272" t="str">
            <v>gisele.mazzucco@allianz.com.br </v>
          </cell>
          <cell r="Q272">
            <v>11</v>
          </cell>
          <cell r="R272">
            <v>975255974</v>
          </cell>
        </row>
        <row r="273">
          <cell r="O273" t="str">
            <v>Juliana Assis</v>
          </cell>
          <cell r="P273" t="str">
            <v>juliana.assis@allianz.com.br </v>
          </cell>
          <cell r="Q273">
            <v>12</v>
          </cell>
          <cell r="R273">
            <v>988773282</v>
          </cell>
        </row>
        <row r="274">
          <cell r="O274" t="str">
            <v>Juliana Diniz</v>
          </cell>
          <cell r="P274" t="str">
            <v>-</v>
          </cell>
          <cell r="Q274" t="str">
            <v>-</v>
          </cell>
          <cell r="R274" t="str">
            <v>-</v>
          </cell>
        </row>
        <row r="275">
          <cell r="O275" t="str">
            <v>Samantha Beatriz da Silva</v>
          </cell>
          <cell r="P275" t="str">
            <v>-</v>
          </cell>
          <cell r="Q275" t="str">
            <v>-</v>
          </cell>
          <cell r="R275" t="str">
            <v>-</v>
          </cell>
        </row>
        <row r="276">
          <cell r="O276" t="str">
            <v>William Rosa</v>
          </cell>
          <cell r="P276" t="str">
            <v>-</v>
          </cell>
          <cell r="Q276" t="str">
            <v>-</v>
          </cell>
          <cell r="R276" t="str">
            <v>-</v>
          </cell>
        </row>
        <row r="277">
          <cell r="O277" t="str">
            <v>Monica Betoni</v>
          </cell>
          <cell r="P277" t="str">
            <v>-</v>
          </cell>
          <cell r="Q277" t="str">
            <v>-</v>
          </cell>
          <cell r="R277" t="str">
            <v>-</v>
          </cell>
        </row>
        <row r="278">
          <cell r="O278" t="str">
            <v>Joao Fernandes</v>
          </cell>
          <cell r="P278" t="str">
            <v>joao.fernandes@allianz.com.br </v>
          </cell>
          <cell r="Q278">
            <v>14</v>
          </cell>
          <cell r="R278">
            <v>997949229</v>
          </cell>
        </row>
        <row r="279">
          <cell r="O279" t="str">
            <v>Priscylla Facim</v>
          </cell>
          <cell r="P279" t="str">
            <v>-</v>
          </cell>
          <cell r="Q279" t="str">
            <v>-</v>
          </cell>
          <cell r="R279" t="str">
            <v>-</v>
          </cell>
        </row>
        <row r="280">
          <cell r="O280" t="str">
            <v>Bruna Teixeira</v>
          </cell>
          <cell r="P280" t="str">
            <v>-</v>
          </cell>
          <cell r="Q280" t="str">
            <v>-</v>
          </cell>
          <cell r="R280" t="str">
            <v>-</v>
          </cell>
        </row>
        <row r="281">
          <cell r="O281" t="str">
            <v>Daniele Silva</v>
          </cell>
          <cell r="P281" t="str">
            <v>-</v>
          </cell>
          <cell r="Q281" t="str">
            <v>-</v>
          </cell>
          <cell r="R281" t="str">
            <v>-</v>
          </cell>
        </row>
        <row r="282">
          <cell r="O282" t="str">
            <v>Debora Sanches</v>
          </cell>
          <cell r="P282" t="str">
            <v>-</v>
          </cell>
          <cell r="Q282" t="str">
            <v>-</v>
          </cell>
          <cell r="R282" t="str">
            <v>-</v>
          </cell>
        </row>
        <row r="283">
          <cell r="O283" t="str">
            <v>Danielle Rodrigues Budziak</v>
          </cell>
          <cell r="P283" t="str">
            <v>danielle.budziak@allianz.com.br</v>
          </cell>
          <cell r="Q283">
            <v>47</v>
          </cell>
          <cell r="R283" t="str">
            <v>992266935</v>
          </cell>
        </row>
        <row r="284">
          <cell r="O284" t="str">
            <v xml:space="preserve">Lisiane Helena Da Silva </v>
          </cell>
          <cell r="P284" t="str">
            <v>-</v>
          </cell>
          <cell r="Q284" t="str">
            <v>-</v>
          </cell>
          <cell r="R284" t="str">
            <v>-</v>
          </cell>
        </row>
        <row r="285">
          <cell r="O285" t="str">
            <v xml:space="preserve">Rubiane Dos Santos Bendlin </v>
          </cell>
          <cell r="P285" t="str">
            <v>-</v>
          </cell>
          <cell r="Q285" t="str">
            <v>-</v>
          </cell>
          <cell r="R285" t="str">
            <v>-</v>
          </cell>
        </row>
        <row r="286">
          <cell r="O286" t="str">
            <v xml:space="preserve">Irene Gisela Gorisch Rosa </v>
          </cell>
          <cell r="P286" t="str">
            <v>-</v>
          </cell>
          <cell r="Q286" t="str">
            <v>-</v>
          </cell>
          <cell r="R286" t="str">
            <v>-</v>
          </cell>
        </row>
        <row r="287">
          <cell r="O287" t="str">
            <v>Tatiana Wan Dall Viviani</v>
          </cell>
          <cell r="P287" t="str">
            <v>tatiana.viviani@allianz.com.br</v>
          </cell>
          <cell r="Q287">
            <v>47</v>
          </cell>
          <cell r="R287">
            <v>991870498</v>
          </cell>
        </row>
        <row r="288">
          <cell r="O288" t="str">
            <v xml:space="preserve">Luiz Henrique Inocente </v>
          </cell>
          <cell r="P288" t="str">
            <v>-</v>
          </cell>
          <cell r="Q288" t="str">
            <v>-</v>
          </cell>
          <cell r="R288" t="str">
            <v>-</v>
          </cell>
        </row>
        <row r="289">
          <cell r="O289" t="str">
            <v>Thaís Tardin Pessoto</v>
          </cell>
          <cell r="P289" t="str">
            <v>-</v>
          </cell>
          <cell r="Q289" t="str">
            <v>-</v>
          </cell>
          <cell r="R289" t="str">
            <v>-</v>
          </cell>
        </row>
        <row r="290">
          <cell r="O290" t="str">
            <v>Marcella Carraro</v>
          </cell>
          <cell r="P290" t="str">
            <v>-</v>
          </cell>
          <cell r="Q290" t="str">
            <v>-</v>
          </cell>
          <cell r="R290" t="str">
            <v>-</v>
          </cell>
        </row>
        <row r="291">
          <cell r="O291" t="str">
            <v>Samuel Martins</v>
          </cell>
          <cell r="P291" t="str">
            <v>samuel.martins@allianz.com.br</v>
          </cell>
          <cell r="Q291" t="str">
            <v>43</v>
          </cell>
          <cell r="R291" t="str">
            <v>991735827</v>
          </cell>
        </row>
        <row r="292">
          <cell r="O292" t="str">
            <v>Sandro Francisquini</v>
          </cell>
          <cell r="P292" t="str">
            <v>-</v>
          </cell>
          <cell r="Q292" t="str">
            <v>-</v>
          </cell>
          <cell r="R292" t="str">
            <v>-</v>
          </cell>
        </row>
        <row r="293">
          <cell r="O293" t="str">
            <v>Jessika Pazin</v>
          </cell>
          <cell r="P293" t="str">
            <v>jessika.pazin@allianz.com.br </v>
          </cell>
          <cell r="Q293">
            <v>44</v>
          </cell>
          <cell r="R293">
            <v>991343281</v>
          </cell>
        </row>
        <row r="294">
          <cell r="O294" t="str">
            <v>Mariana Dolence</v>
          </cell>
          <cell r="P294" t="str">
            <v>-</v>
          </cell>
          <cell r="Q294" t="str">
            <v>-</v>
          </cell>
          <cell r="R294" t="str">
            <v>-</v>
          </cell>
        </row>
        <row r="295">
          <cell r="O295" t="str">
            <v>Jaciely Muniz Dias</v>
          </cell>
          <cell r="P295" t="str">
            <v>jaciely.dias@allianz.com.br</v>
          </cell>
          <cell r="Q295">
            <v>0</v>
          </cell>
          <cell r="R295" t="str">
            <v/>
          </cell>
        </row>
        <row r="296">
          <cell r="O296" t="str">
            <v>Claudia Cristina Cruz Ribeiro</v>
          </cell>
          <cell r="P296" t="str">
            <v>claudia.ribeiro@allianz.com.br</v>
          </cell>
          <cell r="Q296" t="str">
            <v>41</v>
          </cell>
          <cell r="R296" t="str">
            <v>991978795</v>
          </cell>
        </row>
        <row r="297">
          <cell r="O297" t="str">
            <v>Thais Zem M De Oliveira</v>
          </cell>
          <cell r="P297" t="str">
            <v>thais.oliveira@allianz.com.br</v>
          </cell>
          <cell r="Q297">
            <v>0</v>
          </cell>
          <cell r="R297" t="str">
            <v/>
          </cell>
        </row>
        <row r="298">
          <cell r="O298" t="str">
            <v>Raquel Pozza Sech</v>
          </cell>
          <cell r="P298" t="str">
            <v>raquel.sech@allianz.com.br</v>
          </cell>
          <cell r="Q298" t="str">
            <v>41</v>
          </cell>
          <cell r="R298" t="str">
            <v>992361731</v>
          </cell>
        </row>
        <row r="299">
          <cell r="O299" t="str">
            <v>Ana Carla De Arruda</v>
          </cell>
          <cell r="P299" t="str">
            <v>ana.arruda@allianz.com.br</v>
          </cell>
          <cell r="Q299">
            <v>41</v>
          </cell>
          <cell r="R299" t="str">
            <v>991292450</v>
          </cell>
        </row>
        <row r="300">
          <cell r="O300" t="str">
            <v>Daniel Anderson Iarrocheski</v>
          </cell>
          <cell r="P300" t="str">
            <v>daniel.iarrocheski@allianz.com.br</v>
          </cell>
          <cell r="Q300">
            <v>41</v>
          </cell>
          <cell r="R300" t="str">
            <v>992779314</v>
          </cell>
        </row>
        <row r="301">
          <cell r="O301" t="str">
            <v>Eduardo Luiz Olicshevis</v>
          </cell>
          <cell r="P301" t="str">
            <v>eduardo.olicshevis@allianz.com.br</v>
          </cell>
          <cell r="Q301">
            <v>41</v>
          </cell>
          <cell r="R301" t="str">
            <v>991027829</v>
          </cell>
        </row>
        <row r="302">
          <cell r="O302" t="str">
            <v>Daniela Nunes Leal</v>
          </cell>
          <cell r="P302" t="str">
            <v>daniela.leal@allianz.com.br</v>
          </cell>
          <cell r="Q302">
            <v>51</v>
          </cell>
          <cell r="R302" t="str">
            <v>986323544</v>
          </cell>
        </row>
        <row r="303">
          <cell r="O303" t="str">
            <v>Fausto Dos Reis</v>
          </cell>
          <cell r="P303" t="str">
            <v>fausto.reis@allianz.com.br</v>
          </cell>
          <cell r="Q303" t="str">
            <v>51</v>
          </cell>
          <cell r="R303" t="str">
            <v>995485195</v>
          </cell>
        </row>
        <row r="304">
          <cell r="O304" t="str">
            <v>Úrsula Aranha Baldi Horlle</v>
          </cell>
          <cell r="P304" t="str">
            <v>-</v>
          </cell>
          <cell r="Q304" t="str">
            <v>-</v>
          </cell>
          <cell r="R304" t="str">
            <v>-</v>
          </cell>
        </row>
        <row r="305">
          <cell r="O305" t="str">
            <v>Adriana Brasil</v>
          </cell>
          <cell r="P305" t="str">
            <v>-</v>
          </cell>
          <cell r="Q305" t="str">
            <v>-</v>
          </cell>
          <cell r="R305" t="str">
            <v>-</v>
          </cell>
        </row>
        <row r="306">
          <cell r="O306" t="str">
            <v>William Da Silva Bichet</v>
          </cell>
          <cell r="P306" t="str">
            <v>william.bichet@allianz.com.br</v>
          </cell>
          <cell r="Q306">
            <v>51</v>
          </cell>
          <cell r="R306" t="str">
            <v>996389369</v>
          </cell>
        </row>
        <row r="307">
          <cell r="O307" t="str">
            <v>Jose Feijó Das Neves</v>
          </cell>
          <cell r="P307" t="str">
            <v>-</v>
          </cell>
          <cell r="Q307" t="str">
            <v>-</v>
          </cell>
          <cell r="R307" t="str">
            <v>-</v>
          </cell>
        </row>
        <row r="308">
          <cell r="O308" t="str">
            <v>Carla Vieira Ventura</v>
          </cell>
          <cell r="P308" t="str">
            <v>carla.ventura@allianz.com.br</v>
          </cell>
          <cell r="Q308" t="str">
            <v>48</v>
          </cell>
          <cell r="R308" t="str">
            <v>991322056</v>
          </cell>
        </row>
        <row r="309">
          <cell r="O309" t="str">
            <v>Caroline Wojciechowski</v>
          </cell>
          <cell r="P309" t="str">
            <v>caroline.wojciechowski@allianz.com.br</v>
          </cell>
          <cell r="Q309">
            <v>47</v>
          </cell>
          <cell r="R309" t="str">
            <v>991762653</v>
          </cell>
        </row>
        <row r="310">
          <cell r="O310" t="str">
            <v>Gisele De Fatima Cardoso</v>
          </cell>
          <cell r="P310" t="str">
            <v>gisele.cardoso1@allianz.com.br</v>
          </cell>
          <cell r="Q310">
            <v>0</v>
          </cell>
          <cell r="R310" t="str">
            <v/>
          </cell>
        </row>
        <row r="311">
          <cell r="O311" t="str">
            <v>Wagner De Oliveira Simon</v>
          </cell>
          <cell r="P311" t="str">
            <v>wagner.simon@allianz.com.br</v>
          </cell>
          <cell r="Q311">
            <v>48</v>
          </cell>
          <cell r="R311" t="str">
            <v>984972369</v>
          </cell>
        </row>
        <row r="312">
          <cell r="O312" t="str">
            <v>Isabel Cit</v>
          </cell>
          <cell r="P312" t="str">
            <v>-</v>
          </cell>
          <cell r="Q312" t="str">
            <v>-</v>
          </cell>
          <cell r="R312" t="str">
            <v>-</v>
          </cell>
        </row>
        <row r="313">
          <cell r="O313" t="str">
            <v>Nilcea Silva</v>
          </cell>
          <cell r="P313" t="str">
            <v>nilcea.silva@allianz.com.br </v>
          </cell>
          <cell r="Q313">
            <v>41</v>
          </cell>
          <cell r="R313">
            <v>992224589</v>
          </cell>
        </row>
        <row r="314">
          <cell r="O314" t="str">
            <v>Andre De Lima</v>
          </cell>
          <cell r="P314" t="str">
            <v>andre.lima@allianz.com.br</v>
          </cell>
          <cell r="Q314" t="str">
            <v>-</v>
          </cell>
          <cell r="R314" t="str">
            <v/>
          </cell>
        </row>
        <row r="315">
          <cell r="O315" t="str">
            <v xml:space="preserve">Fernanda Silva </v>
          </cell>
          <cell r="P315" t="str">
            <v>fernanda.silva@allianz.com.br </v>
          </cell>
          <cell r="Q315">
            <v>48</v>
          </cell>
          <cell r="R315">
            <v>991892944</v>
          </cell>
        </row>
        <row r="316">
          <cell r="O316" t="str">
            <v>Franciele Becker</v>
          </cell>
          <cell r="P316" t="str">
            <v>-</v>
          </cell>
          <cell r="Q316" t="str">
            <v>-</v>
          </cell>
          <cell r="R316" t="str">
            <v>-</v>
          </cell>
        </row>
        <row r="317">
          <cell r="O317" t="str">
            <v xml:space="preserve">Andreia Brixner </v>
          </cell>
          <cell r="P317" t="str">
            <v>-</v>
          </cell>
          <cell r="Q317" t="str">
            <v>-</v>
          </cell>
          <cell r="R317" t="str">
            <v>-</v>
          </cell>
        </row>
        <row r="318">
          <cell r="O318" t="str">
            <v xml:space="preserve">Gessica Silva </v>
          </cell>
          <cell r="P318" t="str">
            <v>-</v>
          </cell>
          <cell r="Q318" t="str">
            <v>-</v>
          </cell>
          <cell r="R318" t="str">
            <v>-</v>
          </cell>
        </row>
        <row r="319">
          <cell r="O319" t="str">
            <v>Marcia Andreatti</v>
          </cell>
          <cell r="P319" t="str">
            <v>-</v>
          </cell>
          <cell r="Q319" t="str">
            <v>-</v>
          </cell>
          <cell r="R319" t="str">
            <v>-</v>
          </cell>
        </row>
        <row r="320">
          <cell r="O320" t="str">
            <v>Clarissa Pacheco Cavalli</v>
          </cell>
          <cell r="P320" t="str">
            <v>clarissa.cavalli@allianz.com.br</v>
          </cell>
          <cell r="Q320">
            <v>0</v>
          </cell>
          <cell r="R320" t="str">
            <v/>
          </cell>
        </row>
        <row r="321">
          <cell r="O321" t="str">
            <v>Daniele De Oliveira</v>
          </cell>
          <cell r="P321" t="str">
            <v>daniele.oliveira@allianz.com.br</v>
          </cell>
          <cell r="Q321" t="str">
            <v>54</v>
          </cell>
          <cell r="R321" t="str">
            <v>996197819</v>
          </cell>
        </row>
        <row r="322">
          <cell r="O322" t="str">
            <v>Letícia Cattuzzo</v>
          </cell>
          <cell r="P322" t="str">
            <v>-</v>
          </cell>
          <cell r="Q322" t="str">
            <v>-</v>
          </cell>
          <cell r="R322" t="str">
            <v>-</v>
          </cell>
        </row>
        <row r="323">
          <cell r="O323" t="str">
            <v>Jaqueline Cristiane Mann Rissi</v>
          </cell>
          <cell r="P323" t="str">
            <v>jaqueline.rissi@allianz.com.br</v>
          </cell>
          <cell r="Q323">
            <v>51</v>
          </cell>
          <cell r="R323" t="str">
            <v>984004956</v>
          </cell>
        </row>
        <row r="324">
          <cell r="O324" t="str">
            <v>Andrea Mousquer Farias</v>
          </cell>
          <cell r="P324" t="str">
            <v>andrea.farias@allianz.com.br</v>
          </cell>
          <cell r="Q324" t="str">
            <v>55</v>
          </cell>
          <cell r="R324" t="str">
            <v>996024765</v>
          </cell>
        </row>
        <row r="325">
          <cell r="O325" t="str">
            <v>Bruna Gnoatto Moi</v>
          </cell>
          <cell r="P325" t="str">
            <v>bruna.moi@allianz.com.br</v>
          </cell>
          <cell r="Q325">
            <v>54</v>
          </cell>
          <cell r="R325" t="str">
            <v>999204502</v>
          </cell>
        </row>
        <row r="326">
          <cell r="O326" t="str">
            <v>Gustavo Tassi</v>
          </cell>
          <cell r="P326" t="str">
            <v>-</v>
          </cell>
          <cell r="Q326" t="str">
            <v>-</v>
          </cell>
          <cell r="R326" t="str">
            <v>-</v>
          </cell>
        </row>
        <row r="327">
          <cell r="O327" t="str">
            <v>Caroline Liell</v>
          </cell>
          <cell r="P327" t="str">
            <v>-</v>
          </cell>
          <cell r="Q327" t="str">
            <v>-</v>
          </cell>
          <cell r="R327" t="str">
            <v>-</v>
          </cell>
        </row>
        <row r="328">
          <cell r="O328" t="str">
            <v>Leonardo Fernandez Dache</v>
          </cell>
          <cell r="P328" t="str">
            <v>leonardo.dache@allianz.com.br</v>
          </cell>
          <cell r="Q328" t="str">
            <v>55</v>
          </cell>
          <cell r="R328" t="str">
            <v>996307106</v>
          </cell>
        </row>
        <row r="329">
          <cell r="O329" t="str">
            <v>Alan Floss Peter</v>
          </cell>
          <cell r="P329" t="str">
            <v>alan.peter@allianz.com.br</v>
          </cell>
          <cell r="Q329">
            <v>49</v>
          </cell>
          <cell r="R329" t="str">
            <v>991334982</v>
          </cell>
        </row>
        <row r="330">
          <cell r="O330" t="str">
            <v>Douglas Follmann Da Costa Pereira</v>
          </cell>
          <cell r="P330" t="str">
            <v>-</v>
          </cell>
          <cell r="Q330" t="str">
            <v>-</v>
          </cell>
          <cell r="R330" t="str">
            <v>-</v>
          </cell>
        </row>
        <row r="331">
          <cell r="O331" t="str">
            <v>Viviane Carem Corbari</v>
          </cell>
          <cell r="P331" t="str">
            <v>viviane.corbari@allianz.com.br</v>
          </cell>
          <cell r="Q331" t="str">
            <v>49</v>
          </cell>
          <cell r="R331" t="str">
            <v>991428614</v>
          </cell>
        </row>
        <row r="332">
          <cell r="O332" t="str">
            <v>João Augusto Debortolli</v>
          </cell>
          <cell r="P332" t="str">
            <v>-</v>
          </cell>
          <cell r="Q332" t="str">
            <v>-</v>
          </cell>
          <cell r="R332" t="str">
            <v>-</v>
          </cell>
        </row>
        <row r="333">
          <cell r="O333" t="str">
            <v>Fabiane Alessi</v>
          </cell>
          <cell r="P333" t="str">
            <v>fabiane.alessi@allianz.com.br</v>
          </cell>
          <cell r="Q333">
            <v>49</v>
          </cell>
          <cell r="R333" t="str">
            <v>991965900</v>
          </cell>
        </row>
        <row r="334">
          <cell r="O334" t="str">
            <v xml:space="preserve">Aline Milena Carpes </v>
          </cell>
          <cell r="P334" t="str">
            <v>-</v>
          </cell>
          <cell r="Q334" t="str">
            <v>-</v>
          </cell>
          <cell r="R334" t="str">
            <v>-</v>
          </cell>
        </row>
        <row r="335">
          <cell r="O335" t="str">
            <v>Bruno Teixeira Da Rosa</v>
          </cell>
          <cell r="P335" t="str">
            <v>bruno.rosa@allianz.com.br</v>
          </cell>
          <cell r="Q335">
            <v>51</v>
          </cell>
          <cell r="R335" t="str">
            <v>995696771</v>
          </cell>
        </row>
        <row r="336">
          <cell r="O336" t="str">
            <v xml:space="preserve">Daiane Rolin Soares </v>
          </cell>
          <cell r="P336" t="str">
            <v>-</v>
          </cell>
          <cell r="Q336" t="str">
            <v>-</v>
          </cell>
          <cell r="R336" t="str">
            <v>-</v>
          </cell>
        </row>
        <row r="337">
          <cell r="O337" t="str">
            <v>Karen Viviane Brito De Oliveira</v>
          </cell>
          <cell r="P337" t="str">
            <v xml:space="preserve">karen.oliveira@allianz.com.br </v>
          </cell>
          <cell r="Q337">
            <v>51</v>
          </cell>
          <cell r="R337" t="str">
            <v>993774197</v>
          </cell>
        </row>
        <row r="338">
          <cell r="O338" t="str">
            <v>Andreia Avancini Cardias</v>
          </cell>
          <cell r="P338" t="str">
            <v>andreia.cardias@allianz.com.br</v>
          </cell>
          <cell r="Q338">
            <v>51</v>
          </cell>
          <cell r="R338" t="str">
            <v>980364469</v>
          </cell>
        </row>
        <row r="339">
          <cell r="O339" t="str">
            <v>Fernanda Da Costa Carneiro</v>
          </cell>
          <cell r="P339" t="str">
            <v>fernanda.carneiro@allianz.com.br</v>
          </cell>
          <cell r="Q339">
            <v>51</v>
          </cell>
          <cell r="R339" t="str">
            <v>995817848</v>
          </cell>
        </row>
        <row r="340">
          <cell r="O340" t="str">
            <v>Cristiane M Konrad</v>
          </cell>
          <cell r="P340" t="str">
            <v>-</v>
          </cell>
          <cell r="Q340" t="str">
            <v>-</v>
          </cell>
          <cell r="R340" t="str">
            <v>-</v>
          </cell>
        </row>
        <row r="341">
          <cell r="O341" t="str">
            <v>Maicon Rafagnin</v>
          </cell>
          <cell r="P341" t="str">
            <v>-</v>
          </cell>
          <cell r="Q341" t="str">
            <v>-</v>
          </cell>
          <cell r="R341" t="str">
            <v>-</v>
          </cell>
        </row>
        <row r="342">
          <cell r="O342" t="str">
            <v>Rodrigo Nascimento</v>
          </cell>
          <cell r="P342" t="str">
            <v>rodrigo.nascimento@allianz.com.br</v>
          </cell>
          <cell r="Q342">
            <v>45</v>
          </cell>
          <cell r="R342" t="str">
            <v>991131683</v>
          </cell>
        </row>
        <row r="343">
          <cell r="O343" t="str">
            <v>Carla Z Nascimento</v>
          </cell>
          <cell r="P343" t="str">
            <v>-</v>
          </cell>
          <cell r="Q343" t="str">
            <v>-</v>
          </cell>
          <cell r="R343" t="str">
            <v>-</v>
          </cell>
        </row>
        <row r="344">
          <cell r="O344" t="str">
            <v>Pedro Lima</v>
          </cell>
          <cell r="P344" t="str">
            <v>-</v>
          </cell>
          <cell r="Q344" t="str">
            <v>-</v>
          </cell>
          <cell r="R344" t="str">
            <v>-</v>
          </cell>
        </row>
        <row r="345">
          <cell r="O345" t="str">
            <v>FÁBIO DAMASCENO RIBEIRO</v>
          </cell>
          <cell r="P345" t="str">
            <v xml:space="preserve"> fabio.ribeiro@allianz.com.br </v>
          </cell>
          <cell r="Q345">
            <v>35</v>
          </cell>
          <cell r="R345">
            <v>998206851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VIDA.RESIDENCIA@BRAGATOSEGUROS.COM.BR," TargetMode="External"/><Relationship Id="rId13" Type="http://schemas.openxmlformats.org/officeDocument/2006/relationships/hyperlink" Target="mailto:ALINE@MARONICORRETORA.COM.BR," TargetMode="External"/><Relationship Id="rId18" Type="http://schemas.openxmlformats.org/officeDocument/2006/relationships/vmlDrawing" Target="../drawings/vmlDrawing1.vml"/><Relationship Id="rId3" Type="http://schemas.openxmlformats.org/officeDocument/2006/relationships/hyperlink" Target="mailto:RAFAELMELLO.WORK@GMAIL.COM," TargetMode="External"/><Relationship Id="rId7" Type="http://schemas.openxmlformats.org/officeDocument/2006/relationships/hyperlink" Target="mailto:PATRICIA.PASASEGUROS@GMAIL.COM," TargetMode="External"/><Relationship Id="rId12" Type="http://schemas.openxmlformats.org/officeDocument/2006/relationships/hyperlink" Target="mailto:BRUNOMIGUELGUIMARAES@OUTLOOK.COM.BR," TargetMode="External"/><Relationship Id="rId17" Type="http://schemas.openxmlformats.org/officeDocument/2006/relationships/hyperlink" Target="mailto:VITORIACORTOLEDO@HOTMAIL.COM,andreia.cardias@allianz.com.br" TargetMode="External"/><Relationship Id="rId2" Type="http://schemas.openxmlformats.org/officeDocument/2006/relationships/hyperlink" Target="mailto:ELO@ELOFINANCE.COM.BR," TargetMode="External"/><Relationship Id="rId16" Type="http://schemas.openxmlformats.org/officeDocument/2006/relationships/hyperlink" Target="mailto:CORRETORAMIDAS@GMAIL.COM,nilcea.silva@allianz.com.br" TargetMode="External"/><Relationship Id="rId1" Type="http://schemas.openxmlformats.org/officeDocument/2006/relationships/hyperlink" Target="mailto:EFLENHARO@GMAIL.COM," TargetMode="External"/><Relationship Id="rId6" Type="http://schemas.openxmlformats.org/officeDocument/2006/relationships/hyperlink" Target="mailto:CORRETORA.BERTUCCI@GMAIL.COM," TargetMode="External"/><Relationship Id="rId11" Type="http://schemas.openxmlformats.org/officeDocument/2006/relationships/hyperlink" Target="mailto:THIAGOVICO15@GMAIL.COM," TargetMode="External"/><Relationship Id="rId5" Type="http://schemas.openxmlformats.org/officeDocument/2006/relationships/hyperlink" Target="mailto:LIGIA@MMGUIMARAES.COM.BR," TargetMode="External"/><Relationship Id="rId15" Type="http://schemas.openxmlformats.org/officeDocument/2006/relationships/hyperlink" Target="mailto:CONFIANZACORRETORA01@GMAIL.COM,andrea.farias1@allianz.com.br" TargetMode="External"/><Relationship Id="rId10" Type="http://schemas.openxmlformats.org/officeDocument/2006/relationships/hyperlink" Target="mailto:CATULO@CRCSEGUROS.COM.BR," TargetMode="External"/><Relationship Id="rId19" Type="http://schemas.openxmlformats.org/officeDocument/2006/relationships/comments" Target="../comments1.xml"/><Relationship Id="rId4" Type="http://schemas.openxmlformats.org/officeDocument/2006/relationships/hyperlink" Target="mailto:DIEGO@ATUSSEGUROS.COM.BR," TargetMode="External"/><Relationship Id="rId9" Type="http://schemas.openxmlformats.org/officeDocument/2006/relationships/hyperlink" Target="mailto:XRAVSEGUROSEIMOVEIS@GMAIL.COM," TargetMode="External"/><Relationship Id="rId14" Type="http://schemas.openxmlformats.org/officeDocument/2006/relationships/hyperlink" Target="mailto:ANAPOLISCORRETORA@GMAIL.COM,luciene.fernandes@allianz.com.b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01841-88F6-49BB-91E2-6C0A93264B24}">
  <dimension ref="A1:S37"/>
  <sheetViews>
    <sheetView tabSelected="1" zoomScale="80" zoomScaleNormal="80" workbookViewId="0">
      <selection activeCell="A2" sqref="A2"/>
    </sheetView>
  </sheetViews>
  <sheetFormatPr defaultRowHeight="12.75" x14ac:dyDescent="0.2"/>
  <cols>
    <col min="1" max="1" width="12.140625" customWidth="1"/>
    <col min="2" max="2" width="17.42578125" customWidth="1"/>
    <col min="3" max="3" width="74.85546875" bestFit="1" customWidth="1"/>
    <col min="4" max="4" width="71.85546875" bestFit="1" customWidth="1"/>
    <col min="5" max="5" width="5.7109375" customWidth="1"/>
    <col min="6" max="6" width="10.85546875" bestFit="1" customWidth="1"/>
    <col min="7" max="7" width="11.5703125" customWidth="1"/>
    <col min="8" max="8" width="17" customWidth="1"/>
    <col min="9" max="9" width="6" customWidth="1"/>
    <col min="10" max="10" width="11.7109375" customWidth="1"/>
    <col min="11" max="11" width="6.5703125" customWidth="1"/>
    <col min="12" max="13" width="11" customWidth="1"/>
    <col min="14" max="14" width="33.85546875" bestFit="1" customWidth="1"/>
    <col min="15" max="15" width="31.42578125" bestFit="1" customWidth="1"/>
    <col min="16" max="16" width="6.85546875" customWidth="1"/>
    <col min="17" max="17" width="14" customWidth="1"/>
    <col min="18" max="18" width="5.7109375" bestFit="1" customWidth="1"/>
    <col min="19" max="19" width="4.140625" bestFit="1" customWidth="1"/>
  </cols>
  <sheetData>
    <row r="1" spans="1:19" ht="15" x14ac:dyDescent="0.25">
      <c r="A1" s="2" t="s">
        <v>0</v>
      </c>
      <c r="B1" s="4" t="s">
        <v>37</v>
      </c>
      <c r="C1" s="2" t="s">
        <v>74</v>
      </c>
      <c r="D1" s="2" t="s">
        <v>111</v>
      </c>
      <c r="E1" s="6" t="s">
        <v>131</v>
      </c>
      <c r="F1" s="6" t="s">
        <v>152</v>
      </c>
      <c r="G1" s="8" t="s">
        <v>189</v>
      </c>
      <c r="H1" s="1" t="s">
        <v>207</v>
      </c>
      <c r="I1" s="1" t="s">
        <v>208</v>
      </c>
      <c r="J1" s="9" t="s">
        <v>209</v>
      </c>
      <c r="K1" s="2" t="s">
        <v>210</v>
      </c>
      <c r="L1" s="2" t="s">
        <v>242</v>
      </c>
      <c r="M1" s="2" t="s">
        <v>326</v>
      </c>
      <c r="N1" s="9" t="s">
        <v>243</v>
      </c>
      <c r="O1" s="9" t="s">
        <v>275</v>
      </c>
      <c r="P1" s="10" t="s">
        <v>294</v>
      </c>
      <c r="Q1" s="11" t="s">
        <v>295</v>
      </c>
      <c r="R1" s="1" t="s">
        <v>308</v>
      </c>
      <c r="S1" s="1" t="s">
        <v>309</v>
      </c>
    </row>
    <row r="2" spans="1:19" ht="15" x14ac:dyDescent="0.25">
      <c r="A2" s="3" t="s">
        <v>2</v>
      </c>
      <c r="B2" s="5" t="s">
        <v>39</v>
      </c>
      <c r="C2" s="3" t="s">
        <v>76</v>
      </c>
      <c r="D2" s="12" t="s">
        <v>311</v>
      </c>
      <c r="E2" s="7" t="s">
        <v>133</v>
      </c>
      <c r="F2" s="7" t="s">
        <v>154</v>
      </c>
      <c r="G2" s="3" t="s">
        <v>191</v>
      </c>
      <c r="H2" t="s">
        <v>324</v>
      </c>
      <c r="I2" t="s">
        <v>325</v>
      </c>
      <c r="J2" s="7">
        <v>4033855</v>
      </c>
      <c r="K2" s="3" t="s">
        <v>212</v>
      </c>
      <c r="L2" s="3" t="s">
        <v>334</v>
      </c>
      <c r="M2" t="s">
        <v>335</v>
      </c>
      <c r="N2" s="3" t="s">
        <v>245</v>
      </c>
      <c r="O2" s="3" t="str">
        <f>VLOOKUP(N2,[1]Suporte!$O:$R,2,0)</f>
        <v>joao.fernandes@allianz.com.br </v>
      </c>
      <c r="P2" s="7">
        <f>VLOOKUP(N2,[1]Suporte!$O:$R,3,0)</f>
        <v>14</v>
      </c>
      <c r="Q2" s="7">
        <f>VLOOKUP(N2,[1]Suporte!$O:$R,4,0)</f>
        <v>997949229</v>
      </c>
    </row>
    <row r="3" spans="1:19" ht="15" x14ac:dyDescent="0.25">
      <c r="A3" s="3" t="s">
        <v>3</v>
      </c>
      <c r="B3" s="5" t="s">
        <v>40</v>
      </c>
      <c r="C3" s="3" t="s">
        <v>77</v>
      </c>
      <c r="D3" s="12" t="s">
        <v>312</v>
      </c>
      <c r="E3" s="7" t="s">
        <v>134</v>
      </c>
      <c r="F3" s="7" t="s">
        <v>155</v>
      </c>
      <c r="G3" s="3" t="s">
        <v>192</v>
      </c>
      <c r="H3" t="s">
        <v>324</v>
      </c>
      <c r="I3" t="s">
        <v>325</v>
      </c>
      <c r="J3" s="7">
        <v>4033837</v>
      </c>
      <c r="K3" s="3" t="s">
        <v>213</v>
      </c>
      <c r="L3" s="3" t="s">
        <v>336</v>
      </c>
      <c r="M3" t="s">
        <v>337</v>
      </c>
      <c r="N3" s="3" t="s">
        <v>246</v>
      </c>
      <c r="O3" s="3" t="str">
        <f>VLOOKUP(N3,[1]Suporte!$O:$R,2,0)</f>
        <v xml:space="preserve">josiane.franco@allianz.com.br </v>
      </c>
      <c r="P3" s="7">
        <f>VLOOKUP(N3,[1]Suporte!$O:$R,3,0)</f>
        <v>34</v>
      </c>
      <c r="Q3" s="7">
        <f>VLOOKUP(N3,[1]Suporte!$O:$R,4,0)</f>
        <v>984025776</v>
      </c>
    </row>
    <row r="4" spans="1:19" ht="15" x14ac:dyDescent="0.25">
      <c r="A4" s="3" t="s">
        <v>11</v>
      </c>
      <c r="B4" s="5" t="s">
        <v>48</v>
      </c>
      <c r="C4" s="3" t="s">
        <v>85</v>
      </c>
      <c r="D4" s="12" t="s">
        <v>313</v>
      </c>
      <c r="E4" s="7" t="s">
        <v>140</v>
      </c>
      <c r="F4" s="7" t="s">
        <v>163</v>
      </c>
      <c r="G4" s="3" t="s">
        <v>199</v>
      </c>
      <c r="H4" t="s">
        <v>324</v>
      </c>
      <c r="I4" t="s">
        <v>325</v>
      </c>
      <c r="J4" s="7">
        <v>4033845</v>
      </c>
      <c r="K4" s="3" t="s">
        <v>221</v>
      </c>
      <c r="L4" s="3" t="s">
        <v>338</v>
      </c>
      <c r="M4" t="s">
        <v>339</v>
      </c>
      <c r="N4" s="3" t="s">
        <v>254</v>
      </c>
      <c r="O4" s="3" t="str">
        <f>VLOOKUP(N4,[1]Suporte!$O:$R,2,0)</f>
        <v>gisele.mazzucco@allianz.com.br </v>
      </c>
      <c r="P4" s="7">
        <f>VLOOKUP(N4,[1]Suporte!$O:$R,3,0)</f>
        <v>11</v>
      </c>
      <c r="Q4" s="7">
        <f>VLOOKUP(N4,[1]Suporte!$O:$R,4,0)</f>
        <v>975255974</v>
      </c>
    </row>
    <row r="5" spans="1:19" ht="15" x14ac:dyDescent="0.25">
      <c r="A5" s="3" t="s">
        <v>12</v>
      </c>
      <c r="B5" s="5" t="s">
        <v>49</v>
      </c>
      <c r="C5" s="3" t="s">
        <v>86</v>
      </c>
      <c r="D5" s="12" t="s">
        <v>314</v>
      </c>
      <c r="E5" s="7" t="s">
        <v>141</v>
      </c>
      <c r="F5" s="7" t="s">
        <v>164</v>
      </c>
      <c r="G5" s="3" t="s">
        <v>199</v>
      </c>
      <c r="H5" t="s">
        <v>324</v>
      </c>
      <c r="I5" t="s">
        <v>325</v>
      </c>
      <c r="J5" s="7">
        <v>4033836</v>
      </c>
      <c r="K5" s="3" t="s">
        <v>222</v>
      </c>
      <c r="L5" s="3" t="s">
        <v>340</v>
      </c>
      <c r="M5" t="s">
        <v>341</v>
      </c>
      <c r="N5" s="3" t="s">
        <v>255</v>
      </c>
      <c r="O5" s="3" t="s">
        <v>310</v>
      </c>
      <c r="P5" s="7">
        <v>35</v>
      </c>
      <c r="Q5" s="7">
        <v>998206851</v>
      </c>
    </row>
    <row r="6" spans="1:19" ht="15" x14ac:dyDescent="0.25">
      <c r="A6" s="3" t="s">
        <v>13</v>
      </c>
      <c r="B6" s="5" t="s">
        <v>50</v>
      </c>
      <c r="C6" s="3" t="s">
        <v>87</v>
      </c>
      <c r="D6" s="12" t="s">
        <v>315</v>
      </c>
      <c r="E6" s="7" t="s">
        <v>139</v>
      </c>
      <c r="F6" s="7" t="s">
        <v>165</v>
      </c>
      <c r="G6" s="3" t="s">
        <v>199</v>
      </c>
      <c r="H6" t="s">
        <v>324</v>
      </c>
      <c r="I6" t="s">
        <v>325</v>
      </c>
      <c r="J6" s="7">
        <v>4033841</v>
      </c>
      <c r="K6" s="3" t="s">
        <v>223</v>
      </c>
      <c r="L6" s="3" t="s">
        <v>342</v>
      </c>
      <c r="M6" t="s">
        <v>343</v>
      </c>
      <c r="N6" s="3" t="s">
        <v>256</v>
      </c>
      <c r="O6" s="3" t="str">
        <f>VLOOKUP(N6,[1]Suporte!$O:$R,2,0)</f>
        <v>elisangela.oliveira@allianz.com.br </v>
      </c>
      <c r="P6" s="7">
        <f>VLOOKUP(N6,[1]Suporte!$O:$R,3,0)</f>
        <v>19</v>
      </c>
      <c r="Q6" s="7">
        <f>VLOOKUP(N6,[1]Suporte!$O:$R,4,0)</f>
        <v>999325375</v>
      </c>
    </row>
    <row r="7" spans="1:19" ht="15" x14ac:dyDescent="0.25">
      <c r="A7" s="3" t="s">
        <v>16</v>
      </c>
      <c r="B7" s="5" t="s">
        <v>53</v>
      </c>
      <c r="C7" s="3" t="s">
        <v>90</v>
      </c>
      <c r="D7" s="12" t="s">
        <v>316</v>
      </c>
      <c r="E7" s="7" t="s">
        <v>142</v>
      </c>
      <c r="F7" s="7" t="s">
        <v>168</v>
      </c>
      <c r="G7" s="3" t="s">
        <v>200</v>
      </c>
      <c r="H7" t="s">
        <v>324</v>
      </c>
      <c r="I7" t="s">
        <v>325</v>
      </c>
      <c r="J7" s="7">
        <v>4033850</v>
      </c>
      <c r="K7" s="3" t="s">
        <v>226</v>
      </c>
      <c r="L7" s="3" t="s">
        <v>344</v>
      </c>
      <c r="M7" t="s">
        <v>345</v>
      </c>
      <c r="N7" s="3" t="s">
        <v>259</v>
      </c>
      <c r="O7" s="3" t="str">
        <f>VLOOKUP(N7,[1]Suporte!$O:$R,2,0)</f>
        <v>juliana.assis@allianz.com.br </v>
      </c>
      <c r="P7" s="7">
        <f>VLOOKUP(N7,[1]Suporte!$O:$R,3,0)</f>
        <v>12</v>
      </c>
      <c r="Q7" s="7">
        <f>VLOOKUP(N7,[1]Suporte!$O:$R,4,0)</f>
        <v>988773282</v>
      </c>
    </row>
    <row r="8" spans="1:19" ht="15" x14ac:dyDescent="0.25">
      <c r="A8" s="3" t="s">
        <v>17</v>
      </c>
      <c r="B8" s="5" t="s">
        <v>54</v>
      </c>
      <c r="C8" s="3" t="s">
        <v>91</v>
      </c>
      <c r="D8" s="12" t="s">
        <v>317</v>
      </c>
      <c r="E8" s="7" t="s">
        <v>143</v>
      </c>
      <c r="F8" s="7" t="s">
        <v>169</v>
      </c>
      <c r="G8" s="3" t="s">
        <v>201</v>
      </c>
      <c r="H8" t="s">
        <v>324</v>
      </c>
      <c r="I8" t="s">
        <v>325</v>
      </c>
      <c r="J8" s="7">
        <v>4033839</v>
      </c>
      <c r="K8" s="3" t="s">
        <v>227</v>
      </c>
      <c r="L8" s="3" t="s">
        <v>346</v>
      </c>
      <c r="M8" t="s">
        <v>347</v>
      </c>
      <c r="N8" s="3" t="s">
        <v>260</v>
      </c>
      <c r="O8" s="3" t="str">
        <f>VLOOKUP(N8,[1]Suporte!$O:$R,2,0)</f>
        <v>fernanda.silva@allianz.com.br </v>
      </c>
      <c r="P8" s="7">
        <f>VLOOKUP(N8,[1]Suporte!$O:$R,3,0)</f>
        <v>48</v>
      </c>
      <c r="Q8" s="7">
        <f>VLOOKUP(N8,[1]Suporte!$O:$R,4,0)</f>
        <v>991892944</v>
      </c>
    </row>
    <row r="9" spans="1:19" ht="15" x14ac:dyDescent="0.25">
      <c r="A9" s="3" t="s">
        <v>19</v>
      </c>
      <c r="B9" s="5" t="s">
        <v>56</v>
      </c>
      <c r="C9" s="3" t="s">
        <v>93</v>
      </c>
      <c r="D9" s="12" t="s">
        <v>318</v>
      </c>
      <c r="E9" s="7" t="s">
        <v>144</v>
      </c>
      <c r="F9" s="7" t="s">
        <v>171</v>
      </c>
      <c r="G9" s="3" t="s">
        <v>198</v>
      </c>
      <c r="H9" t="s">
        <v>324</v>
      </c>
      <c r="I9" t="s">
        <v>325</v>
      </c>
      <c r="J9" s="7">
        <v>4033822</v>
      </c>
      <c r="K9" s="3" t="s">
        <v>229</v>
      </c>
      <c r="L9" s="3" t="s">
        <v>348</v>
      </c>
      <c r="M9" t="s">
        <v>349</v>
      </c>
      <c r="N9" s="3" t="s">
        <v>262</v>
      </c>
      <c r="O9" s="3" t="str">
        <f>VLOOKUP(N9,[1]Suporte!$O:$R,2,0)</f>
        <v>jessika.pazin@allianz.com.br </v>
      </c>
      <c r="P9" s="7">
        <f>VLOOKUP(N9,[1]Suporte!$O:$R,3,0)</f>
        <v>44</v>
      </c>
      <c r="Q9" s="7">
        <f>VLOOKUP(N9,[1]Suporte!$O:$R,4,0)</f>
        <v>991343281</v>
      </c>
    </row>
    <row r="10" spans="1:19" ht="15" x14ac:dyDescent="0.25">
      <c r="A10" s="3" t="s">
        <v>20</v>
      </c>
      <c r="B10" s="5" t="s">
        <v>57</v>
      </c>
      <c r="C10" s="3" t="s">
        <v>94</v>
      </c>
      <c r="D10" s="12" t="s">
        <v>319</v>
      </c>
      <c r="E10" s="7" t="s">
        <v>145</v>
      </c>
      <c r="F10" s="7" t="s">
        <v>172</v>
      </c>
      <c r="G10" s="3" t="s">
        <v>198</v>
      </c>
      <c r="H10" t="s">
        <v>324</v>
      </c>
      <c r="I10" t="s">
        <v>325</v>
      </c>
      <c r="J10" s="7">
        <v>4033823</v>
      </c>
      <c r="K10" s="3" t="s">
        <v>223</v>
      </c>
      <c r="L10" s="3" t="s">
        <v>350</v>
      </c>
      <c r="M10" t="s">
        <v>351</v>
      </c>
      <c r="N10" s="3" t="s">
        <v>256</v>
      </c>
      <c r="O10" s="3" t="str">
        <f>VLOOKUP(N10,[1]Suporte!$O:$R,2,0)</f>
        <v>elisangela.oliveira@allianz.com.br </v>
      </c>
      <c r="P10" s="7">
        <f>VLOOKUP(N10,[1]Suporte!$O:$R,3,0)</f>
        <v>19</v>
      </c>
      <c r="Q10" s="7">
        <f>VLOOKUP(N10,[1]Suporte!$O:$R,4,0)</f>
        <v>999325375</v>
      </c>
    </row>
    <row r="11" spans="1:19" ht="15" x14ac:dyDescent="0.25">
      <c r="A11" s="3" t="s">
        <v>23</v>
      </c>
      <c r="B11" s="5" t="s">
        <v>60</v>
      </c>
      <c r="C11" s="3" t="s">
        <v>97</v>
      </c>
      <c r="D11" s="12" t="s">
        <v>320</v>
      </c>
      <c r="E11" s="7" t="s">
        <v>142</v>
      </c>
      <c r="F11" s="7" t="s">
        <v>175</v>
      </c>
      <c r="G11" s="3" t="s">
        <v>203</v>
      </c>
      <c r="H11" t="s">
        <v>324</v>
      </c>
      <c r="I11" t="s">
        <v>325</v>
      </c>
      <c r="J11" s="7">
        <v>4033827</v>
      </c>
      <c r="K11" s="3" t="s">
        <v>226</v>
      </c>
      <c r="L11" s="3" t="s">
        <v>352</v>
      </c>
      <c r="M11" t="s">
        <v>353</v>
      </c>
      <c r="N11" s="3" t="s">
        <v>259</v>
      </c>
      <c r="O11" s="3" t="str">
        <f>VLOOKUP(N11,[1]Suporte!$O:$R,2,0)</f>
        <v>juliana.assis@allianz.com.br </v>
      </c>
      <c r="P11" s="7">
        <f>VLOOKUP(N11,[1]Suporte!$O:$R,3,0)</f>
        <v>12</v>
      </c>
      <c r="Q11" s="7">
        <f>VLOOKUP(N11,[1]Suporte!$O:$R,4,0)</f>
        <v>988773282</v>
      </c>
    </row>
    <row r="12" spans="1:19" ht="15" x14ac:dyDescent="0.25">
      <c r="A12" s="3" t="s">
        <v>27</v>
      </c>
      <c r="B12" s="5" t="s">
        <v>64</v>
      </c>
      <c r="C12" s="3" t="s">
        <v>101</v>
      </c>
      <c r="D12" s="12" t="s">
        <v>321</v>
      </c>
      <c r="E12" s="7" t="s">
        <v>148</v>
      </c>
      <c r="F12" s="7" t="s">
        <v>179</v>
      </c>
      <c r="G12" s="3" t="s">
        <v>203</v>
      </c>
      <c r="H12" t="s">
        <v>324</v>
      </c>
      <c r="I12" t="s">
        <v>325</v>
      </c>
      <c r="J12" s="7">
        <v>4033832</v>
      </c>
      <c r="K12" s="3" t="s">
        <v>234</v>
      </c>
      <c r="L12" s="3" t="s">
        <v>354</v>
      </c>
      <c r="M12" t="s">
        <v>355</v>
      </c>
      <c r="N12" s="3" t="s">
        <v>267</v>
      </c>
      <c r="O12" s="3" t="str">
        <f>VLOOKUP(N12,[1]Suporte!$O:$R,2,0)</f>
        <v>karla.ribeiro@allianz.com.br </v>
      </c>
      <c r="P12" s="7">
        <f>VLOOKUP(N12,[1]Suporte!$O:$R,3,0)</f>
        <v>61</v>
      </c>
      <c r="Q12" s="7">
        <f>VLOOKUP(N12,[1]Suporte!$O:$R,4,0)</f>
        <v>998542196</v>
      </c>
    </row>
    <row r="13" spans="1:19" ht="15" x14ac:dyDescent="0.25">
      <c r="A13" s="3" t="s">
        <v>29</v>
      </c>
      <c r="B13" s="5" t="s">
        <v>66</v>
      </c>
      <c r="C13" s="3" t="s">
        <v>103</v>
      </c>
      <c r="D13" s="12" t="s">
        <v>322</v>
      </c>
      <c r="E13" s="7" t="s">
        <v>149</v>
      </c>
      <c r="F13" s="7" t="s">
        <v>181</v>
      </c>
      <c r="G13" s="3" t="s">
        <v>204</v>
      </c>
      <c r="H13" t="s">
        <v>324</v>
      </c>
      <c r="I13" t="s">
        <v>325</v>
      </c>
      <c r="J13" s="7">
        <v>4033840</v>
      </c>
      <c r="K13" s="3" t="s">
        <v>236</v>
      </c>
      <c r="L13" s="3" t="s">
        <v>356</v>
      </c>
      <c r="M13" t="s">
        <v>357</v>
      </c>
      <c r="N13" s="3" t="s">
        <v>269</v>
      </c>
      <c r="O13" s="3" t="str">
        <f>VLOOKUP(N13,[1]Suporte!$O:$R,2,0)</f>
        <v>renata.melo@allianz.com.br </v>
      </c>
      <c r="P13" s="7">
        <f>VLOOKUP(N13,[1]Suporte!$O:$R,3,0)</f>
        <v>34</v>
      </c>
      <c r="Q13" s="7">
        <f>VLOOKUP(N13,[1]Suporte!$O:$R,4,0)</f>
        <v>998273126</v>
      </c>
    </row>
    <row r="14" spans="1:19" ht="15" x14ac:dyDescent="0.25">
      <c r="A14" s="3" t="s">
        <v>30</v>
      </c>
      <c r="B14" s="5" t="s">
        <v>67</v>
      </c>
      <c r="C14" s="3" t="s">
        <v>104</v>
      </c>
      <c r="D14" s="12" t="s">
        <v>323</v>
      </c>
      <c r="E14" s="7" t="s">
        <v>143</v>
      </c>
      <c r="F14" s="7" t="s">
        <v>182</v>
      </c>
      <c r="G14" s="3" t="s">
        <v>205</v>
      </c>
      <c r="H14" t="s">
        <v>324</v>
      </c>
      <c r="I14" t="s">
        <v>325</v>
      </c>
      <c r="J14" s="7">
        <v>4033842</v>
      </c>
      <c r="K14" s="3" t="s">
        <v>237</v>
      </c>
      <c r="L14" s="3" t="s">
        <v>358</v>
      </c>
      <c r="M14" t="s">
        <v>359</v>
      </c>
      <c r="N14" s="3" t="s">
        <v>270</v>
      </c>
      <c r="O14" s="3" t="str">
        <f>VLOOKUP(N14,[1]Suporte!$O:$R,2,0)</f>
        <v>nilcea.silva@allianz.com.br </v>
      </c>
      <c r="P14" s="7">
        <f>VLOOKUP(N14,[1]Suporte!$O:$R,3,0)</f>
        <v>41</v>
      </c>
      <c r="Q14" s="7">
        <f>VLOOKUP(N14,[1]Suporte!$O:$R,4,0)</f>
        <v>992224589</v>
      </c>
    </row>
    <row r="15" spans="1:19" ht="15" x14ac:dyDescent="0.25">
      <c r="A15" s="3" t="s">
        <v>5</v>
      </c>
      <c r="B15" s="5" t="s">
        <v>42</v>
      </c>
      <c r="C15" s="3" t="s">
        <v>79</v>
      </c>
      <c r="D15" s="3" t="s">
        <v>114</v>
      </c>
      <c r="E15" s="7" t="s">
        <v>136</v>
      </c>
      <c r="F15" s="7" t="s">
        <v>157</v>
      </c>
      <c r="G15" s="3" t="s">
        <v>194</v>
      </c>
      <c r="H15" t="s">
        <v>324</v>
      </c>
      <c r="I15" t="s">
        <v>325</v>
      </c>
      <c r="J15" s="7">
        <v>4033830</v>
      </c>
      <c r="K15" s="3" t="s">
        <v>215</v>
      </c>
      <c r="L15" s="3" t="s">
        <v>360</v>
      </c>
      <c r="M15" t="s">
        <v>361</v>
      </c>
      <c r="N15" s="3" t="s">
        <v>248</v>
      </c>
      <c r="O15" s="3" t="s">
        <v>278</v>
      </c>
      <c r="P15" s="7">
        <v>21</v>
      </c>
      <c r="Q15" s="7">
        <v>972271475</v>
      </c>
    </row>
    <row r="16" spans="1:19" ht="15" x14ac:dyDescent="0.25">
      <c r="A16" s="3" t="s">
        <v>25</v>
      </c>
      <c r="B16" s="5" t="s">
        <v>62</v>
      </c>
      <c r="C16" s="3" t="s">
        <v>99</v>
      </c>
      <c r="D16" s="3" t="s">
        <v>126</v>
      </c>
      <c r="E16" s="7" t="s">
        <v>147</v>
      </c>
      <c r="F16" s="7" t="s">
        <v>177</v>
      </c>
      <c r="G16" s="3" t="s">
        <v>203</v>
      </c>
      <c r="H16" t="s">
        <v>324</v>
      </c>
      <c r="I16" t="s">
        <v>325</v>
      </c>
      <c r="J16" s="7">
        <v>4033829</v>
      </c>
      <c r="K16" s="3" t="s">
        <v>232</v>
      </c>
      <c r="L16" s="3" t="s">
        <v>362</v>
      </c>
      <c r="M16" t="s">
        <v>363</v>
      </c>
      <c r="N16" s="3" t="s">
        <v>265</v>
      </c>
      <c r="O16" s="3" t="s">
        <v>289</v>
      </c>
      <c r="P16" s="7">
        <v>51</v>
      </c>
      <c r="Q16" s="7" t="s">
        <v>304</v>
      </c>
    </row>
    <row r="17" spans="1:17" ht="15" x14ac:dyDescent="0.25">
      <c r="A17" s="3" t="s">
        <v>24</v>
      </c>
      <c r="B17" s="5" t="s">
        <v>61</v>
      </c>
      <c r="C17" s="3" t="s">
        <v>98</v>
      </c>
      <c r="D17" s="3" t="s">
        <v>125</v>
      </c>
      <c r="E17" s="7" t="s">
        <v>139</v>
      </c>
      <c r="F17" s="7" t="s">
        <v>176</v>
      </c>
      <c r="G17" s="3" t="s">
        <v>203</v>
      </c>
      <c r="H17" t="s">
        <v>324</v>
      </c>
      <c r="I17" t="s">
        <v>325</v>
      </c>
      <c r="J17" s="7">
        <v>4033828</v>
      </c>
      <c r="K17" s="3" t="s">
        <v>231</v>
      </c>
      <c r="L17" s="3" t="s">
        <v>364</v>
      </c>
      <c r="M17" t="s">
        <v>365</v>
      </c>
      <c r="N17" s="3" t="s">
        <v>264</v>
      </c>
      <c r="O17" s="3" t="s">
        <v>288</v>
      </c>
      <c r="P17" s="7">
        <v>11</v>
      </c>
      <c r="Q17" s="7" t="s">
        <v>303</v>
      </c>
    </row>
    <row r="18" spans="1:17" ht="15" x14ac:dyDescent="0.25">
      <c r="A18" s="3" t="s">
        <v>28</v>
      </c>
      <c r="B18" s="5" t="s">
        <v>65</v>
      </c>
      <c r="C18" s="3" t="s">
        <v>102</v>
      </c>
      <c r="D18" s="3" t="s">
        <v>128</v>
      </c>
      <c r="E18" s="7" t="s">
        <v>139</v>
      </c>
      <c r="F18" s="7" t="s">
        <v>180</v>
      </c>
      <c r="G18" s="3" t="s">
        <v>203</v>
      </c>
      <c r="H18" t="s">
        <v>324</v>
      </c>
      <c r="I18" t="s">
        <v>325</v>
      </c>
      <c r="J18" s="7">
        <v>4033833</v>
      </c>
      <c r="K18" s="3" t="s">
        <v>235</v>
      </c>
      <c r="L18" s="3" t="s">
        <v>366</v>
      </c>
      <c r="M18" t="s">
        <v>367</v>
      </c>
      <c r="N18" s="3" t="s">
        <v>268</v>
      </c>
      <c r="O18" s="3" t="s">
        <v>291</v>
      </c>
      <c r="P18" s="7">
        <v>11</v>
      </c>
      <c r="Q18" s="7">
        <v>998491641</v>
      </c>
    </row>
    <row r="19" spans="1:17" ht="15" x14ac:dyDescent="0.25">
      <c r="A19" s="3" t="s">
        <v>26</v>
      </c>
      <c r="B19" s="5" t="s">
        <v>63</v>
      </c>
      <c r="C19" s="3" t="s">
        <v>100</v>
      </c>
      <c r="D19" s="3" t="s">
        <v>127</v>
      </c>
      <c r="E19" s="7" t="s">
        <v>148</v>
      </c>
      <c r="F19" s="7" t="s">
        <v>178</v>
      </c>
      <c r="G19" s="3" t="s">
        <v>203</v>
      </c>
      <c r="H19" t="s">
        <v>324</v>
      </c>
      <c r="I19" t="s">
        <v>325</v>
      </c>
      <c r="J19" s="7">
        <v>4033831</v>
      </c>
      <c r="K19" s="3" t="s">
        <v>233</v>
      </c>
      <c r="L19" s="3" t="s">
        <v>368</v>
      </c>
      <c r="M19" t="s">
        <v>369</v>
      </c>
      <c r="N19" s="3" t="s">
        <v>266</v>
      </c>
      <c r="O19" s="3" t="s">
        <v>290</v>
      </c>
      <c r="P19" s="7">
        <v>31</v>
      </c>
      <c r="Q19" s="7" t="s">
        <v>305</v>
      </c>
    </row>
    <row r="20" spans="1:17" ht="15" x14ac:dyDescent="0.25">
      <c r="A20" s="3" t="s">
        <v>32</v>
      </c>
      <c r="B20" s="5" t="s">
        <v>69</v>
      </c>
      <c r="C20" s="3" t="s">
        <v>106</v>
      </c>
      <c r="D20" s="3" t="s">
        <v>130</v>
      </c>
      <c r="E20" s="7" t="s">
        <v>137</v>
      </c>
      <c r="F20" s="7" t="s">
        <v>184</v>
      </c>
      <c r="G20" s="3" t="s">
        <v>205</v>
      </c>
      <c r="H20" t="s">
        <v>324</v>
      </c>
      <c r="I20" t="s">
        <v>325</v>
      </c>
      <c r="J20" s="7">
        <v>4033844</v>
      </c>
      <c r="K20" s="3" t="s">
        <v>239</v>
      </c>
      <c r="L20" s="3" t="s">
        <v>370</v>
      </c>
      <c r="M20" t="s">
        <v>371</v>
      </c>
      <c r="N20" s="3" t="s">
        <v>272</v>
      </c>
      <c r="O20" s="3" t="s">
        <v>293</v>
      </c>
      <c r="P20" s="7">
        <v>92</v>
      </c>
      <c r="Q20" s="7" t="s">
        <v>307</v>
      </c>
    </row>
    <row r="21" spans="1:17" ht="15" x14ac:dyDescent="0.25">
      <c r="A21" s="3" t="s">
        <v>31</v>
      </c>
      <c r="B21" s="5" t="s">
        <v>68</v>
      </c>
      <c r="C21" s="3" t="s">
        <v>105</v>
      </c>
      <c r="D21" s="3" t="s">
        <v>129</v>
      </c>
      <c r="E21" s="7" t="s">
        <v>150</v>
      </c>
      <c r="F21" s="7" t="s">
        <v>183</v>
      </c>
      <c r="G21" s="3" t="s">
        <v>205</v>
      </c>
      <c r="H21" t="s">
        <v>324</v>
      </c>
      <c r="I21" t="s">
        <v>325</v>
      </c>
      <c r="J21" s="7">
        <v>4033843</v>
      </c>
      <c r="K21" s="3" t="s">
        <v>238</v>
      </c>
      <c r="L21" s="3" t="s">
        <v>372</v>
      </c>
      <c r="M21" t="s">
        <v>373</v>
      </c>
      <c r="N21" s="3" t="s">
        <v>271</v>
      </c>
      <c r="O21" s="3" t="s">
        <v>292</v>
      </c>
      <c r="P21" s="7">
        <v>21</v>
      </c>
      <c r="Q21" s="7" t="s">
        <v>306</v>
      </c>
    </row>
    <row r="22" spans="1:17" ht="15" x14ac:dyDescent="0.25">
      <c r="A22" s="3" t="s">
        <v>10</v>
      </c>
      <c r="B22" s="5" t="s">
        <v>47</v>
      </c>
      <c r="C22" s="3" t="s">
        <v>84</v>
      </c>
      <c r="D22" s="3" t="s">
        <v>119</v>
      </c>
      <c r="E22" s="7" t="s">
        <v>134</v>
      </c>
      <c r="F22" s="7" t="s">
        <v>162</v>
      </c>
      <c r="G22" s="3" t="s">
        <v>198</v>
      </c>
      <c r="H22" t="s">
        <v>324</v>
      </c>
      <c r="I22" t="s">
        <v>325</v>
      </c>
      <c r="J22" s="7">
        <v>4033835</v>
      </c>
      <c r="K22" s="3" t="s">
        <v>220</v>
      </c>
      <c r="L22" s="3" t="s">
        <v>374</v>
      </c>
      <c r="M22" t="s">
        <v>375</v>
      </c>
      <c r="N22" s="3" t="s">
        <v>253</v>
      </c>
      <c r="O22" s="3" t="s">
        <v>283</v>
      </c>
      <c r="P22" s="7">
        <v>61</v>
      </c>
      <c r="Q22" s="7">
        <v>998272058</v>
      </c>
    </row>
    <row r="23" spans="1:17" ht="15" x14ac:dyDescent="0.25">
      <c r="A23" s="3" t="s">
        <v>9</v>
      </c>
      <c r="B23" s="5" t="s">
        <v>46</v>
      </c>
      <c r="C23" s="3" t="s">
        <v>83</v>
      </c>
      <c r="D23" s="3" t="s">
        <v>118</v>
      </c>
      <c r="E23" s="7" t="s">
        <v>139</v>
      </c>
      <c r="F23" s="7" t="s">
        <v>161</v>
      </c>
      <c r="G23" s="3" t="s">
        <v>197</v>
      </c>
      <c r="H23" t="s">
        <v>324</v>
      </c>
      <c r="I23" t="s">
        <v>325</v>
      </c>
      <c r="J23" s="7">
        <v>4033820</v>
      </c>
      <c r="K23" s="3" t="s">
        <v>219</v>
      </c>
      <c r="L23" s="3" t="s">
        <v>376</v>
      </c>
      <c r="M23" t="s">
        <v>377</v>
      </c>
      <c r="N23" s="3" t="s">
        <v>252</v>
      </c>
      <c r="O23" s="3" t="s">
        <v>282</v>
      </c>
      <c r="P23" s="7" t="s">
        <v>139</v>
      </c>
      <c r="Q23" s="7" t="s">
        <v>299</v>
      </c>
    </row>
    <row r="24" spans="1:17" ht="15" x14ac:dyDescent="0.25">
      <c r="A24" s="3" t="s">
        <v>6</v>
      </c>
      <c r="B24" s="5" t="s">
        <v>43</v>
      </c>
      <c r="C24" s="3" t="s">
        <v>80</v>
      </c>
      <c r="D24" s="3" t="s">
        <v>115</v>
      </c>
      <c r="E24" s="7" t="s">
        <v>137</v>
      </c>
      <c r="F24" s="7" t="s">
        <v>158</v>
      </c>
      <c r="G24" s="3" t="s">
        <v>195</v>
      </c>
      <c r="H24" t="s">
        <v>324</v>
      </c>
      <c r="I24" t="s">
        <v>325</v>
      </c>
      <c r="J24" s="7">
        <v>4033826</v>
      </c>
      <c r="K24" s="3" t="s">
        <v>216</v>
      </c>
      <c r="L24" s="3" t="s">
        <v>378</v>
      </c>
      <c r="M24" t="s">
        <v>379</v>
      </c>
      <c r="N24" s="3" t="s">
        <v>249</v>
      </c>
      <c r="O24" s="3" t="s">
        <v>279</v>
      </c>
      <c r="P24" s="7">
        <v>91</v>
      </c>
      <c r="Q24" s="7" t="s">
        <v>297</v>
      </c>
    </row>
    <row r="25" spans="1:17" ht="15" x14ac:dyDescent="0.25">
      <c r="A25" s="3" t="s">
        <v>15</v>
      </c>
      <c r="B25" s="5" t="s">
        <v>52</v>
      </c>
      <c r="C25" s="3" t="s">
        <v>89</v>
      </c>
      <c r="D25" s="3" t="s">
        <v>121</v>
      </c>
      <c r="E25" s="7" t="s">
        <v>139</v>
      </c>
      <c r="F25" s="7" t="s">
        <v>167</v>
      </c>
      <c r="G25" s="3" t="s">
        <v>200</v>
      </c>
      <c r="H25" t="s">
        <v>324</v>
      </c>
      <c r="I25" t="s">
        <v>325</v>
      </c>
      <c r="J25" s="7">
        <v>4033846</v>
      </c>
      <c r="K25" s="3" t="s">
        <v>225</v>
      </c>
      <c r="L25" s="3" t="s">
        <v>380</v>
      </c>
      <c r="M25" t="s">
        <v>381</v>
      </c>
      <c r="N25" s="3" t="s">
        <v>258</v>
      </c>
      <c r="O25" s="3" t="s">
        <v>285</v>
      </c>
      <c r="P25" s="7">
        <v>11</v>
      </c>
      <c r="Q25" s="7" t="s">
        <v>300</v>
      </c>
    </row>
    <row r="26" spans="1:17" ht="15" x14ac:dyDescent="0.25">
      <c r="A26" s="3" t="s">
        <v>7</v>
      </c>
      <c r="B26" s="5" t="s">
        <v>44</v>
      </c>
      <c r="C26" s="3" t="s">
        <v>81</v>
      </c>
      <c r="D26" s="3" t="s">
        <v>116</v>
      </c>
      <c r="E26" s="7" t="s">
        <v>138</v>
      </c>
      <c r="F26" s="7" t="s">
        <v>159</v>
      </c>
      <c r="G26" s="3" t="s">
        <v>196</v>
      </c>
      <c r="H26" t="s">
        <v>324</v>
      </c>
      <c r="I26" t="s">
        <v>325</v>
      </c>
      <c r="J26" s="7">
        <v>4033851</v>
      </c>
      <c r="K26" s="3" t="s">
        <v>217</v>
      </c>
      <c r="L26" s="3" t="s">
        <v>382</v>
      </c>
      <c r="M26" t="s">
        <v>383</v>
      </c>
      <c r="N26" s="3" t="s">
        <v>250</v>
      </c>
      <c r="O26" s="3" t="s">
        <v>280</v>
      </c>
      <c r="P26" s="7">
        <v>81</v>
      </c>
      <c r="Q26" s="7" t="s">
        <v>298</v>
      </c>
    </row>
    <row r="27" spans="1:17" ht="15" x14ac:dyDescent="0.25">
      <c r="A27" s="3" t="s">
        <v>21</v>
      </c>
      <c r="B27" s="5" t="s">
        <v>58</v>
      </c>
      <c r="C27" s="3" t="s">
        <v>95</v>
      </c>
      <c r="D27" s="3" t="s">
        <v>123</v>
      </c>
      <c r="E27" s="7" t="s">
        <v>146</v>
      </c>
      <c r="F27" s="7" t="s">
        <v>173</v>
      </c>
      <c r="G27" s="3" t="s">
        <v>202</v>
      </c>
      <c r="H27" t="s">
        <v>324</v>
      </c>
      <c r="I27" t="s">
        <v>325</v>
      </c>
      <c r="J27" s="7">
        <v>4033824</v>
      </c>
      <c r="K27" s="3" t="s">
        <v>217</v>
      </c>
      <c r="L27" s="3" t="s">
        <v>384</v>
      </c>
      <c r="M27" t="s">
        <v>385</v>
      </c>
      <c r="N27" s="3" t="s">
        <v>250</v>
      </c>
      <c r="O27" s="3" t="s">
        <v>280</v>
      </c>
      <c r="P27" s="7">
        <v>81</v>
      </c>
      <c r="Q27" s="7" t="s">
        <v>298</v>
      </c>
    </row>
    <row r="28" spans="1:17" ht="15" x14ac:dyDescent="0.25">
      <c r="A28" s="3" t="s">
        <v>1</v>
      </c>
      <c r="B28" s="5" t="s">
        <v>38</v>
      </c>
      <c r="C28" s="3" t="s">
        <v>75</v>
      </c>
      <c r="D28" s="3" t="s">
        <v>112</v>
      </c>
      <c r="E28" s="7" t="s">
        <v>132</v>
      </c>
      <c r="F28" s="7" t="s">
        <v>153</v>
      </c>
      <c r="G28" s="3" t="s">
        <v>190</v>
      </c>
      <c r="H28" t="s">
        <v>324</v>
      </c>
      <c r="I28" t="s">
        <v>325</v>
      </c>
      <c r="J28" s="7">
        <v>4033854</v>
      </c>
      <c r="K28" s="3" t="s">
        <v>211</v>
      </c>
      <c r="L28" s="3" t="s">
        <v>386</v>
      </c>
      <c r="M28" t="s">
        <v>387</v>
      </c>
      <c r="N28" s="3" t="s">
        <v>244</v>
      </c>
      <c r="O28" s="3" t="s">
        <v>276</v>
      </c>
      <c r="P28" s="7">
        <v>71</v>
      </c>
      <c r="Q28" s="7">
        <v>997176398</v>
      </c>
    </row>
    <row r="29" spans="1:17" ht="15" x14ac:dyDescent="0.25">
      <c r="A29" s="3" t="s">
        <v>22</v>
      </c>
      <c r="B29" s="5" t="s">
        <v>59</v>
      </c>
      <c r="C29" s="3" t="s">
        <v>96</v>
      </c>
      <c r="D29" s="3" t="s">
        <v>124</v>
      </c>
      <c r="E29" s="7" t="s">
        <v>139</v>
      </c>
      <c r="F29" s="7" t="s">
        <v>174</v>
      </c>
      <c r="G29" s="3" t="s">
        <v>203</v>
      </c>
      <c r="H29" t="s">
        <v>324</v>
      </c>
      <c r="I29" t="s">
        <v>325</v>
      </c>
      <c r="J29" s="7">
        <v>4033825</v>
      </c>
      <c r="K29" s="3" t="s">
        <v>230</v>
      </c>
      <c r="L29" s="3" t="s">
        <v>388</v>
      </c>
      <c r="M29" t="s">
        <v>389</v>
      </c>
      <c r="N29" s="3" t="s">
        <v>263</v>
      </c>
      <c r="O29" s="3" t="s">
        <v>287</v>
      </c>
      <c r="P29" s="7">
        <v>11</v>
      </c>
      <c r="Q29" s="7" t="s">
        <v>302</v>
      </c>
    </row>
    <row r="30" spans="1:17" ht="15" x14ac:dyDescent="0.25">
      <c r="A30" s="3" t="s">
        <v>8</v>
      </c>
      <c r="B30" s="5" t="s">
        <v>45</v>
      </c>
      <c r="C30" s="3" t="s">
        <v>82</v>
      </c>
      <c r="D30" s="3" t="s">
        <v>117</v>
      </c>
      <c r="E30" s="7" t="s">
        <v>139</v>
      </c>
      <c r="F30" s="7" t="s">
        <v>160</v>
      </c>
      <c r="G30" s="3" t="s">
        <v>197</v>
      </c>
      <c r="H30" t="s">
        <v>324</v>
      </c>
      <c r="I30" t="s">
        <v>325</v>
      </c>
      <c r="J30" s="7">
        <v>4033834</v>
      </c>
      <c r="K30" s="3" t="s">
        <v>218</v>
      </c>
      <c r="L30" s="3" t="s">
        <v>390</v>
      </c>
      <c r="M30" t="s">
        <v>391</v>
      </c>
      <c r="N30" s="3" t="s">
        <v>251</v>
      </c>
      <c r="O30" s="3" t="s">
        <v>281</v>
      </c>
      <c r="P30" s="7">
        <v>11</v>
      </c>
      <c r="Q30" s="7">
        <v>972711655</v>
      </c>
    </row>
    <row r="31" spans="1:17" ht="15" x14ac:dyDescent="0.25">
      <c r="A31" s="3" t="s">
        <v>4</v>
      </c>
      <c r="B31" s="5" t="s">
        <v>41</v>
      </c>
      <c r="C31" s="3" t="s">
        <v>78</v>
      </c>
      <c r="D31" s="3" t="s">
        <v>113</v>
      </c>
      <c r="E31" s="7" t="s">
        <v>135</v>
      </c>
      <c r="F31" s="7" t="s">
        <v>156</v>
      </c>
      <c r="G31" s="3" t="s">
        <v>193</v>
      </c>
      <c r="H31" t="s">
        <v>324</v>
      </c>
      <c r="I31" t="s">
        <v>325</v>
      </c>
      <c r="J31" s="7">
        <v>4033849</v>
      </c>
      <c r="K31" s="3" t="s">
        <v>214</v>
      </c>
      <c r="L31" s="3" t="s">
        <v>392</v>
      </c>
      <c r="M31" t="s">
        <v>393</v>
      </c>
      <c r="N31" s="3" t="s">
        <v>247</v>
      </c>
      <c r="O31" s="3" t="s">
        <v>277</v>
      </c>
      <c r="P31" s="7">
        <v>91</v>
      </c>
      <c r="Q31" s="7" t="s">
        <v>296</v>
      </c>
    </row>
    <row r="32" spans="1:17" ht="15" x14ac:dyDescent="0.25">
      <c r="A32" s="3" t="s">
        <v>14</v>
      </c>
      <c r="B32" s="5" t="s">
        <v>51</v>
      </c>
      <c r="C32" s="3" t="s">
        <v>88</v>
      </c>
      <c r="D32" s="3" t="s">
        <v>120</v>
      </c>
      <c r="E32" s="7" t="s">
        <v>137</v>
      </c>
      <c r="F32" s="7" t="s">
        <v>166</v>
      </c>
      <c r="G32" s="3" t="s">
        <v>199</v>
      </c>
      <c r="H32" t="s">
        <v>324</v>
      </c>
      <c r="I32" t="s">
        <v>325</v>
      </c>
      <c r="J32" s="7">
        <v>4033847</v>
      </c>
      <c r="K32" s="3" t="s">
        <v>224</v>
      </c>
      <c r="L32" s="3" t="s">
        <v>394</v>
      </c>
      <c r="M32" t="s">
        <v>395</v>
      </c>
      <c r="N32" s="3" t="s">
        <v>257</v>
      </c>
      <c r="O32" s="3" t="s">
        <v>284</v>
      </c>
      <c r="P32" s="7">
        <v>11</v>
      </c>
      <c r="Q32" s="7">
        <v>111111111</v>
      </c>
    </row>
    <row r="33" spans="1:17" ht="15" x14ac:dyDescent="0.25">
      <c r="A33" s="3" t="s">
        <v>18</v>
      </c>
      <c r="B33" s="5" t="s">
        <v>55</v>
      </c>
      <c r="C33" s="3" t="s">
        <v>92</v>
      </c>
      <c r="D33" s="3" t="s">
        <v>122</v>
      </c>
      <c r="E33" s="7" t="s">
        <v>136</v>
      </c>
      <c r="F33" s="7" t="s">
        <v>170</v>
      </c>
      <c r="G33" s="3" t="s">
        <v>202</v>
      </c>
      <c r="H33" t="s">
        <v>324</v>
      </c>
      <c r="I33" t="s">
        <v>325</v>
      </c>
      <c r="J33" s="7">
        <v>4033852</v>
      </c>
      <c r="K33" s="3" t="s">
        <v>228</v>
      </c>
      <c r="L33" s="3" t="s">
        <v>396</v>
      </c>
      <c r="M33" t="s">
        <v>397</v>
      </c>
      <c r="N33" s="3" t="s">
        <v>261</v>
      </c>
      <c r="O33" s="3" t="s">
        <v>286</v>
      </c>
      <c r="P33" s="7">
        <v>21</v>
      </c>
      <c r="Q33" s="7" t="s">
        <v>301</v>
      </c>
    </row>
    <row r="34" spans="1:17" ht="15" x14ac:dyDescent="0.25">
      <c r="A34" s="3" t="s">
        <v>33</v>
      </c>
      <c r="B34" s="5" t="s">
        <v>70</v>
      </c>
      <c r="C34" s="3" t="s">
        <v>107</v>
      </c>
      <c r="D34" s="12" t="s">
        <v>327</v>
      </c>
      <c r="E34" s="7" t="s">
        <v>132</v>
      </c>
      <c r="F34" s="7" t="s">
        <v>185</v>
      </c>
      <c r="G34" s="3" t="s">
        <v>206</v>
      </c>
      <c r="H34" t="s">
        <v>324</v>
      </c>
      <c r="I34" t="s">
        <v>325</v>
      </c>
      <c r="J34" s="7">
        <v>4033821</v>
      </c>
      <c r="K34" s="3" t="s">
        <v>240</v>
      </c>
      <c r="L34" s="3" t="s">
        <v>398</v>
      </c>
      <c r="M34" t="s">
        <v>399</v>
      </c>
      <c r="N34" s="3" t="s">
        <v>273</v>
      </c>
      <c r="O34" t="s">
        <v>328</v>
      </c>
      <c r="P34" s="7">
        <v>31</v>
      </c>
      <c r="Q34" s="13">
        <v>998085122</v>
      </c>
    </row>
    <row r="35" spans="1:17" ht="15" x14ac:dyDescent="0.25">
      <c r="A35" s="3" t="s">
        <v>34</v>
      </c>
      <c r="B35" s="5" t="s">
        <v>71</v>
      </c>
      <c r="C35" s="3" t="s">
        <v>108</v>
      </c>
      <c r="D35" s="12" t="s">
        <v>331</v>
      </c>
      <c r="E35" s="7" t="s">
        <v>139</v>
      </c>
      <c r="F35" s="7" t="s">
        <v>186</v>
      </c>
      <c r="G35" s="3" t="s">
        <v>195</v>
      </c>
      <c r="H35" t="s">
        <v>324</v>
      </c>
      <c r="I35" t="s">
        <v>325</v>
      </c>
      <c r="J35" s="7">
        <v>4033838</v>
      </c>
      <c r="K35" s="3" t="s">
        <v>241</v>
      </c>
      <c r="L35" s="3" t="s">
        <v>400</v>
      </c>
      <c r="M35" t="s">
        <v>401</v>
      </c>
      <c r="N35" s="3" t="s">
        <v>274</v>
      </c>
      <c r="O35" t="s">
        <v>329</v>
      </c>
      <c r="P35" s="7">
        <v>11</v>
      </c>
      <c r="Q35" s="13">
        <v>965511339</v>
      </c>
    </row>
    <row r="36" spans="1:17" ht="15" x14ac:dyDescent="0.25">
      <c r="A36" s="3" t="s">
        <v>35</v>
      </c>
      <c r="B36" s="5" t="s">
        <v>72</v>
      </c>
      <c r="C36" s="3" t="s">
        <v>109</v>
      </c>
      <c r="D36" s="12" t="s">
        <v>333</v>
      </c>
      <c r="E36" s="7" t="s">
        <v>143</v>
      </c>
      <c r="F36" s="7" t="s">
        <v>187</v>
      </c>
      <c r="G36" s="3" t="s">
        <v>201</v>
      </c>
      <c r="H36" t="s">
        <v>324</v>
      </c>
      <c r="I36" t="s">
        <v>325</v>
      </c>
      <c r="J36" s="7">
        <v>4033848</v>
      </c>
      <c r="K36" s="3" t="s">
        <v>232</v>
      </c>
      <c r="L36" s="3" t="s">
        <v>402</v>
      </c>
      <c r="M36" t="s">
        <v>403</v>
      </c>
      <c r="N36" s="3" t="s">
        <v>265</v>
      </c>
      <c r="O36" t="s">
        <v>289</v>
      </c>
      <c r="P36" s="7">
        <v>51</v>
      </c>
      <c r="Q36" s="13">
        <v>980364469</v>
      </c>
    </row>
    <row r="37" spans="1:17" ht="15" x14ac:dyDescent="0.25">
      <c r="A37" s="3" t="s">
        <v>36</v>
      </c>
      <c r="B37" s="5" t="s">
        <v>73</v>
      </c>
      <c r="C37" s="3" t="s">
        <v>110</v>
      </c>
      <c r="D37" s="12" t="s">
        <v>332</v>
      </c>
      <c r="E37" s="7" t="s">
        <v>151</v>
      </c>
      <c r="F37" s="7" t="s">
        <v>188</v>
      </c>
      <c r="G37" s="3" t="s">
        <v>202</v>
      </c>
      <c r="H37" t="s">
        <v>324</v>
      </c>
      <c r="I37" t="s">
        <v>325</v>
      </c>
      <c r="J37" s="7">
        <v>4033853</v>
      </c>
      <c r="K37" s="3" t="s">
        <v>237</v>
      </c>
      <c r="L37" s="3" t="s">
        <v>404</v>
      </c>
      <c r="M37" t="s">
        <v>405</v>
      </c>
      <c r="N37" s="3" t="s">
        <v>270</v>
      </c>
      <c r="O37" t="s">
        <v>330</v>
      </c>
      <c r="P37" s="7">
        <v>41</v>
      </c>
      <c r="Q37" s="13">
        <v>992224589</v>
      </c>
    </row>
  </sheetData>
  <conditionalFormatting sqref="B1">
    <cfRule type="duplicateValues" dxfId="16" priority="13"/>
    <cfRule type="duplicateValues" dxfId="15" priority="14"/>
    <cfRule type="duplicateValues" dxfId="14" priority="15"/>
  </conditionalFormatting>
  <conditionalFormatting sqref="B1">
    <cfRule type="duplicateValues" dxfId="13" priority="16"/>
  </conditionalFormatting>
  <conditionalFormatting sqref="B1">
    <cfRule type="duplicateValues" dxfId="12" priority="17"/>
  </conditionalFormatting>
  <conditionalFormatting sqref="B2">
    <cfRule type="duplicateValues" dxfId="11" priority="9"/>
    <cfRule type="duplicateValues" dxfId="10" priority="10"/>
    <cfRule type="duplicateValues" dxfId="9" priority="11"/>
  </conditionalFormatting>
  <conditionalFormatting sqref="B2">
    <cfRule type="duplicateValues" dxfId="8" priority="12"/>
  </conditionalFormatting>
  <conditionalFormatting sqref="B6:B37 B3:B4">
    <cfRule type="duplicateValues" dxfId="7" priority="5"/>
    <cfRule type="duplicateValues" dxfId="6" priority="6"/>
    <cfRule type="duplicateValues" dxfId="5" priority="7"/>
  </conditionalFormatting>
  <conditionalFormatting sqref="B6:B37 B3:B4">
    <cfRule type="duplicateValues" dxfId="4" priority="8"/>
  </conditionalFormatting>
  <conditionalFormatting sqref="B5">
    <cfRule type="duplicateValues" dxfId="3" priority="1"/>
    <cfRule type="duplicateValues" dxfId="2" priority="2"/>
    <cfRule type="duplicateValues" dxfId="1" priority="3"/>
  </conditionalFormatting>
  <conditionalFormatting sqref="B5">
    <cfRule type="duplicateValues" dxfId="0" priority="4"/>
  </conditionalFormatting>
  <hyperlinks>
    <hyperlink ref="D2" r:id="rId1" display="EFLENHARO@GMAIL.COM," xr:uid="{CFD7AD54-1BB2-4ED9-87C6-964B27F5D322}"/>
    <hyperlink ref="D3" r:id="rId2" display="ELO@ELOFINANCE.COM.BR," xr:uid="{ABBE1813-92BE-47AB-A63D-622813DC6A55}"/>
    <hyperlink ref="D4" r:id="rId3" display="RAFAELMELLO.WORK@GMAIL.COM," xr:uid="{5314E360-CC97-4D94-81EA-5457ACA0ED24}"/>
    <hyperlink ref="D5" r:id="rId4" display="DIEGO@ATUSSEGUROS.COM.BR," xr:uid="{DF455862-3B80-465B-92AE-C55F7EC64A0F}"/>
    <hyperlink ref="D6" r:id="rId5" display="LIGIA@MMGUIMARAES.COM.BR," xr:uid="{B13AD86C-7A24-4318-ACAB-77105069BF53}"/>
    <hyperlink ref="D7" r:id="rId6" display="CORRETORA.BERTUCCI@GMAIL.COM," xr:uid="{15D8A6B3-2486-4546-AFC0-3F101937C857}"/>
    <hyperlink ref="D8" r:id="rId7" display="PATRICIA.PASASEGUROS@GMAIL.COM," xr:uid="{B7F06C0C-D041-4D01-A365-B79651C84C59}"/>
    <hyperlink ref="D9" r:id="rId8" display="VIDA.RESIDENCIA@BRAGATOSEGUROS.COM.BR," xr:uid="{E9E66CBC-8478-4CF3-99EC-41113542A6E6}"/>
    <hyperlink ref="D10" r:id="rId9" display="XRAVSEGUROSEIMOVEIS@GMAIL.COM," xr:uid="{E416C37B-5542-4EB0-A61B-E7E17404B703}"/>
    <hyperlink ref="D11" r:id="rId10" display="CATULO@CRCSEGUROS.COM.BR," xr:uid="{D8FB0E2D-C6C3-4309-8FFC-02EC1B6FEDE4}"/>
    <hyperlink ref="D12" r:id="rId11" display="THIAGOVICO15@GMAIL.COM," xr:uid="{723132E1-A930-41B1-8EF0-6364581CDFDC}"/>
    <hyperlink ref="D13" r:id="rId12" display="BRUNOMIGUELGUIMARAES@OUTLOOK.COM.BR," xr:uid="{E4E373D2-1DB3-43A4-BFBF-D8FFC1C20E2D}"/>
    <hyperlink ref="D14" r:id="rId13" display="ALINE@MARONICORRETORA.COM.BR," xr:uid="{BFFA4E93-003D-4AF7-A731-FDA0164D1723}"/>
    <hyperlink ref="D34" r:id="rId14" xr:uid="{D2A2F6B5-8480-47EC-9D64-7E56EAF884B9}"/>
    <hyperlink ref="D35" r:id="rId15" xr:uid="{26D88EAF-1BE2-474B-85F3-9204C4556839}"/>
    <hyperlink ref="D37" r:id="rId16" xr:uid="{27B0FC41-87EC-48B9-806C-5122294A5783}"/>
    <hyperlink ref="D36" r:id="rId17" xr:uid="{5DA5F0FE-EC80-4971-A546-1EE0E0BFF99E}"/>
  </hyperlinks>
  <pageMargins left="0.511811024" right="0.511811024" top="0.78740157499999996" bottom="0.78740157499999996" header="0.31496062000000002" footer="0.31496062000000002"/>
  <headerFooter>
    <oddHeader>&amp;C&amp;"Calibri"&amp;10&amp;K000000 Internal&amp;1#_x000D_</oddHeader>
  </headerFooter>
  <legacyDrawing r:id="rId1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3AB9331D802B47B8DA468CC3B1713D" ma:contentTypeVersion="27" ma:contentTypeDescription="Create a new document." ma:contentTypeScope="" ma:versionID="f3d40da63d805e1fd206d46e4597ee60">
  <xsd:schema xmlns:xsd="http://www.w3.org/2001/XMLSchema" xmlns:xs="http://www.w3.org/2001/XMLSchema" xmlns:p="http://schemas.microsoft.com/office/2006/metadata/properties" xmlns:ns2="77f8721a-0e3f-4cbe-bb7e-73894fdb563f" xmlns:ns3="eb382759-d26a-40d8-a54d-8756805eb934" targetNamespace="http://schemas.microsoft.com/office/2006/metadata/properties" ma:root="true" ma:fieldsID="f5a49dbe4afab63d137ccb6aedfa66ce" ns2:_="" ns3:_="">
    <xsd:import namespace="77f8721a-0e3f-4cbe-bb7e-73894fdb563f"/>
    <xsd:import namespace="eb382759-d26a-40d8-a54d-8756805eb934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DossierOwner" minOccurs="0"/>
                <xsd:element ref="ns2:DossierStatus" minOccurs="0"/>
                <xsd:element ref="ns2:d96f0e8189d94b2484d8e0033c14dd57" minOccurs="0"/>
                <xsd:element ref="ns2:TaxCatchAll" minOccurs="0"/>
                <xsd:element ref="ns2:TaxCatchAllLabel" minOccurs="0"/>
                <xsd:element ref="ns2:MailPreviewData" minOccurs="0"/>
                <xsd:element ref="ns2:ContractExpirationDate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lcf76f155ced4ddcb4097134ff3c332f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f8721a-0e3f-4cbe-bb7e-73894fdb563f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DossierOwner" ma:index="11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2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d96f0e8189d94b2484d8e0033c14dd57" ma:index="13" nillable="true" ma:taxonomy="true" ma:internalName="d96f0e8189d94b2484d8e0033c14dd57" ma:taxonomyFieldName="Document_Class" ma:displayName="Document Class" ma:fieldId="{d96f0e81-89d9-4b24-84d8-e0033c14dd57}" ma:sspId="10820af1-e82f-496e-bbcb-d9502914b7b2" ma:termSetId="a8fe5516-3f25-4a18-9fe8-9ec61fcfebb7" ma:anchorId="f3769284-ebf9-45c0-9e0f-a19a2a60e5c6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1593a0a8-00bf-47b4-ba4e-3198fe5c43d4}" ma:internalName="TaxCatchAll" ma:showField="CatchAllData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1593a0a8-00bf-47b4-ba4e-3198fe5c43d4}" ma:internalName="TaxCatchAllLabel" ma:readOnly="true" ma:showField="CatchAllDataLabel" ma:web="77f8721a-0e3f-4cbe-bb7e-73894fdb56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MailPreviewData" ma:index="17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382759-d26a-40d8-a54d-8756805eb9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2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3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Status xmlns="77f8721a-0e3f-4cbe-bb7e-73894fdb563f" xsi:nil="true"/>
    <MailPreviewData xmlns="77f8721a-0e3f-4cbe-bb7e-73894fdb563f" xsi:nil="true"/>
    <DossierOwner xmlns="77f8721a-0e3f-4cbe-bb7e-73894fdb563f">
      <UserInfo>
        <DisplayName/>
        <AccountId xsi:nil="true"/>
        <AccountType/>
      </UserInfo>
    </DossierOwner>
    <TaxCatchAll xmlns="77f8721a-0e3f-4cbe-bb7e-73894fdb563f" xsi:nil="true"/>
    <lcf76f155ced4ddcb4097134ff3c332f xmlns="eb382759-d26a-40d8-a54d-8756805eb934">
      <Terms xmlns="http://schemas.microsoft.com/office/infopath/2007/PartnerControls"/>
    </lcf76f155ced4ddcb4097134ff3c332f>
    <ContractExpirationDate xmlns="77f8721a-0e3f-4cbe-bb7e-73894fdb563f" xsi:nil="true"/>
    <d96f0e8189d94b2484d8e0033c14dd57 xmlns="77f8721a-0e3f-4cbe-bb7e-73894fdb563f">
      <Terms xmlns="http://schemas.microsoft.com/office/infopath/2007/PartnerControls"/>
    </d96f0e8189d94b2484d8e0033c14dd57>
    <_dlc_DocId xmlns="77f8721a-0e3f-4cbe-bb7e-73894fdb563f">ZUED7FHJQYP5-817047121-65260</_dlc_DocId>
    <_dlc_DocIdUrl xmlns="77f8721a-0e3f-4cbe-bb7e-73894fdb563f">
      <Url>https://allianzms.sharepoint.com/teams/BR0010-4777699/_layouts/15/DocIdRedir.aspx?ID=ZUED7FHJQYP5-817047121-65260</Url>
      <Description>ZUED7FHJQYP5-817047121-65260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0FE1D538-5F4D-420D-BE1C-080536CFC3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7f8721a-0e3f-4cbe-bb7e-73894fdb563f"/>
    <ds:schemaRef ds:uri="eb382759-d26a-40d8-a54d-8756805eb93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CFFA29-452A-43E8-AEFE-9B3857859406}">
  <ds:schemaRefs>
    <ds:schemaRef ds:uri="http://schemas.microsoft.com/office/infopath/2007/PartnerControls"/>
    <ds:schemaRef ds:uri="http://schemas.microsoft.com/office/2006/documentManagement/types"/>
    <ds:schemaRef ds:uri="eb382759-d26a-40d8-a54d-8756805eb934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http://purl.org/dc/terms/"/>
    <ds:schemaRef ds:uri="77f8721a-0e3f-4cbe-bb7e-73894fdb563f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4C74804-8BD4-4ECC-BA6D-81B39459269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4F5080C-DD68-4944-B819-0787573A3FFE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Boas_Vindas</vt:lpstr>
    </vt:vector>
  </TitlesOfParts>
  <Company>Allianz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LOPES, ELAINE (ALLIANZ SEGUROS S A)</dc:creator>
  <cp:lastModifiedBy>LOPES, ELAINE (ALLIANZ SEGUROS S A)</cp:lastModifiedBy>
  <dcterms:created xsi:type="dcterms:W3CDTF">2024-08-27T17:26:35Z</dcterms:created>
  <dcterms:modified xsi:type="dcterms:W3CDTF">2024-08-29T12:59:59Z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63bc15e-e7bf-41c1-bdb3-03882d8a2e2c_Enabled">
    <vt:lpwstr>true</vt:lpwstr>
  </property>
  <property fmtid="{D5CDD505-2E9C-101B-9397-08002B2CF9AE}" pid="3" name="MSIP_Label_863bc15e-e7bf-41c1-bdb3-03882d8a2e2c_SetDate">
    <vt:lpwstr>2024-08-27T17:26:41Z</vt:lpwstr>
  </property>
  <property fmtid="{D5CDD505-2E9C-101B-9397-08002B2CF9AE}" pid="4" name="MSIP_Label_863bc15e-e7bf-41c1-bdb3-03882d8a2e2c_Method">
    <vt:lpwstr>Privileged</vt:lpwstr>
  </property>
  <property fmtid="{D5CDD505-2E9C-101B-9397-08002B2CF9AE}" pid="5" name="MSIP_Label_863bc15e-e7bf-41c1-bdb3-03882d8a2e2c_Name">
    <vt:lpwstr>863bc15e-e7bf-41c1-bdb3-03882d8a2e2c</vt:lpwstr>
  </property>
  <property fmtid="{D5CDD505-2E9C-101B-9397-08002B2CF9AE}" pid="6" name="MSIP_Label_863bc15e-e7bf-41c1-bdb3-03882d8a2e2c_SiteId">
    <vt:lpwstr>6e06e42d-6925-47c6-b9e7-9581c7ca302a</vt:lpwstr>
  </property>
  <property fmtid="{D5CDD505-2E9C-101B-9397-08002B2CF9AE}" pid="7" name="MSIP_Label_863bc15e-e7bf-41c1-bdb3-03882d8a2e2c_ActionId">
    <vt:lpwstr>e2373e1e-1bf5-494d-8fd0-36b0c8bc3dd8</vt:lpwstr>
  </property>
  <property fmtid="{D5CDD505-2E9C-101B-9397-08002B2CF9AE}" pid="8" name="MSIP_Label_863bc15e-e7bf-41c1-bdb3-03882d8a2e2c_ContentBits">
    <vt:lpwstr>1</vt:lpwstr>
  </property>
  <property fmtid="{D5CDD505-2E9C-101B-9397-08002B2CF9AE}" pid="9" name="ContentTypeId">
    <vt:lpwstr>0x0101001D3AB9331D802B47B8DA468CC3B1713D</vt:lpwstr>
  </property>
  <property fmtid="{D5CDD505-2E9C-101B-9397-08002B2CF9AE}" pid="10" name="_dlc_DocIdItemGuid">
    <vt:lpwstr>33ef0ccf-f64b-455b-9056-de287a9e58b3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p6ce261ab421452c87abcb45478425f4">
    <vt:lpwstr/>
  </property>
  <property fmtid="{D5CDD505-2E9C-101B-9397-08002B2CF9AE}" pid="15" name="a34f33f34c364e84961dfe5d6b21daeb">
    <vt:lpwstr/>
  </property>
  <property fmtid="{D5CDD505-2E9C-101B-9397-08002B2CF9AE}" pid="16" name="Document_Class">
    <vt:lpwstr/>
  </property>
  <property fmtid="{D5CDD505-2E9C-101B-9397-08002B2CF9AE}" pid="17" name="_AdHocReviewCycleID">
    <vt:i4>631062469</vt:i4>
  </property>
  <property fmtid="{D5CDD505-2E9C-101B-9397-08002B2CF9AE}" pid="18" name="_NewReviewCycle">
    <vt:lpwstr/>
  </property>
  <property fmtid="{D5CDD505-2E9C-101B-9397-08002B2CF9AE}" pid="19" name="_EmailSubject">
    <vt:lpwstr>Ba filial física.</vt:lpwstr>
  </property>
  <property fmtid="{D5CDD505-2E9C-101B-9397-08002B2CF9AE}" pid="20" name="_AuthorEmail">
    <vt:lpwstr>elaine.lopes@allianz.com.br</vt:lpwstr>
  </property>
  <property fmtid="{D5CDD505-2E9C-101B-9397-08002B2CF9AE}" pid="21" name="_AuthorEmailDisplayName">
    <vt:lpwstr>LOPES, ELAINE (ALLIANZ SEGUROS S A)</vt:lpwstr>
  </property>
</Properties>
</file>