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37" documentId="8_{98736ABC-F402-4B7B-83C1-1C193B0CD374}" xr6:coauthVersionLast="47" xr6:coauthVersionMax="47" xr10:uidLastSave="{32C92219-2160-413D-B2BE-7A649AD59846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externalReferences>
    <externalReference r:id="rId4"/>
  </externalReference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8" i="1" l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2" i="3"/>
</calcChain>
</file>

<file path=xl/sharedStrings.xml><?xml version="1.0" encoding="utf-8"?>
<sst xmlns="http://schemas.openxmlformats.org/spreadsheetml/2006/main" count="2357" uniqueCount="375">
  <si>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</si>
  <si>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</si>
  <si>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</si>
  <si>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</si>
  <si>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</si>
  <si>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</si>
  <si>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</si>
  <si>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</si>
  <si>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</si>
  <si>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</si>
  <si>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</si>
  <si>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</si>
  <si>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</si>
  <si>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</si>
  <si>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</si>
  <si>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</si>
  <si>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</si>
  <si>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</si>
  <si>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</si>
  <si>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</si>
  <si>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</si>
  <si>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</si>
  <si>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</si>
  <si>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</si>
  <si>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</si>
  <si>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</si>
  <si>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</si>
  <si>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</si>
  <si>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</si>
  <si>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</si>
  <si>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</si>
  <si>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</si>
  <si>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</si>
  <si>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</si>
  <si>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Ação</t>
  </si>
  <si>
    <t>Proatividade manual Robô</t>
  </si>
  <si>
    <t>BE53725</t>
  </si>
  <si>
    <t>Cobrado</t>
  </si>
  <si>
    <t>contato@millertorres.com.br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</si>
  <si>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</si>
  <si>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</si>
  <si>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</si>
  <si>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</si>
  <si>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</si>
  <si>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</si>
  <si>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</si>
  <si>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</si>
  <si>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Captura de parcela rejeitada - Apólice 129558670 - ALESSANDRA VIRGILIO DE SOUSA</t>
  </si>
  <si>
    <t>Captura de parcela rejeitada - Apólice 129598995 - ROBERTA REINIGER OLIVERO</t>
  </si>
  <si>
    <t>Captura de parcela rejeitada - Apólice 129624074 - ROSELAINE BONFIM LIMA SILVA</t>
  </si>
  <si>
    <t>Captura de parcela rejeitada - Apólice 129663894 - LUIZ CARLOS MUNHOZ</t>
  </si>
  <si>
    <t>Captura de parcela rejeitada - Apólice 129662685 - JOSE HELENO DE SOUZA</t>
  </si>
  <si>
    <t>Captura de parcela rejeitada - Apólice 129656383 - SABRINA DE OLIVEIRA FLORENCIO</t>
  </si>
  <si>
    <t>Captura de parcela rejeitada - Apólice 129678576 - PEDRO RAFAEL DE OLIVEIRA PORTO</t>
  </si>
  <si>
    <t>Captura de parcela rejeitada - Apólice 129662090 - ELIANA ANDREAZZI</t>
  </si>
  <si>
    <t>Captura de parcela rejeitada - Apólice 130038760 - LILIAN GALLINELLA CRUZ</t>
  </si>
  <si>
    <t>Captura de parcela rejeitada - Apólice 130066339 - THAMARA LUIZA OLIVEIRA LEMOS</t>
  </si>
  <si>
    <t>Captura de parcela rejeitada - Apólice 130069374 - ANGELINA BOCHI SALLES</t>
  </si>
  <si>
    <t>Captura de parcela rejeitada - Apólice 130063826 - MARCIO BAPTISTA DA CRUZ</t>
  </si>
  <si>
    <t>Captura de parcela rejeitada - Apólice 130060396 - HELIO FERREIRA DOS SANTOS</t>
  </si>
  <si>
    <t>Captura de parcela rejeitada - Apólice 130086616 - SELMA FREITAS DE SOUSA</t>
  </si>
  <si>
    <t>Captura de parcela rejeitada - Apólice 130107688 - MARILIA GUERRA LOPES</t>
  </si>
  <si>
    <t>Captura de parcela rejeitada - Apólice 130125009 - CRISTINA MAYUMI HOSHI DE BRITO</t>
  </si>
  <si>
    <t>Captura de parcela rejeitada - Apólice 130103124 - DEBORA AGUIAR MELLO</t>
  </si>
  <si>
    <t>Captura de parcela rejeitada - Apólice 130245353 - ZAQUEU BATISTA DA SILVA</t>
  </si>
  <si>
    <t>Captura de parcela rejeitada - Apólice 130322429 - PATRICIA LIMA</t>
  </si>
  <si>
    <t>Captura de parcela rejeitada - Apólice 130497475 - MARCELINA OLIVEIRA DE SANTANA</t>
  </si>
  <si>
    <t>Captura de parcela rejeitada - Apólice 130851238 - HERLYANE SILVA DE ANDRADE</t>
  </si>
  <si>
    <t>Captura de parcela rejeitada - Apólice 130836803 - LUCIANO SCHIAVI</t>
  </si>
  <si>
    <t>Captura de parcela rejeitada - Apólice 130866518 - PEDRO HENRIQUE SALGADO CHRISPIM</t>
  </si>
  <si>
    <t>Captura de parcela rejeitada - Apólice 130870233 - REGIA ALMEIDA DE SOUZA</t>
  </si>
  <si>
    <t>Captura de parcela rejeitada - Apólice 130855907 - JOAO MIGUEL CZEREVATY</t>
  </si>
  <si>
    <t>Captura de parcela rejeitada - Apólice 130873234 - EURICO VITOR RAMON BARBOSA SANTOS DE SOUZA</t>
  </si>
  <si>
    <t>Captura de parcela rejeitada - Apólice 130851559 - KATIANE MARTINS MAGALHAES</t>
  </si>
  <si>
    <t>Captura de parcela rejeitada - Apólice 131181378 - PAMELA IRUAMA PERES PEREIRA</t>
  </si>
  <si>
    <t>Captura de parcela rejeitada - Apólice 131218740 - LAUDICEIO APARECIDO TEMPONI BALDAN</t>
  </si>
  <si>
    <t>Captura de parcela rejeitada - Apólice 131246003 - RITA ELISABETE MAYORI</t>
  </si>
  <si>
    <t>Captura de parcela rejeitada - Apólice 131240077 - REGINA CELIA SIMOES CAMPOS</t>
  </si>
  <si>
    <t>Captura de parcela rejeitada - Apólice 131261390 - JONATHAS RAFAEL DA SILVA CABRAL PASSOS</t>
  </si>
  <si>
    <t>Captura de parcela rejeitada - Apólice 131264777 - MYLENE DA CUNHA CAMARGO DE SOUZA</t>
  </si>
  <si>
    <t>Captura de parcela rejeitada - Apólice 131223891 - FRANCISCO MARTINS FILHO</t>
  </si>
  <si>
    <t>Captura de parcela rejeitada - Apólice 131297764 - MARIA EDEZIA LOPES DOS SANTOS</t>
  </si>
  <si>
    <t>Captura de parcela rejeitada - Apólice 131297479 - THIAGO VINICIUS HUMBERTO DE SOUZA</t>
  </si>
  <si>
    <t>Captura de parcela rejeitada - Apólice 131593763 - PAMELLA SANTOS DA SILVA VIEIRA</t>
  </si>
  <si>
    <t>Captura de parcela rejeitada - Apólice 131612424 - JOAO VARELA DA SILVA</t>
  </si>
  <si>
    <t>Captura de parcela rejeitada - Apólice 131654496 - ALAN MARTINS DO PRADO</t>
  </si>
  <si>
    <t>Captura de parcela rejeitada - Apólice 131627218 - SUZY HELLEN SILVEIRA SANTIAGO</t>
  </si>
  <si>
    <t>Captura de parcela rejeitada - Apólice 131609269 - RICARDO BUENO DOS SANTOS</t>
  </si>
  <si>
    <t>Captura de parcela rejeitada - Apólice 131608737 - JOSE GERMANO NETO</t>
  </si>
  <si>
    <t>Captura de parcela rejeitada - Apólice 131657795 - MARCELO PEVIDOR PEREIRA</t>
  </si>
  <si>
    <t>Captura de parcela rejeitada - Apólice 132000280 - SANDRA MARIA DE JESUS TRIGO</t>
  </si>
  <si>
    <t>Captura de parcela rejeitada - Apólice 132024465 - FRANCINELY CRISTINA DE OLIVEIRA GONCALVES</t>
  </si>
  <si>
    <t>Captura de parcela rejeitada - Apólice 132034432 - DANILO BARBOSA MARQUES SIMAO</t>
  </si>
  <si>
    <t>Captura de parcela rejeitada - Apólice 132064104 - ALLAN ALBINO DE FIGUEREDO</t>
  </si>
  <si>
    <t>Captura de parcela rejeitada - Apólice 132068503 - MARCIANA TORQUATO ALVES CHASTINET</t>
  </si>
  <si>
    <t>Captura de parcela rejeitada - Apólice 132068790 - RICARDO SALES SOARES</t>
  </si>
  <si>
    <t>Captura de parcela rejeitada - Apólice 132069289 - MARIA CECILIA BARBIERI PIMENTEL DA SILVA</t>
  </si>
  <si>
    <t>Captura de parcela rejeitada - Apólice 132080960 - BRUNA NATALIA UMBELINO MARREIRO</t>
  </si>
  <si>
    <t>Captura de parcela rejeitada - Apólice 132077025 - CLAUDIMIR TADEU RAZUK</t>
  </si>
  <si>
    <t>Captura de parcela rejeitada - Apólice 132073516 - FERNANDA DE OLIVEIRA SILVEIRA</t>
  </si>
  <si>
    <t>Captura de parcela rejeitada - Apólice 132220591 - ADRIANA HELENA LEAL</t>
  </si>
  <si>
    <t>Captura de parcela rejeitada - Apólice 132318962 - RODRIGO REIS PASTORE</t>
  </si>
  <si>
    <t>Captura de parcela rejeitada - Apólice 132454082 - FELIPE CHIN LAU</t>
  </si>
  <si>
    <t>Captura de parcela rejeitada - Apólice 132799417 - BARBARA DOS SANTOS RIBEIRO</t>
  </si>
  <si>
    <t>Captura de parcela rejeitada - Apólice 129434368 - JO ANN MARY POPP</t>
  </si>
  <si>
    <t>Captura de parcela rejeitada - Apólice 129490848 - EUGENIO RIVERO FLEITES</t>
  </si>
  <si>
    <t>Captura de parcela rejeitada - Apólice 129549406 - KATIA LOPES SEVILHANO</t>
  </si>
  <si>
    <t>Captura de parcela rejeitada - Apólice 129594156 - ATAINA DORILEO DOS SANTOS VAZ</t>
  </si>
  <si>
    <t>Captura de parcela rejeitada - Apólice 129626984 - SANDRA MARIA COELHO</t>
  </si>
  <si>
    <t>Captura de parcela rejeitada - Apólice 129594677 - ANTONIEL GONCALVES NOGUEIRA</t>
  </si>
  <si>
    <t>Captura de parcela rejeitada - Apólice 129654461 - LUNAIR RODRIGUES LOPES</t>
  </si>
  <si>
    <t>Captura de parcela rejeitada - Apólice 129655721 - LUCIANA CARREIRA BOSCARATO</t>
  </si>
  <si>
    <t>Captura de parcela rejeitada - Apólice 129628901 - JENEFFER AYUMI IMADA</t>
  </si>
  <si>
    <t>Captura de parcela rejeitada - Apólice 130082857 - SUELLY RODRIGUES VITOR DA SILVA</t>
  </si>
  <si>
    <t>Captura de parcela rejeitada - Apólice 130084938 - CARLOS DONIZETI LOPES DE AZEVEDO</t>
  </si>
  <si>
    <t>Captura de parcela rejeitada - Apólice 130284617 - VANI PEREIRA GIARETTA</t>
  </si>
  <si>
    <t>Captura de parcela rejeitada - Apólice 130458166 - CLAUDIA MARISA RODRIGUES VIEIRA</t>
  </si>
  <si>
    <t>Captura de parcela rejeitada - Apólice 130486729 - MAURA BARTIRA ARAUJO SOARES</t>
  </si>
  <si>
    <t>Captura de parcela rejeitada - Apólice 130505303 - CRISTIANE MENEGHELLI RODRIGUES OTAVIANO</t>
  </si>
  <si>
    <t>Captura de parcela rejeitada - Apólice 130491083 - VANIA FARIAS BARRETO</t>
  </si>
  <si>
    <t>Captura de parcela rejeitada - Apólice 130812263 - LADYANE PEREIRA DE OLIVEIRA</t>
  </si>
  <si>
    <t>Captura de parcela rejeitada - Apólice 130831971 - JULIANO LUIZ SINIGAGLIA</t>
  </si>
  <si>
    <t>Captura de parcela rejeitada - Apólice 130846428 - ALEX ROSA</t>
  </si>
  <si>
    <t>Captura de parcela rejeitada - Apólice 130846389 - ANA CRISTINA FARIA</t>
  </si>
  <si>
    <t>Captura de parcela rejeitada - Apólice 130845108 - LUIZ FERNANDO CAPELEZZO</t>
  </si>
  <si>
    <t>Captura de parcela rejeitada - Apólice 130853957 - ALEXSANDRA CALIXTO GUIMARAES GIFONI</t>
  </si>
  <si>
    <t>Captura de parcela rejeitada - Apólice 131139529 - PERICLES GONCALVES FILHO</t>
  </si>
  <si>
    <t>Captura de parcela rejeitada - Apólice 131217978 - CRISTIANO TAGLIAFERRE</t>
  </si>
  <si>
    <t>Captura de parcela rejeitada - Apólice 131260448 - CASSIUS TADEU SCARPIN</t>
  </si>
  <si>
    <t>Captura de parcela rejeitada - Apólice 131229773 - LUCIANO ZANON</t>
  </si>
  <si>
    <t>Captura de parcela rejeitada - Apólice 131292372 - FULVIA CRISTINA RICCI</t>
  </si>
  <si>
    <t>Captura de parcela rejeitada - Apólice 131540137 - AUGUSTA IZABEL FONSECA</t>
  </si>
  <si>
    <t>Captura de parcela rejeitada - Apólice 131540019 - MARLENE RODRIGUES DA SILVA DIAS</t>
  </si>
  <si>
    <t>Captura de parcela rejeitada - Apólice 131623029 - WGBR COMERCIO DE VESTUARIO LTDA ME</t>
  </si>
  <si>
    <t>Captura de parcela rejeitada - Apólice 131628204 - ZILDO BARBOSA DE ALMEIDA</t>
  </si>
  <si>
    <t>Captura de parcela rejeitada - Apólice 131630330 - SERGIO ZANELATO</t>
  </si>
  <si>
    <t>Captura de parcela rejeitada - Apólice 131648748 - NATALY GARCIA SALLES PETRAKIS</t>
  </si>
  <si>
    <t>Captura de parcela rejeitada - Apólice 131540053 - MAURA MARIA DE FARIA</t>
  </si>
  <si>
    <t>Captura de parcela rejeitada - Apólice 131854076 - NICOLAS ALEXANDRE BOSCHI VIANNA</t>
  </si>
  <si>
    <t>Captura de parcela rejeitada - Apólice 132028929 - EMANUELLE CORREA PERES</t>
  </si>
  <si>
    <t>Captura de parcela rejeitada - Apólice 132039473 - WALQUIRIO JOSE DE ALMEIDA</t>
  </si>
  <si>
    <t>Captura de parcela rejeitada - Apólice 132064774 - JOSE GERALDO AMARAL WEST</t>
  </si>
  <si>
    <t>Captura de parcela rejeitada - Apólice 132062290 - FRANCISCO BARBOSA DA SILVA</t>
  </si>
  <si>
    <t>Captura de parcela rejeitada - Apólice 132451060 - JUNG HI RODENBECK</t>
  </si>
  <si>
    <t>Captura de parcela rejeitada - Apólice 132875503 - ALESSANDRO DA SILVA LOPES</t>
  </si>
  <si>
    <t>Captura de parcela rejeitada - Apólice 132871911 - GLAUCIELLE APARECIDA DOS SANTOS SILVA</t>
  </si>
  <si>
    <t>Captura de parcela rejeitada - Apólice 129627471 - NAIR DE SOUZA COSTA</t>
  </si>
  <si>
    <t>Captura de parcela rejeitada - Apólice 129976174 - ANA CRISTINA MACIEL</t>
  </si>
  <si>
    <t>Captura de parcela rejeitada - Apólice 129973582 - VALDERI PAGLIARINI</t>
  </si>
  <si>
    <t>Captura de parcela rejeitada - Apólice 130451585 - ADRIANA ROSA MELONI MOUALLEM</t>
  </si>
  <si>
    <t>Captura de parcela rejeitada - Apólice 130508283 - DANIELA CRISTINA GIROTTO DA SILVA</t>
  </si>
  <si>
    <t>Captura de parcela rejeitada - Apólice 131244080 - ELIENAI RODRIGUES VITORIANO</t>
  </si>
  <si>
    <t>Captura de parcela rejeitada - Apólice 131540092 - FERNANDO JOSE BARREIROS MANSO</t>
  </si>
  <si>
    <t>Captura de parcela rejeitada - Apólice 131540138 - NELSON DINE</t>
  </si>
  <si>
    <t>Captura de parcela rejeitada - Apólice 131540155 - ROGERIO RANCATTI</t>
  </si>
  <si>
    <t>Captura de parcela rejeitada - Apólice 130474244 - MILENA HIROMI SHIMADA</t>
  </si>
  <si>
    <t>Captura de parcela rejeitada - Apólice 129972919 - PAULO RODOLFO SILVA FLECHER</t>
  </si>
  <si>
    <t>Captura de parcela rejeitada - Apólice 129973629 - SERGIO FERNANDES BARBOSA</t>
  </si>
  <si>
    <t>Captura de parcela rejeitada - Apólice 129975854 - MONICA RODRIGUES ALVES</t>
  </si>
  <si>
    <t>Captura de parcela rejeitada - Apólice 130431146 - JORGE ALEXANDRE ROCHA FERNANDES</t>
  </si>
  <si>
    <t>Captura de parcela rejeitada - Apólice 130462583 - MARIA SANDRA BEZERRA</t>
  </si>
  <si>
    <t>Captura de parcela rejeitada - Apólice 131540201 - PAULO FERNANDO DE SIQUEIRA</t>
  </si>
  <si>
    <t>Captura de parcela rejeitada - Apólice 131540172 - EDISON MALUF JUNIOR</t>
  </si>
  <si>
    <t>Captura de parcela rejeitada - Apólice 131540063 - EDENILSON PASCOALINI</t>
  </si>
  <si>
    <t>Captura de parcela rejeitada - Apólice 131539952 - LIGIA CRISTINA CERDEIRA CIULADA</t>
  </si>
  <si>
    <t>Captura de parcela rejeitada - Apólice 131936767 - FERNANDA ROCHA GOMES</t>
  </si>
  <si>
    <t>milanaevanderseguros@gmail.com</t>
  </si>
  <si>
    <t>raphaela@hmseguros.com.br</t>
  </si>
  <si>
    <t>blindage@blindageseguros.com.br</t>
  </si>
  <si>
    <t>reesp@astecaseguros.com.br</t>
  </si>
  <si>
    <t>coperseg.pe@terra.com.br</t>
  </si>
  <si>
    <t>renovacaoseguros@honda.com.br</t>
  </si>
  <si>
    <t>corretora@pessego.com</t>
  </si>
  <si>
    <t>balta@baltaseguros.com.br</t>
  </si>
  <si>
    <t>mmfigueiredocorretora@outlook.com</t>
  </si>
  <si>
    <t>allianz@redelojacorr.com.br</t>
  </si>
  <si>
    <t>contato@nixseguros.com.br</t>
  </si>
  <si>
    <t>vitor@gropelo.com.br</t>
  </si>
  <si>
    <t>pendencia@seguralta.com.br</t>
  </si>
  <si>
    <t>maisbrasilcor@maisbrasilcor.com.br</t>
  </si>
  <si>
    <t>agromarista@agromarista.com.br</t>
  </si>
  <si>
    <t>seguros@conectavalle.com.br</t>
  </si>
  <si>
    <t>sicoobcorretora@sicoobcorretora.com.br</t>
  </si>
  <si>
    <t>geopcelula1@brbseguros.com.br</t>
  </si>
  <si>
    <t>corretora@sicredi.com.br</t>
  </si>
  <si>
    <t>suporte.vvd@vwfs.com</t>
  </si>
  <si>
    <t>inovacaoseguros@terra.com.br</t>
  </si>
  <si>
    <t>keila.castro@rodonavesseguros.com.br</t>
  </si>
  <si>
    <t>seguros@innovatescorretora.com.br</t>
  </si>
  <si>
    <t>emissao@uaibrasilseguros.com.br</t>
  </si>
  <si>
    <t>georgia@foxseguros.com.br</t>
  </si>
  <si>
    <t>essegseguros@essegseguros.com.br</t>
  </si>
  <si>
    <t>atendimento@douraseg.com.br</t>
  </si>
  <si>
    <t>jlicorretora@hotmail.com</t>
  </si>
  <si>
    <t>segura@seguracorretora.com.br</t>
  </si>
  <si>
    <t>sergio@dcastroseguros.com</t>
  </si>
  <si>
    <t>renata.guedes@adtsa.com.br</t>
  </si>
  <si>
    <t>investseg.tm@gmail.com</t>
  </si>
  <si>
    <t>zelito@zelitoleiteseguros.com.br</t>
  </si>
  <si>
    <t>valdecir@bomjesusseguros.com.br</t>
  </si>
  <si>
    <t>atendimento@omcorretoradeseguros.com.br</t>
  </si>
  <si>
    <t>contato@unifisaseguros.com.br</t>
  </si>
  <si>
    <t>seguros2@zeitunemazoni.com.br</t>
  </si>
  <si>
    <t>grand.especiale@gmail.com</t>
  </si>
  <si>
    <t>andreboti@gmail.com</t>
  </si>
  <si>
    <t>noveltycorretora@gmail.com</t>
  </si>
  <si>
    <t>aturiseg@aturiseg.com.br</t>
  </si>
  <si>
    <t>paulojurema@gmail.com</t>
  </si>
  <si>
    <t>edsant.adv@uol.com.br</t>
  </si>
  <si>
    <t>reinaldo.alves@carmais.com.br</t>
  </si>
  <si>
    <t>contato@luganocorretora.com.br</t>
  </si>
  <si>
    <t>aoseguros@aoseguros.com.br</t>
  </si>
  <si>
    <t>fabio@milaseguros.com.br</t>
  </si>
  <si>
    <t>mullercs@terra.com.br</t>
  </si>
  <si>
    <t>protecta@protectaseguros.com.br</t>
  </si>
  <si>
    <t>barizon@barizoncorretora.com.br</t>
  </si>
  <si>
    <t>kaprice@kapriceseguros.com.br</t>
  </si>
  <si>
    <t>pendencias@rbmseguros.com.br</t>
  </si>
  <si>
    <t>operacional@hpeseguros.com.br</t>
  </si>
  <si>
    <t>penskeseguros@outlook.com</t>
  </si>
  <si>
    <t>virginiavillela@gruponewchase.com.br</t>
  </si>
  <si>
    <t>marcus.lima@allianz.com.br</t>
  </si>
  <si>
    <t>otimuscorretora@gmail.com</t>
  </si>
  <si>
    <t>willi@williseguros.com.br</t>
  </si>
  <si>
    <t>douglas@alpevi.com.br</t>
  </si>
  <si>
    <t>gripp@grippseguros.com.br</t>
  </si>
  <si>
    <t>dagoberto@bascorretora.com.br</t>
  </si>
  <si>
    <t>c.meneghelliro@gmail.com</t>
  </si>
  <si>
    <t>contato@ambep.com.br</t>
  </si>
  <si>
    <t>capitalseg@hotmail.com</t>
  </si>
  <si>
    <t>fracel@fracelseguros.com.br</t>
  </si>
  <si>
    <t>aquilaseguros.mila@grupolider.com.br</t>
  </si>
  <si>
    <t>corrente@correntecorretora.com.br</t>
  </si>
  <si>
    <t>thaiscorseguros@gmail.com</t>
  </si>
  <si>
    <t>seguros@inredeseguros.com.br</t>
  </si>
  <si>
    <t>mediovale@mediovaleseguros.com.br</t>
  </si>
  <si>
    <t>cibele@casafortte.com.br</t>
  </si>
  <si>
    <t>adm.protego@gmail.com</t>
  </si>
  <si>
    <t>jasescor@gmail.com</t>
  </si>
  <si>
    <t>gustavo@patrimus.com.br</t>
  </si>
  <si>
    <t>sidneiscunha@bol.com.br</t>
  </si>
  <si>
    <t>enseadaseg@gmail.com</t>
  </si>
  <si>
    <t>giannis.uerj@gmail.com</t>
  </si>
  <si>
    <t>kednacorretora@gmail.com</t>
  </si>
  <si>
    <t>atendimento@segurosdobrasil.com.br</t>
  </si>
  <si>
    <t>prisminas@prisminas.com.br</t>
  </si>
  <si>
    <t>emissao@viconseg.com.br</t>
  </si>
  <si>
    <t>renova@procede.com.br</t>
  </si>
  <si>
    <t>alessandroslopes@yahoo.com.br</t>
  </si>
  <si>
    <t>cambeseguros@gmail.com</t>
  </si>
  <si>
    <t>vbsegs@gmail.com</t>
  </si>
  <si>
    <t>piva@pivacorretora.com.br</t>
  </si>
  <si>
    <t>atendimento@grechiseguros.com.br</t>
  </si>
  <si>
    <t>comercial@mobyseguros.com.br</t>
  </si>
  <si>
    <t>solucaocorretoradeseguros@gmail.com</t>
  </si>
  <si>
    <t>evoraseguros@evoraseguros.com.br</t>
  </si>
  <si>
    <t>reck@reckseguros.com.br</t>
  </si>
  <si>
    <t>epsegcorretora@terra.com.br</t>
  </si>
  <si>
    <t>sibscorretora@gmail.com</t>
  </si>
  <si>
    <t>viviansalvador@terra.com.br</t>
  </si>
  <si>
    <t>seguros@sisprimedobrasil.com.br</t>
  </si>
  <si>
    <t>marciomanso@hotmail.com</t>
  </si>
  <si>
    <t>contato@maranilseguros.com.br</t>
  </si>
  <si>
    <t>juliocabana@fgcorretora.com.br</t>
  </si>
  <si>
    <t>adm@marconcinseguros.com.br</t>
  </si>
  <si>
    <t>elizabeth.oliveira@inworkscorretora.com.br</t>
  </si>
  <si>
    <t>segurosresendecoimbra@gmail.com</t>
  </si>
  <si>
    <t>fernando@gaveaseguros.com.br</t>
  </si>
  <si>
    <t>topseguros@topseguros.com.br</t>
  </si>
  <si>
    <t>comercial@maresseguros.com.br</t>
  </si>
  <si>
    <t>rodrigo@bankseguros.com.br</t>
  </si>
  <si>
    <t>dariobarreto@dbcorretora.com.br</t>
  </si>
  <si>
    <t>contato@valdireneramoscorretora.com.br</t>
  </si>
  <si>
    <t>seguros@htscorretora.com.br</t>
  </si>
  <si>
    <t>norteemissao@nortecorretora.com.br</t>
  </si>
  <si>
    <t>claudia.pascon@eplseguros.com.br</t>
  </si>
  <si>
    <t>carolina@norcor.com.br</t>
  </si>
  <si>
    <t>3c@seguros3c.com.br</t>
  </si>
  <si>
    <t>cadastro@hehcorretora.com.br</t>
  </si>
  <si>
    <t>seguradoras@unionsegurosbh.com.br</t>
  </si>
  <si>
    <t>contato@bsiseguros.com.br</t>
  </si>
  <si>
    <t>adm@12bseguros.com.br</t>
  </si>
  <si>
    <t>emissao@felicissimoseguros.com.br</t>
  </si>
  <si>
    <t>agnuscorretora@gmail.com</t>
  </si>
  <si>
    <t>ivanildoseguros@bol.com.br</t>
  </si>
  <si>
    <t>kelipereirac@gmail.com</t>
  </si>
  <si>
    <t>scaffer@scafferseguros.com.br</t>
  </si>
  <si>
    <t>backoffice.corretora@yamaha-motor.com.br</t>
  </si>
  <si>
    <t>seguros@bancorbras.com.br</t>
  </si>
  <si>
    <t>diamantinaseguros@diamantinaseguros.com.br</t>
  </si>
  <si>
    <t>gislanerealiza@hotmail.com</t>
  </si>
  <si>
    <t>hicorretora.seguros@gmail.com</t>
  </si>
  <si>
    <t>seguros@enzocorretora.com.br</t>
  </si>
  <si>
    <t>allianz1@allianz.com.br</t>
  </si>
  <si>
    <t>suporte1.vvd@vwfs.com</t>
  </si>
  <si>
    <t>ricardo@oigres.com.br</t>
  </si>
  <si>
    <t>cadastro@alexandrerenault.com.br</t>
  </si>
  <si>
    <t>biriseg@biriseg.com</t>
  </si>
  <si>
    <t>contato@damdidierseguros.com.br</t>
  </si>
  <si>
    <t>debora@despdakar.com.br</t>
  </si>
  <si>
    <t>carla.martins@romap.com.br</t>
  </si>
  <si>
    <t>mauricio@annisioseguros.com.br</t>
  </si>
  <si>
    <t>irineujr@tarrafseguros.com.br</t>
  </si>
  <si>
    <t>betachicaojp@gmail.com</t>
  </si>
  <si>
    <t>seguros@aliancaatlantica.com.br</t>
  </si>
  <si>
    <t>giovana@maguiseguros.com.br</t>
  </si>
  <si>
    <t>calculo@teaassessoria.com.br</t>
  </si>
  <si>
    <t>seguros@grupovia1.com.br</t>
  </si>
  <si>
    <t>rmcorretora@rmcorretora.com.br</t>
  </si>
  <si>
    <t>tecnica@apoioseguros.net</t>
  </si>
  <si>
    <t>corretor@superacaoisencoes.com.br</t>
  </si>
  <si>
    <t>emissaosaojudas@gmail.com</t>
  </si>
  <si>
    <t>transmissao@maspara.com.br</t>
  </si>
  <si>
    <t>atendimento@caporaliseguros.com.br</t>
  </si>
  <si>
    <t>pluseg@outlook.com</t>
  </si>
  <si>
    <t>wcacorretora@gmail.com</t>
  </si>
  <si>
    <t>sarmentoseguros@yahoo.com.br</t>
  </si>
  <si>
    <t>punchseguros@punchseguros.com.br</t>
  </si>
  <si>
    <t>albertoseguros@albertoseguros.com.br</t>
  </si>
  <si>
    <t>t21corretora@gmail.com</t>
  </si>
  <si>
    <t>sidcleypb@gmail.com</t>
  </si>
  <si>
    <t>rsilvacorretora@gmail.com</t>
  </si>
  <si>
    <t>itacenter@itacenter.com.br</t>
  </si>
  <si>
    <t>rodrigo@elloseguros.com.br</t>
  </si>
  <si>
    <t>soautoseguros@yahoo.com.br</t>
  </si>
  <si>
    <t>contate@gebramseguros.com.br</t>
  </si>
  <si>
    <t>sicaracorretora@gmail.com</t>
  </si>
  <si>
    <t>corretoramclartymaia@mclartymaia.com.br</t>
  </si>
  <si>
    <t>ct9seguros@ct9seguros.com</t>
  </si>
  <si>
    <t>joseaugustog28@hotmail.com</t>
  </si>
  <si>
    <t>carlos.seigo@personaseguros.net.br</t>
  </si>
  <si>
    <t>marcosgodoy@sercomtel.com.br</t>
  </si>
  <si>
    <t>roncarate@uol.com.br</t>
  </si>
  <si>
    <t>adm.cotraseg@gmail.com</t>
  </si>
  <si>
    <t>haeser@haeserseguros.com.br</t>
  </si>
  <si>
    <t>corretora.20093@sicoob.com.br</t>
  </si>
  <si>
    <t>adm.seguros@viamondo.com.br</t>
  </si>
  <si>
    <t>elainelopes@ajanicorretora.com.br</t>
  </si>
  <si>
    <t>operacional@durangocorretora.com.br</t>
  </si>
  <si>
    <t>competence@competenceseguros.com.br</t>
  </si>
  <si>
    <t>joaoandrecamposlopes@hotmail.com</t>
  </si>
  <si>
    <t>mandyseguros@mandy.com.br</t>
  </si>
  <si>
    <t>seguros@atualforte.com.br</t>
  </si>
  <si>
    <t>gleyson@gnasc.com.br</t>
  </si>
  <si>
    <t>bijucorretora@bijucorretora.com.br</t>
  </si>
  <si>
    <t>comercial@econorteseguros.com.br</t>
  </si>
  <si>
    <t>fenix@corretorafenix.com.br</t>
  </si>
  <si>
    <t>arnol.lemos@terra.com.br</t>
  </si>
  <si>
    <t>danielle@dkcorretora.com.br</t>
  </si>
  <si>
    <t>gerenciador@ei-seguros.com.br</t>
  </si>
  <si>
    <t>quinelli@grupoquinelli.com.br</t>
  </si>
  <si>
    <t>aquinocorretora@gmail.com</t>
  </si>
  <si>
    <t>contato@dalcorseguros.com.br</t>
  </si>
  <si>
    <t>corretor.gontijo@gmail.com</t>
  </si>
  <si>
    <t>atendimento@parcerseguros.com.br</t>
  </si>
  <si>
    <t>bethribeirobhz@gmail.com</t>
  </si>
  <si>
    <t>renovar@segurosarinos.com.br</t>
  </si>
  <si>
    <t>dimas.corretor@gmail.com</t>
  </si>
  <si>
    <t>sgoiana@gmail.com</t>
  </si>
  <si>
    <t>marquinhoscorretora@gmail.com</t>
  </si>
  <si>
    <t>aline@wellsegseguros.com.br</t>
  </si>
  <si>
    <t>corretorapaladino@gmail.com</t>
  </si>
  <si>
    <t>li.list@hotmail.com</t>
  </si>
  <si>
    <t>adm@vsegura.com.br</t>
  </si>
  <si>
    <t>geisel@eysecor.com.br</t>
  </si>
  <si>
    <t>atendimento@sattvaseguros.com.br</t>
  </si>
  <si>
    <t>peresribeiro@andradas-net.com.br</t>
  </si>
  <si>
    <t>samuelorlandin@hotmail.com</t>
  </si>
  <si>
    <t>pillacorseguros@gmail.com</t>
  </si>
  <si>
    <t>marcio.peres@segurosprime.com.br</t>
  </si>
  <si>
    <t>adm.volvo.seguros@volvo.com</t>
  </si>
  <si>
    <t>graziela@purpuratagb.com.br</t>
  </si>
  <si>
    <t>videsulcorretora@gmail.com</t>
  </si>
  <si>
    <t>gerencia@gjxseguros.com.br</t>
  </si>
  <si>
    <t>godivaseguros@gmail.com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</si>
</sst>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llianzms.sharepoint.com/teams/BR0010-4356589/Shared%20Documents/COBRAN&#199;A%20E%20CONTROLES%20OPERACIONAIS/Processos%20Especiais/Cart&#227;o%20de%20Cr&#233;dito/Proatividade%20-%20Erro%20cart&#227;o/Robo/Envio%20de%20e-mail%20comunica&#231;&#227;o%20TOKEN%20(Rascunho).xlsx" TargetMode="External"/><Relationship Id="rId2" Type="http://schemas.microsoft.com/office/2019/04/relationships/externalLinkLongPath" Target="/teams/BR0010-4356589/Shared%20Documents/COBRAN&#199;A%20E%20CONTROLES%20OPERACIONAIS/Processos%20Especiais/Cart&#227;o%20de%20Cr&#233;dito/Proatividade%20-%20Erro%20cart&#227;o/Robo/Envio%20de%20e-mail%20comunica&#231;&#227;o%20TOKEN%20(Rascunho).xlsx?57320ACA" TargetMode="External"/><Relationship Id="rId1" Type="http://schemas.openxmlformats.org/officeDocument/2006/relationships/externalLinkPath" Target="file:///\\57320ACA\Envio%20de%20e-mail%20comunica&#231;&#227;o%20TOKEN%20(Rascunh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nvio Robô"/>
      <sheetName val="Rejeição"/>
      <sheetName val="TEXTO"/>
    </sheetNames>
    <sheetDataSet>
      <sheetData sheetId="0"/>
      <sheetData sheetId="1"/>
      <sheetData sheetId="2">
        <row r="1">
          <cell r="A1" t="str">
            <v xml:space="preserve">Prezado(a), 
Identificamos uma falha na tentativa de captura da parcela </v>
          </cell>
          <cell r="B1" t="str">
            <v xml:space="preserve">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268"/>
  <sheetViews>
    <sheetView tabSelected="1" zoomScale="80" zoomScaleNormal="80" workbookViewId="0">
      <selection activeCell="A2" sqref="A2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customWidth="1"/>
    <col min="22" max="16384" width="8.88671875" style="2"/>
  </cols>
  <sheetData>
    <row r="1" spans="1:21" ht="13.2" customHeight="1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666761758</v>
      </c>
      <c r="B2" s="15">
        <v>45859</v>
      </c>
      <c r="C2" s="1" t="s">
        <v>7</v>
      </c>
      <c r="D2" s="1">
        <v>666761758</v>
      </c>
      <c r="E2" s="1"/>
      <c r="F2" s="1"/>
      <c r="G2" s="1" t="s">
        <v>18</v>
      </c>
      <c r="H2" s="1">
        <v>129558670</v>
      </c>
      <c r="I2" s="1">
        <v>0</v>
      </c>
      <c r="J2" s="12" t="s">
        <v>19</v>
      </c>
      <c r="K2" s="12" t="s">
        <v>20</v>
      </c>
      <c r="L2" s="16" t="s">
        <v>47</v>
      </c>
      <c r="M2" s="2" t="s">
        <v>166</v>
      </c>
      <c r="N2" s="13"/>
      <c r="O2" s="3">
        <v>57</v>
      </c>
      <c r="P2" s="3">
        <v>5705</v>
      </c>
      <c r="Q2" s="17" t="s">
        <v>25</v>
      </c>
      <c r="R2" s="12" t="s">
        <v>21</v>
      </c>
      <c r="S2" s="12" t="s">
        <v>21</v>
      </c>
      <c r="U2" s="12">
        <v>1</v>
      </c>
    </row>
    <row r="3" spans="1:21" x14ac:dyDescent="0.25">
      <c r="A3" s="1">
        <v>668875259</v>
      </c>
      <c r="B3" s="15">
        <v>45859</v>
      </c>
      <c r="C3" s="1" t="s">
        <v>7</v>
      </c>
      <c r="D3" s="1">
        <v>668875259</v>
      </c>
      <c r="G3" s="1" t="s">
        <v>18</v>
      </c>
      <c r="H3" s="1">
        <v>129598995</v>
      </c>
      <c r="I3" s="1">
        <v>0</v>
      </c>
      <c r="J3" s="12" t="s">
        <v>19</v>
      </c>
      <c r="K3" s="12" t="s">
        <v>20</v>
      </c>
      <c r="L3" s="2" t="s">
        <v>48</v>
      </c>
      <c r="M3" s="19" t="s">
        <v>167</v>
      </c>
      <c r="O3" s="3">
        <v>57</v>
      </c>
      <c r="P3" s="3">
        <v>5705</v>
      </c>
      <c r="Q3" s="12" t="s">
        <v>25</v>
      </c>
      <c r="R3" s="12" t="s">
        <v>21</v>
      </c>
      <c r="S3" s="12" t="s">
        <v>21</v>
      </c>
      <c r="U3" s="2">
        <v>2</v>
      </c>
    </row>
    <row r="4" spans="1:21" x14ac:dyDescent="0.25">
      <c r="A4" s="1">
        <v>670372162</v>
      </c>
      <c r="B4" s="15">
        <v>45859</v>
      </c>
      <c r="C4" s="1" t="s">
        <v>7</v>
      </c>
      <c r="D4" s="1">
        <v>670372162</v>
      </c>
      <c r="G4" s="1" t="s">
        <v>18</v>
      </c>
      <c r="H4" s="1">
        <v>129624074</v>
      </c>
      <c r="I4" s="1">
        <v>0</v>
      </c>
      <c r="J4" s="12" t="s">
        <v>19</v>
      </c>
      <c r="K4" s="12" t="s">
        <v>20</v>
      </c>
      <c r="L4" s="2" t="s">
        <v>49</v>
      </c>
      <c r="M4" s="19" t="s">
        <v>168</v>
      </c>
      <c r="O4" s="3">
        <v>57</v>
      </c>
      <c r="P4" s="3">
        <v>5705</v>
      </c>
      <c r="Q4" s="12" t="s">
        <v>25</v>
      </c>
      <c r="R4" s="12" t="s">
        <v>21</v>
      </c>
      <c r="S4" s="12" t="s">
        <v>21</v>
      </c>
      <c r="U4" s="12">
        <v>3</v>
      </c>
    </row>
    <row r="5" spans="1:21" x14ac:dyDescent="0.25">
      <c r="A5" s="1">
        <v>672719105</v>
      </c>
      <c r="B5" s="15">
        <v>45859</v>
      </c>
      <c r="C5" s="1" t="s">
        <v>7</v>
      </c>
      <c r="D5" s="1">
        <v>672719105</v>
      </c>
      <c r="G5" s="1" t="s">
        <v>18</v>
      </c>
      <c r="H5" s="1">
        <v>129663894</v>
      </c>
      <c r="I5" s="1">
        <v>0</v>
      </c>
      <c r="J5" s="12" t="s">
        <v>19</v>
      </c>
      <c r="K5" s="12" t="s">
        <v>20</v>
      </c>
      <c r="L5" s="2" t="s">
        <v>50</v>
      </c>
      <c r="M5" s="19" t="s">
        <v>169</v>
      </c>
      <c r="O5" s="3">
        <v>57</v>
      </c>
      <c r="P5" s="3">
        <v>5705</v>
      </c>
      <c r="Q5" s="12" t="s">
        <v>25</v>
      </c>
      <c r="R5" s="12" t="s">
        <v>21</v>
      </c>
      <c r="S5" s="12" t="s">
        <v>21</v>
      </c>
      <c r="U5" s="2">
        <v>4</v>
      </c>
    </row>
    <row r="6" spans="1:21" x14ac:dyDescent="0.25">
      <c r="A6" s="1">
        <v>672742867</v>
      </c>
      <c r="B6" s="15">
        <v>45859</v>
      </c>
      <c r="C6" s="1" t="s">
        <v>7</v>
      </c>
      <c r="D6" s="1">
        <v>672742867</v>
      </c>
      <c r="G6" s="1" t="s">
        <v>18</v>
      </c>
      <c r="H6" s="1">
        <v>129662685</v>
      </c>
      <c r="I6" s="1">
        <v>0</v>
      </c>
      <c r="J6" s="12" t="s">
        <v>19</v>
      </c>
      <c r="K6" s="12" t="s">
        <v>20</v>
      </c>
      <c r="L6" s="2" t="s">
        <v>51</v>
      </c>
      <c r="M6" s="19" t="s">
        <v>170</v>
      </c>
      <c r="O6" s="3">
        <v>57</v>
      </c>
      <c r="P6" s="3">
        <v>5705</v>
      </c>
      <c r="Q6" s="12" t="s">
        <v>25</v>
      </c>
      <c r="R6" s="12" t="s">
        <v>21</v>
      </c>
      <c r="S6" s="12" t="s">
        <v>21</v>
      </c>
      <c r="U6" s="12">
        <v>5</v>
      </c>
    </row>
    <row r="7" spans="1:21" x14ac:dyDescent="0.25">
      <c r="A7" s="1">
        <v>672922568</v>
      </c>
      <c r="B7" s="15">
        <v>45859</v>
      </c>
      <c r="C7" s="1" t="s">
        <v>7</v>
      </c>
      <c r="D7" s="1">
        <v>672922568</v>
      </c>
      <c r="G7" s="1" t="s">
        <v>18</v>
      </c>
      <c r="H7" s="1">
        <v>129656383</v>
      </c>
      <c r="I7" s="1">
        <v>0</v>
      </c>
      <c r="J7" s="12" t="s">
        <v>19</v>
      </c>
      <c r="K7" s="12" t="s">
        <v>20</v>
      </c>
      <c r="L7" s="2" t="s">
        <v>52</v>
      </c>
      <c r="M7" s="19" t="s">
        <v>171</v>
      </c>
      <c r="O7" s="3">
        <v>57</v>
      </c>
      <c r="P7" s="3">
        <v>5705</v>
      </c>
      <c r="Q7" s="12" t="s">
        <v>25</v>
      </c>
      <c r="R7" s="12" t="s">
        <v>21</v>
      </c>
      <c r="S7" s="12" t="s">
        <v>21</v>
      </c>
      <c r="U7" s="2">
        <v>6</v>
      </c>
    </row>
    <row r="8" spans="1:21" x14ac:dyDescent="0.25">
      <c r="A8" s="1">
        <v>673397208</v>
      </c>
      <c r="B8" s="15">
        <v>45859</v>
      </c>
      <c r="C8" s="1" t="s">
        <v>7</v>
      </c>
      <c r="D8" s="1">
        <v>673397208</v>
      </c>
      <c r="G8" s="1" t="s">
        <v>18</v>
      </c>
      <c r="H8" s="1">
        <v>129678576</v>
      </c>
      <c r="I8" s="1">
        <v>0</v>
      </c>
      <c r="J8" s="12" t="s">
        <v>19</v>
      </c>
      <c r="K8" s="12" t="s">
        <v>20</v>
      </c>
      <c r="L8" s="2" t="s">
        <v>53</v>
      </c>
      <c r="M8" s="19" t="s">
        <v>172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1">
        <v>673484261</v>
      </c>
      <c r="B9" s="15">
        <v>45859</v>
      </c>
      <c r="C9" s="1" t="s">
        <v>7</v>
      </c>
      <c r="D9" s="1">
        <v>673484261</v>
      </c>
      <c r="G9" s="1" t="s">
        <v>18</v>
      </c>
      <c r="H9" s="1">
        <v>129662090</v>
      </c>
      <c r="I9" s="1">
        <v>0</v>
      </c>
      <c r="J9" s="12" t="s">
        <v>19</v>
      </c>
      <c r="K9" s="12" t="s">
        <v>20</v>
      </c>
      <c r="L9" s="2" t="s">
        <v>54</v>
      </c>
      <c r="M9" s="19" t="s">
        <v>173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1">
        <v>694995949</v>
      </c>
      <c r="B10" s="15">
        <v>45859</v>
      </c>
      <c r="C10" s="1" t="s">
        <v>7</v>
      </c>
      <c r="D10" s="1">
        <v>694995949</v>
      </c>
      <c r="G10" s="1" t="s">
        <v>18</v>
      </c>
      <c r="H10" s="1">
        <v>130038760</v>
      </c>
      <c r="I10" s="1">
        <v>0</v>
      </c>
      <c r="J10" s="12" t="s">
        <v>19</v>
      </c>
      <c r="K10" s="12" t="s">
        <v>20</v>
      </c>
      <c r="L10" s="2" t="s">
        <v>55</v>
      </c>
      <c r="M10" s="19" t="s">
        <v>174</v>
      </c>
      <c r="O10" s="3">
        <v>57</v>
      </c>
      <c r="P10" s="3">
        <v>5705</v>
      </c>
      <c r="Q10" s="12" t="s">
        <v>39</v>
      </c>
      <c r="R10" s="12" t="s">
        <v>21</v>
      </c>
      <c r="S10" s="12" t="s">
        <v>21</v>
      </c>
      <c r="U10" s="12">
        <v>9</v>
      </c>
    </row>
    <row r="11" spans="1:21" x14ac:dyDescent="0.25">
      <c r="A11" s="1">
        <v>695273957</v>
      </c>
      <c r="B11" s="15">
        <v>45859</v>
      </c>
      <c r="C11" s="1" t="s">
        <v>7</v>
      </c>
      <c r="D11" s="1">
        <v>695273957</v>
      </c>
      <c r="G11" s="1" t="s">
        <v>18</v>
      </c>
      <c r="H11" s="1">
        <v>130066339</v>
      </c>
      <c r="I11" s="1">
        <v>0</v>
      </c>
      <c r="J11" s="12" t="s">
        <v>19</v>
      </c>
      <c r="K11" s="12" t="s">
        <v>20</v>
      </c>
      <c r="L11" s="2" t="s">
        <v>56</v>
      </c>
      <c r="M11" s="19" t="s">
        <v>175</v>
      </c>
      <c r="O11" s="3">
        <v>57</v>
      </c>
      <c r="P11" s="3">
        <v>5705</v>
      </c>
      <c r="Q11" s="12" t="s">
        <v>39</v>
      </c>
      <c r="R11" s="12" t="s">
        <v>21</v>
      </c>
      <c r="S11" s="12" t="s">
        <v>21</v>
      </c>
      <c r="U11" s="2">
        <v>10</v>
      </c>
    </row>
    <row r="12" spans="1:21" x14ac:dyDescent="0.25">
      <c r="A12" s="1">
        <v>695386882</v>
      </c>
      <c r="B12" s="15">
        <v>45859</v>
      </c>
      <c r="C12" s="1" t="s">
        <v>7</v>
      </c>
      <c r="D12" s="1">
        <v>695386882</v>
      </c>
      <c r="G12" s="1" t="s">
        <v>18</v>
      </c>
      <c r="H12" s="1">
        <v>130069374</v>
      </c>
      <c r="I12" s="1">
        <v>0</v>
      </c>
      <c r="J12" s="12" t="s">
        <v>19</v>
      </c>
      <c r="K12" s="12" t="s">
        <v>20</v>
      </c>
      <c r="L12" s="2" t="s">
        <v>57</v>
      </c>
      <c r="M12" s="19" t="s">
        <v>176</v>
      </c>
      <c r="O12" s="3">
        <v>57</v>
      </c>
      <c r="P12" s="3">
        <v>5705</v>
      </c>
      <c r="Q12" s="12" t="s">
        <v>39</v>
      </c>
      <c r="R12" s="12" t="s">
        <v>21</v>
      </c>
      <c r="S12" s="12" t="s">
        <v>21</v>
      </c>
      <c r="U12" s="12">
        <v>11</v>
      </c>
    </row>
    <row r="13" spans="1:21" x14ac:dyDescent="0.25">
      <c r="A13" s="1">
        <v>695813620</v>
      </c>
      <c r="B13" s="15">
        <v>45859</v>
      </c>
      <c r="C13" s="1" t="s">
        <v>7</v>
      </c>
      <c r="D13" s="1">
        <v>695813620</v>
      </c>
      <c r="G13" s="1" t="s">
        <v>18</v>
      </c>
      <c r="H13" s="1">
        <v>130063826</v>
      </c>
      <c r="I13" s="1">
        <v>0</v>
      </c>
      <c r="J13" s="12" t="s">
        <v>19</v>
      </c>
      <c r="K13" s="12" t="s">
        <v>20</v>
      </c>
      <c r="L13" s="2" t="s">
        <v>58</v>
      </c>
      <c r="M13" s="19" t="s">
        <v>177</v>
      </c>
      <c r="O13" s="3">
        <v>57</v>
      </c>
      <c r="P13" s="3">
        <v>5705</v>
      </c>
      <c r="Q13" s="12" t="s">
        <v>39</v>
      </c>
      <c r="R13" s="12" t="s">
        <v>21</v>
      </c>
      <c r="S13" s="12" t="s">
        <v>21</v>
      </c>
      <c r="U13" s="2">
        <v>12</v>
      </c>
    </row>
    <row r="14" spans="1:21" x14ac:dyDescent="0.25">
      <c r="A14" s="1">
        <v>696000656</v>
      </c>
      <c r="B14" s="15">
        <v>45859</v>
      </c>
      <c r="C14" s="1" t="s">
        <v>7</v>
      </c>
      <c r="D14" s="1">
        <v>696000656</v>
      </c>
      <c r="G14" s="1" t="s">
        <v>18</v>
      </c>
      <c r="H14" s="1">
        <v>130060396</v>
      </c>
      <c r="I14" s="1">
        <v>0</v>
      </c>
      <c r="J14" s="12" t="s">
        <v>19</v>
      </c>
      <c r="K14" s="12" t="s">
        <v>20</v>
      </c>
      <c r="L14" s="2" t="s">
        <v>59</v>
      </c>
      <c r="M14" s="19" t="s">
        <v>178</v>
      </c>
      <c r="O14" s="3">
        <v>57</v>
      </c>
      <c r="P14" s="3">
        <v>5705</v>
      </c>
      <c r="Q14" s="12" t="s">
        <v>39</v>
      </c>
      <c r="R14" s="12" t="s">
        <v>21</v>
      </c>
      <c r="S14" s="12" t="s">
        <v>21</v>
      </c>
      <c r="U14" s="12">
        <v>13</v>
      </c>
    </row>
    <row r="15" spans="1:21" x14ac:dyDescent="0.25">
      <c r="A15" s="1">
        <v>696324049</v>
      </c>
      <c r="B15" s="15">
        <v>45859</v>
      </c>
      <c r="C15" s="1" t="s">
        <v>7</v>
      </c>
      <c r="D15" s="1">
        <v>696324049</v>
      </c>
      <c r="G15" s="1" t="s">
        <v>18</v>
      </c>
      <c r="H15" s="1">
        <v>130086616</v>
      </c>
      <c r="I15" s="1">
        <v>0</v>
      </c>
      <c r="J15" s="12" t="s">
        <v>19</v>
      </c>
      <c r="K15" s="12" t="s">
        <v>20</v>
      </c>
      <c r="L15" s="2" t="s">
        <v>60</v>
      </c>
      <c r="M15" s="19" t="s">
        <v>179</v>
      </c>
      <c r="O15" s="3">
        <v>57</v>
      </c>
      <c r="P15" s="3">
        <v>5705</v>
      </c>
      <c r="Q15" s="12" t="s">
        <v>39</v>
      </c>
      <c r="R15" s="12" t="s">
        <v>21</v>
      </c>
      <c r="S15" s="12" t="s">
        <v>21</v>
      </c>
      <c r="U15" s="2">
        <v>14</v>
      </c>
    </row>
    <row r="16" spans="1:21" x14ac:dyDescent="0.25">
      <c r="A16" s="1">
        <v>697792780</v>
      </c>
      <c r="B16" s="15">
        <v>45859</v>
      </c>
      <c r="C16" s="1" t="s">
        <v>7</v>
      </c>
      <c r="D16" s="1">
        <v>697792780</v>
      </c>
      <c r="G16" s="1" t="s">
        <v>18</v>
      </c>
      <c r="H16" s="1">
        <v>130107688</v>
      </c>
      <c r="I16" s="1">
        <v>0</v>
      </c>
      <c r="J16" s="12" t="s">
        <v>19</v>
      </c>
      <c r="K16" s="12" t="s">
        <v>20</v>
      </c>
      <c r="L16" s="2" t="s">
        <v>61</v>
      </c>
      <c r="M16" s="19" t="s">
        <v>180</v>
      </c>
      <c r="O16" s="3">
        <v>57</v>
      </c>
      <c r="P16" s="3">
        <v>5705</v>
      </c>
      <c r="Q16" s="12" t="s">
        <v>39</v>
      </c>
      <c r="R16" s="12" t="s">
        <v>21</v>
      </c>
      <c r="S16" s="12" t="s">
        <v>21</v>
      </c>
      <c r="U16" s="12">
        <v>15</v>
      </c>
    </row>
    <row r="17" spans="1:21" x14ac:dyDescent="0.25">
      <c r="A17" s="1">
        <v>698550484</v>
      </c>
      <c r="B17" s="15">
        <v>45859</v>
      </c>
      <c r="C17" s="1" t="s">
        <v>7</v>
      </c>
      <c r="D17" s="1">
        <v>698550484</v>
      </c>
      <c r="G17" s="1" t="s">
        <v>18</v>
      </c>
      <c r="H17" s="1">
        <v>130125009</v>
      </c>
      <c r="I17" s="1">
        <v>0</v>
      </c>
      <c r="J17" s="12" t="s">
        <v>19</v>
      </c>
      <c r="K17" s="12" t="s">
        <v>20</v>
      </c>
      <c r="L17" s="2" t="s">
        <v>62</v>
      </c>
      <c r="M17" s="19" t="s">
        <v>181</v>
      </c>
      <c r="O17" s="3">
        <v>57</v>
      </c>
      <c r="P17" s="3">
        <v>5705</v>
      </c>
      <c r="Q17" s="12" t="s">
        <v>39</v>
      </c>
      <c r="R17" s="12" t="s">
        <v>21</v>
      </c>
      <c r="S17" s="12" t="s">
        <v>21</v>
      </c>
      <c r="U17" s="2">
        <v>16</v>
      </c>
    </row>
    <row r="18" spans="1:21" x14ac:dyDescent="0.25">
      <c r="A18" s="1">
        <v>698691684</v>
      </c>
      <c r="B18" s="15">
        <v>45859</v>
      </c>
      <c r="C18" s="1" t="s">
        <v>7</v>
      </c>
      <c r="D18" s="1">
        <v>698691684</v>
      </c>
      <c r="G18" s="1" t="s">
        <v>18</v>
      </c>
      <c r="H18" s="1">
        <v>130103124</v>
      </c>
      <c r="I18" s="1">
        <v>0</v>
      </c>
      <c r="J18" s="12" t="s">
        <v>19</v>
      </c>
      <c r="K18" s="12" t="s">
        <v>20</v>
      </c>
      <c r="L18" s="2" t="s">
        <v>63</v>
      </c>
      <c r="M18" s="19" t="s">
        <v>182</v>
      </c>
      <c r="O18" s="3">
        <v>57</v>
      </c>
      <c r="P18" s="3">
        <v>5705</v>
      </c>
      <c r="Q18" s="12" t="s">
        <v>39</v>
      </c>
      <c r="R18" s="12" t="s">
        <v>21</v>
      </c>
      <c r="S18" s="12" t="s">
        <v>21</v>
      </c>
      <c r="U18" s="12">
        <v>17</v>
      </c>
    </row>
    <row r="19" spans="1:21" x14ac:dyDescent="0.25">
      <c r="A19" s="1">
        <v>705676975</v>
      </c>
      <c r="B19" s="15">
        <v>45859</v>
      </c>
      <c r="C19" s="1" t="s">
        <v>7</v>
      </c>
      <c r="D19" s="1">
        <v>705676975</v>
      </c>
      <c r="G19" s="1" t="s">
        <v>18</v>
      </c>
      <c r="H19" s="1">
        <v>130245353</v>
      </c>
      <c r="I19" s="1">
        <v>0</v>
      </c>
      <c r="J19" s="12" t="s">
        <v>19</v>
      </c>
      <c r="K19" s="12" t="s">
        <v>20</v>
      </c>
      <c r="L19" s="2" t="s">
        <v>64</v>
      </c>
      <c r="M19" s="19" t="s">
        <v>183</v>
      </c>
      <c r="O19" s="3">
        <v>57</v>
      </c>
      <c r="P19" s="3">
        <v>5705</v>
      </c>
      <c r="Q19" s="12" t="s">
        <v>40</v>
      </c>
      <c r="R19" s="12" t="s">
        <v>21</v>
      </c>
      <c r="S19" s="12" t="s">
        <v>21</v>
      </c>
      <c r="U19" s="2">
        <v>18</v>
      </c>
    </row>
    <row r="20" spans="1:21" x14ac:dyDescent="0.25">
      <c r="A20" s="1">
        <v>711191365</v>
      </c>
      <c r="B20" s="15">
        <v>45859</v>
      </c>
      <c r="C20" s="1" t="s">
        <v>7</v>
      </c>
      <c r="D20" s="1">
        <v>711191365</v>
      </c>
      <c r="G20" s="1" t="s">
        <v>18</v>
      </c>
      <c r="H20" s="1">
        <v>130322429</v>
      </c>
      <c r="I20" s="1">
        <v>0</v>
      </c>
      <c r="J20" s="12" t="s">
        <v>19</v>
      </c>
      <c r="K20" s="12" t="s">
        <v>20</v>
      </c>
      <c r="L20" s="2" t="s">
        <v>65</v>
      </c>
      <c r="M20" s="19" t="s">
        <v>184</v>
      </c>
      <c r="O20" s="3">
        <v>57</v>
      </c>
      <c r="P20" s="3">
        <v>5705</v>
      </c>
      <c r="Q20" s="12" t="s">
        <v>40</v>
      </c>
      <c r="R20" s="12" t="s">
        <v>21</v>
      </c>
      <c r="S20" s="12" t="s">
        <v>21</v>
      </c>
      <c r="U20" s="12">
        <v>19</v>
      </c>
    </row>
    <row r="21" spans="1:21" x14ac:dyDescent="0.25">
      <c r="A21" s="1">
        <v>719311114</v>
      </c>
      <c r="B21" s="15">
        <v>45859</v>
      </c>
      <c r="C21" s="1" t="s">
        <v>7</v>
      </c>
      <c r="D21" s="1">
        <v>719311114</v>
      </c>
      <c r="G21" s="1" t="s">
        <v>18</v>
      </c>
      <c r="H21" s="1">
        <v>130497475</v>
      </c>
      <c r="I21" s="1">
        <v>0</v>
      </c>
      <c r="J21" s="12" t="s">
        <v>19</v>
      </c>
      <c r="K21" s="12" t="s">
        <v>20</v>
      </c>
      <c r="L21" s="2" t="s">
        <v>66</v>
      </c>
      <c r="M21" s="19" t="s">
        <v>185</v>
      </c>
      <c r="O21" s="3">
        <v>57</v>
      </c>
      <c r="P21" s="3">
        <v>5705</v>
      </c>
      <c r="Q21" s="12" t="s">
        <v>40</v>
      </c>
      <c r="R21" s="12" t="s">
        <v>21</v>
      </c>
      <c r="S21" s="12" t="s">
        <v>21</v>
      </c>
      <c r="U21" s="2">
        <v>20</v>
      </c>
    </row>
    <row r="22" spans="1:21" x14ac:dyDescent="0.25">
      <c r="A22" s="1">
        <v>740599497</v>
      </c>
      <c r="B22" s="15">
        <v>45859</v>
      </c>
      <c r="C22" s="1" t="s">
        <v>7</v>
      </c>
      <c r="D22" s="1">
        <v>740599497</v>
      </c>
      <c r="G22" s="1" t="s">
        <v>18</v>
      </c>
      <c r="H22" s="1">
        <v>130851238</v>
      </c>
      <c r="I22" s="1">
        <v>0</v>
      </c>
      <c r="J22" s="12" t="s">
        <v>19</v>
      </c>
      <c r="K22" s="12" t="s">
        <v>20</v>
      </c>
      <c r="L22" s="2" t="s">
        <v>67</v>
      </c>
      <c r="M22" s="19" t="s">
        <v>186</v>
      </c>
      <c r="O22" s="3">
        <v>57</v>
      </c>
      <c r="P22" s="3">
        <v>5705</v>
      </c>
      <c r="Q22" s="12" t="s">
        <v>41</v>
      </c>
      <c r="R22" s="12" t="s">
        <v>21</v>
      </c>
      <c r="S22" s="12" t="s">
        <v>21</v>
      </c>
      <c r="U22" s="12">
        <v>21</v>
      </c>
    </row>
    <row r="23" spans="1:21" x14ac:dyDescent="0.25">
      <c r="A23" s="1">
        <v>740625292</v>
      </c>
      <c r="B23" s="15">
        <v>45859</v>
      </c>
      <c r="C23" s="1" t="s">
        <v>7</v>
      </c>
      <c r="D23" s="1">
        <v>740625292</v>
      </c>
      <c r="G23" s="1" t="s">
        <v>18</v>
      </c>
      <c r="H23" s="1">
        <v>130836803</v>
      </c>
      <c r="I23" s="1">
        <v>0</v>
      </c>
      <c r="J23" s="12" t="s">
        <v>19</v>
      </c>
      <c r="K23" s="12" t="s">
        <v>20</v>
      </c>
      <c r="L23" s="2" t="s">
        <v>68</v>
      </c>
      <c r="M23" s="19" t="s">
        <v>187</v>
      </c>
      <c r="O23" s="3">
        <v>57</v>
      </c>
      <c r="P23" s="3">
        <v>5705</v>
      </c>
      <c r="Q23" s="12" t="s">
        <v>41</v>
      </c>
      <c r="R23" s="12" t="s">
        <v>21</v>
      </c>
      <c r="S23" s="12" t="s">
        <v>21</v>
      </c>
      <c r="U23" s="2">
        <v>22</v>
      </c>
    </row>
    <row r="24" spans="1:21" x14ac:dyDescent="0.25">
      <c r="A24" s="1">
        <v>741415974</v>
      </c>
      <c r="B24" s="15">
        <v>45859</v>
      </c>
      <c r="C24" s="1" t="s">
        <v>7</v>
      </c>
      <c r="D24" s="1">
        <v>741415974</v>
      </c>
      <c r="G24" s="1" t="s">
        <v>18</v>
      </c>
      <c r="H24" s="1">
        <v>130866518</v>
      </c>
      <c r="I24" s="1">
        <v>0</v>
      </c>
      <c r="J24" s="12" t="s">
        <v>19</v>
      </c>
      <c r="K24" s="12" t="s">
        <v>20</v>
      </c>
      <c r="L24" s="2" t="s">
        <v>69</v>
      </c>
      <c r="M24" s="19" t="s">
        <v>188</v>
      </c>
      <c r="O24" s="3">
        <v>57</v>
      </c>
      <c r="P24" s="3">
        <v>5705</v>
      </c>
      <c r="Q24" s="12" t="s">
        <v>41</v>
      </c>
      <c r="R24" s="12" t="s">
        <v>21</v>
      </c>
      <c r="S24" s="12" t="s">
        <v>21</v>
      </c>
      <c r="U24" s="12">
        <v>23</v>
      </c>
    </row>
    <row r="25" spans="1:21" x14ac:dyDescent="0.25">
      <c r="A25" s="1">
        <v>741645638</v>
      </c>
      <c r="B25" s="15">
        <v>45859</v>
      </c>
      <c r="C25" s="1" t="s">
        <v>7</v>
      </c>
      <c r="D25" s="1">
        <v>741645638</v>
      </c>
      <c r="G25" s="1" t="s">
        <v>18</v>
      </c>
      <c r="H25" s="1">
        <v>130870233</v>
      </c>
      <c r="I25" s="1">
        <v>0</v>
      </c>
      <c r="J25" s="12" t="s">
        <v>19</v>
      </c>
      <c r="K25" s="12" t="s">
        <v>20</v>
      </c>
      <c r="L25" s="2" t="s">
        <v>70</v>
      </c>
      <c r="M25" s="19" t="s">
        <v>189</v>
      </c>
      <c r="O25" s="3">
        <v>57</v>
      </c>
      <c r="P25" s="3">
        <v>5705</v>
      </c>
      <c r="Q25" s="12" t="s">
        <v>41</v>
      </c>
      <c r="R25" s="12" t="s">
        <v>21</v>
      </c>
      <c r="S25" s="12" t="s">
        <v>21</v>
      </c>
      <c r="U25" s="2">
        <v>24</v>
      </c>
    </row>
    <row r="26" spans="1:21" x14ac:dyDescent="0.25">
      <c r="A26" s="1">
        <v>741667939</v>
      </c>
      <c r="B26" s="15">
        <v>45859</v>
      </c>
      <c r="C26" s="1" t="s">
        <v>7</v>
      </c>
      <c r="D26" s="1">
        <v>741667939</v>
      </c>
      <c r="G26" s="1" t="s">
        <v>18</v>
      </c>
      <c r="H26" s="1">
        <v>130855907</v>
      </c>
      <c r="I26" s="1">
        <v>0</v>
      </c>
      <c r="J26" s="12" t="s">
        <v>19</v>
      </c>
      <c r="K26" s="12" t="s">
        <v>20</v>
      </c>
      <c r="L26" s="2" t="s">
        <v>71</v>
      </c>
      <c r="M26" s="19" t="s">
        <v>184</v>
      </c>
      <c r="O26" s="3">
        <v>57</v>
      </c>
      <c r="P26" s="3">
        <v>5705</v>
      </c>
      <c r="Q26" s="12" t="s">
        <v>41</v>
      </c>
      <c r="R26" s="12" t="s">
        <v>21</v>
      </c>
      <c r="S26" s="12" t="s">
        <v>21</v>
      </c>
      <c r="U26" s="12">
        <v>25</v>
      </c>
    </row>
    <row r="27" spans="1:21" x14ac:dyDescent="0.25">
      <c r="A27" s="1">
        <v>741799955</v>
      </c>
      <c r="B27" s="15">
        <v>45859</v>
      </c>
      <c r="C27" s="1" t="s">
        <v>7</v>
      </c>
      <c r="D27" s="1">
        <v>741799955</v>
      </c>
      <c r="G27" s="1" t="s">
        <v>18</v>
      </c>
      <c r="H27" s="1">
        <v>130873234</v>
      </c>
      <c r="I27" s="1">
        <v>0</v>
      </c>
      <c r="J27" s="12" t="s">
        <v>19</v>
      </c>
      <c r="K27" s="12" t="s">
        <v>20</v>
      </c>
      <c r="L27" s="2" t="s">
        <v>72</v>
      </c>
      <c r="M27" s="19" t="s">
        <v>190</v>
      </c>
      <c r="O27" s="3">
        <v>57</v>
      </c>
      <c r="P27" s="3">
        <v>5705</v>
      </c>
      <c r="Q27" s="12" t="s">
        <v>41</v>
      </c>
      <c r="R27" s="12" t="s">
        <v>21</v>
      </c>
      <c r="S27" s="12" t="s">
        <v>21</v>
      </c>
      <c r="U27" s="2">
        <v>26</v>
      </c>
    </row>
    <row r="28" spans="1:21" x14ac:dyDescent="0.25">
      <c r="A28" s="1">
        <v>741821122</v>
      </c>
      <c r="B28" s="15">
        <v>45859</v>
      </c>
      <c r="C28" s="1" t="s">
        <v>7</v>
      </c>
      <c r="D28" s="1">
        <v>741821122</v>
      </c>
      <c r="G28" s="1" t="s">
        <v>18</v>
      </c>
      <c r="H28" s="1">
        <v>130851559</v>
      </c>
      <c r="I28" s="1">
        <v>0</v>
      </c>
      <c r="J28" s="12" t="s">
        <v>19</v>
      </c>
      <c r="K28" s="12" t="s">
        <v>20</v>
      </c>
      <c r="L28" s="2" t="s">
        <v>73</v>
      </c>
      <c r="M28" s="19" t="s">
        <v>191</v>
      </c>
      <c r="O28" s="3">
        <v>57</v>
      </c>
      <c r="P28" s="3">
        <v>5705</v>
      </c>
      <c r="Q28" s="12" t="s">
        <v>41</v>
      </c>
      <c r="R28" s="12" t="s">
        <v>21</v>
      </c>
      <c r="S28" s="12" t="s">
        <v>21</v>
      </c>
      <c r="U28" s="12">
        <v>27</v>
      </c>
    </row>
    <row r="29" spans="1:21" x14ac:dyDescent="0.25">
      <c r="A29" s="1">
        <v>759894136</v>
      </c>
      <c r="B29" s="15">
        <v>45859</v>
      </c>
      <c r="C29" s="1" t="s">
        <v>7</v>
      </c>
      <c r="D29" s="1">
        <v>759894136</v>
      </c>
      <c r="G29" s="1" t="s">
        <v>18</v>
      </c>
      <c r="H29" s="1">
        <v>131181378</v>
      </c>
      <c r="I29" s="1">
        <v>0</v>
      </c>
      <c r="J29" s="12" t="s">
        <v>19</v>
      </c>
      <c r="K29" s="12" t="s">
        <v>20</v>
      </c>
      <c r="L29" s="2" t="s">
        <v>74</v>
      </c>
      <c r="M29" s="19" t="s">
        <v>192</v>
      </c>
      <c r="O29" s="3">
        <v>57</v>
      </c>
      <c r="P29" s="3">
        <v>5705</v>
      </c>
      <c r="Q29" s="12" t="s">
        <v>42</v>
      </c>
      <c r="R29" s="12" t="s">
        <v>21</v>
      </c>
      <c r="S29" s="12" t="s">
        <v>21</v>
      </c>
      <c r="U29" s="2">
        <v>28</v>
      </c>
    </row>
    <row r="30" spans="1:21" x14ac:dyDescent="0.25">
      <c r="A30" s="1">
        <v>761414014</v>
      </c>
      <c r="B30" s="15">
        <v>45859</v>
      </c>
      <c r="C30" s="1" t="s">
        <v>7</v>
      </c>
      <c r="D30" s="1">
        <v>761414014</v>
      </c>
      <c r="G30" s="1" t="s">
        <v>18</v>
      </c>
      <c r="H30" s="1">
        <v>131218740</v>
      </c>
      <c r="I30" s="1">
        <v>0</v>
      </c>
      <c r="J30" s="12" t="s">
        <v>19</v>
      </c>
      <c r="K30" s="12" t="s">
        <v>20</v>
      </c>
      <c r="L30" s="2" t="s">
        <v>75</v>
      </c>
      <c r="M30" s="19" t="s">
        <v>193</v>
      </c>
      <c r="O30" s="3">
        <v>57</v>
      </c>
      <c r="P30" s="3">
        <v>5705</v>
      </c>
      <c r="Q30" s="12" t="s">
        <v>42</v>
      </c>
      <c r="R30" s="12" t="s">
        <v>21</v>
      </c>
      <c r="S30" s="12" t="s">
        <v>21</v>
      </c>
      <c r="U30" s="12">
        <v>29</v>
      </c>
    </row>
    <row r="31" spans="1:21" x14ac:dyDescent="0.25">
      <c r="A31" s="1">
        <v>762878803</v>
      </c>
      <c r="B31" s="15">
        <v>45859</v>
      </c>
      <c r="C31" s="1" t="s">
        <v>7</v>
      </c>
      <c r="D31" s="1">
        <v>762878803</v>
      </c>
      <c r="G31" s="1" t="s">
        <v>18</v>
      </c>
      <c r="H31" s="1">
        <v>131246003</v>
      </c>
      <c r="I31" s="1">
        <v>0</v>
      </c>
      <c r="J31" s="12" t="s">
        <v>19</v>
      </c>
      <c r="K31" s="12" t="s">
        <v>20</v>
      </c>
      <c r="L31" s="2" t="s">
        <v>76</v>
      </c>
      <c r="M31" s="19" t="s">
        <v>194</v>
      </c>
      <c r="O31" s="3">
        <v>57</v>
      </c>
      <c r="P31" s="3">
        <v>5705</v>
      </c>
      <c r="Q31" s="12" t="s">
        <v>42</v>
      </c>
      <c r="R31" s="12" t="s">
        <v>21</v>
      </c>
      <c r="S31" s="12" t="s">
        <v>21</v>
      </c>
      <c r="U31" s="2">
        <v>30</v>
      </c>
    </row>
    <row r="32" spans="1:21" x14ac:dyDescent="0.25">
      <c r="A32" s="1">
        <v>763556366</v>
      </c>
      <c r="B32" s="15">
        <v>45859</v>
      </c>
      <c r="C32" s="1" t="s">
        <v>7</v>
      </c>
      <c r="D32" s="1">
        <v>763556366</v>
      </c>
      <c r="G32" s="1" t="s">
        <v>18</v>
      </c>
      <c r="H32" s="1">
        <v>131240077</v>
      </c>
      <c r="I32" s="1">
        <v>0</v>
      </c>
      <c r="J32" s="12" t="s">
        <v>19</v>
      </c>
      <c r="K32" s="12" t="s">
        <v>20</v>
      </c>
      <c r="L32" s="2" t="s">
        <v>77</v>
      </c>
      <c r="M32" s="19" t="s">
        <v>195</v>
      </c>
      <c r="O32" s="3">
        <v>57</v>
      </c>
      <c r="P32" s="3">
        <v>5705</v>
      </c>
      <c r="Q32" s="12" t="s">
        <v>42</v>
      </c>
      <c r="R32" s="12" t="s">
        <v>21</v>
      </c>
      <c r="S32" s="12" t="s">
        <v>21</v>
      </c>
      <c r="U32" s="12">
        <v>31</v>
      </c>
    </row>
    <row r="33" spans="1:21" x14ac:dyDescent="0.25">
      <c r="A33" s="1">
        <v>763738485</v>
      </c>
      <c r="B33" s="15">
        <v>45859</v>
      </c>
      <c r="C33" s="1" t="s">
        <v>7</v>
      </c>
      <c r="D33" s="1">
        <v>763738485</v>
      </c>
      <c r="G33" s="1" t="s">
        <v>18</v>
      </c>
      <c r="H33" s="1">
        <v>131261390</v>
      </c>
      <c r="I33" s="1">
        <v>0</v>
      </c>
      <c r="J33" s="12" t="s">
        <v>19</v>
      </c>
      <c r="K33" s="12" t="s">
        <v>20</v>
      </c>
      <c r="L33" s="2" t="s">
        <v>78</v>
      </c>
      <c r="M33" s="19" t="s">
        <v>196</v>
      </c>
      <c r="O33" s="3">
        <v>57</v>
      </c>
      <c r="P33" s="3">
        <v>5705</v>
      </c>
      <c r="Q33" s="12" t="s">
        <v>42</v>
      </c>
      <c r="R33" s="12" t="s">
        <v>21</v>
      </c>
      <c r="S33" s="12" t="s">
        <v>21</v>
      </c>
      <c r="U33" s="2">
        <v>32</v>
      </c>
    </row>
    <row r="34" spans="1:21" x14ac:dyDescent="0.25">
      <c r="A34" s="1">
        <v>764258137</v>
      </c>
      <c r="B34" s="15">
        <v>45859</v>
      </c>
      <c r="C34" s="1" t="s">
        <v>7</v>
      </c>
      <c r="D34" s="1">
        <v>764258137</v>
      </c>
      <c r="G34" s="1" t="s">
        <v>18</v>
      </c>
      <c r="H34" s="1">
        <v>131264777</v>
      </c>
      <c r="I34" s="1">
        <v>0</v>
      </c>
      <c r="J34" s="12" t="s">
        <v>19</v>
      </c>
      <c r="K34" s="12" t="s">
        <v>20</v>
      </c>
      <c r="L34" s="2" t="s">
        <v>79</v>
      </c>
      <c r="M34" s="19" t="s">
        <v>197</v>
      </c>
      <c r="O34" s="3">
        <v>57</v>
      </c>
      <c r="P34" s="3">
        <v>5705</v>
      </c>
      <c r="Q34" s="12" t="s">
        <v>42</v>
      </c>
      <c r="R34" s="12" t="s">
        <v>21</v>
      </c>
      <c r="S34" s="12" t="s">
        <v>21</v>
      </c>
      <c r="U34" s="12">
        <v>33</v>
      </c>
    </row>
    <row r="35" spans="1:21" x14ac:dyDescent="0.25">
      <c r="A35" s="1">
        <v>765852938</v>
      </c>
      <c r="B35" s="15">
        <v>45859</v>
      </c>
      <c r="C35" s="1" t="s">
        <v>7</v>
      </c>
      <c r="D35" s="1">
        <v>765852938</v>
      </c>
      <c r="G35" s="1" t="s">
        <v>18</v>
      </c>
      <c r="H35" s="1">
        <v>131223891</v>
      </c>
      <c r="I35" s="1">
        <v>0</v>
      </c>
      <c r="J35" s="12" t="s">
        <v>19</v>
      </c>
      <c r="K35" s="12" t="s">
        <v>20</v>
      </c>
      <c r="L35" s="2" t="s">
        <v>80</v>
      </c>
      <c r="M35" s="19" t="s">
        <v>198</v>
      </c>
      <c r="O35" s="3">
        <v>57</v>
      </c>
      <c r="P35" s="3">
        <v>5705</v>
      </c>
      <c r="Q35" s="12" t="s">
        <v>42</v>
      </c>
      <c r="R35" s="12" t="s">
        <v>21</v>
      </c>
      <c r="S35" s="12" t="s">
        <v>21</v>
      </c>
      <c r="U35" s="2">
        <v>34</v>
      </c>
    </row>
    <row r="36" spans="1:21" x14ac:dyDescent="0.25">
      <c r="A36" s="1">
        <v>765900448</v>
      </c>
      <c r="B36" s="15">
        <v>45859</v>
      </c>
      <c r="C36" s="1" t="s">
        <v>7</v>
      </c>
      <c r="D36" s="1">
        <v>765900448</v>
      </c>
      <c r="G36" s="1" t="s">
        <v>18</v>
      </c>
      <c r="H36" s="1">
        <v>131297764</v>
      </c>
      <c r="I36" s="1">
        <v>0</v>
      </c>
      <c r="J36" s="12" t="s">
        <v>19</v>
      </c>
      <c r="K36" s="12" t="s">
        <v>20</v>
      </c>
      <c r="L36" s="2" t="s">
        <v>81</v>
      </c>
      <c r="M36" s="19" t="s">
        <v>185</v>
      </c>
      <c r="O36" s="3">
        <v>57</v>
      </c>
      <c r="P36" s="3">
        <v>5705</v>
      </c>
      <c r="Q36" s="12" t="s">
        <v>42</v>
      </c>
      <c r="R36" s="12" t="s">
        <v>21</v>
      </c>
      <c r="S36" s="12" t="s">
        <v>21</v>
      </c>
      <c r="U36" s="12">
        <v>35</v>
      </c>
    </row>
    <row r="37" spans="1:21" x14ac:dyDescent="0.25">
      <c r="A37" s="1">
        <v>765918655</v>
      </c>
      <c r="B37" s="15">
        <v>45859</v>
      </c>
      <c r="C37" s="1" t="s">
        <v>7</v>
      </c>
      <c r="D37" s="1">
        <v>765918655</v>
      </c>
      <c r="G37" s="1" t="s">
        <v>18</v>
      </c>
      <c r="H37" s="1">
        <v>131297479</v>
      </c>
      <c r="I37" s="1">
        <v>0</v>
      </c>
      <c r="J37" s="12" t="s">
        <v>19</v>
      </c>
      <c r="K37" s="12" t="s">
        <v>20</v>
      </c>
      <c r="L37" s="2" t="s">
        <v>82</v>
      </c>
      <c r="M37" s="19" t="s">
        <v>199</v>
      </c>
      <c r="O37" s="3">
        <v>57</v>
      </c>
      <c r="P37" s="3">
        <v>5705</v>
      </c>
      <c r="Q37" s="12" t="s">
        <v>42</v>
      </c>
      <c r="R37" s="12" t="s">
        <v>21</v>
      </c>
      <c r="S37" s="12" t="s">
        <v>21</v>
      </c>
      <c r="U37" s="2">
        <v>36</v>
      </c>
    </row>
    <row r="38" spans="1:21" x14ac:dyDescent="0.25">
      <c r="A38" s="1">
        <v>782560811</v>
      </c>
      <c r="B38" s="15">
        <v>45859</v>
      </c>
      <c r="C38" s="1" t="s">
        <v>7</v>
      </c>
      <c r="D38" s="1">
        <v>782560811</v>
      </c>
      <c r="G38" s="1" t="s">
        <v>18</v>
      </c>
      <c r="H38" s="1">
        <v>131593763</v>
      </c>
      <c r="I38" s="1">
        <v>0</v>
      </c>
      <c r="J38" s="12" t="s">
        <v>19</v>
      </c>
      <c r="K38" s="12" t="s">
        <v>20</v>
      </c>
      <c r="L38" s="2" t="s">
        <v>83</v>
      </c>
      <c r="M38" s="19" t="s">
        <v>200</v>
      </c>
      <c r="O38" s="3">
        <v>57</v>
      </c>
      <c r="P38" s="3">
        <v>5705</v>
      </c>
      <c r="Q38" s="12" t="s">
        <v>43</v>
      </c>
      <c r="R38" s="12" t="s">
        <v>21</v>
      </c>
      <c r="S38" s="12" t="s">
        <v>21</v>
      </c>
      <c r="U38" s="12">
        <v>37</v>
      </c>
    </row>
    <row r="39" spans="1:21" x14ac:dyDescent="0.25">
      <c r="A39" s="1">
        <v>784004990</v>
      </c>
      <c r="B39" s="15">
        <v>45859</v>
      </c>
      <c r="C39" s="1" t="s">
        <v>7</v>
      </c>
      <c r="D39" s="1">
        <v>784004990</v>
      </c>
      <c r="G39" s="1" t="s">
        <v>18</v>
      </c>
      <c r="H39" s="1">
        <v>131612424</v>
      </c>
      <c r="I39" s="1">
        <v>0</v>
      </c>
      <c r="J39" s="12" t="s">
        <v>19</v>
      </c>
      <c r="K39" s="12" t="s">
        <v>20</v>
      </c>
      <c r="L39" s="2" t="s">
        <v>84</v>
      </c>
      <c r="M39" s="19" t="s">
        <v>201</v>
      </c>
      <c r="O39" s="3">
        <v>57</v>
      </c>
      <c r="P39" s="3">
        <v>5705</v>
      </c>
      <c r="Q39" s="12" t="s">
        <v>43</v>
      </c>
      <c r="R39" s="12" t="s">
        <v>21</v>
      </c>
      <c r="S39" s="12" t="s">
        <v>21</v>
      </c>
      <c r="U39" s="2">
        <v>38</v>
      </c>
    </row>
    <row r="40" spans="1:21" x14ac:dyDescent="0.25">
      <c r="A40" s="1">
        <v>786684096</v>
      </c>
      <c r="B40" s="15">
        <v>45859</v>
      </c>
      <c r="C40" s="1" t="s">
        <v>7</v>
      </c>
      <c r="D40" s="1">
        <v>786684096</v>
      </c>
      <c r="G40" s="1" t="s">
        <v>18</v>
      </c>
      <c r="H40" s="1">
        <v>131654496</v>
      </c>
      <c r="I40" s="1">
        <v>0</v>
      </c>
      <c r="J40" s="12" t="s">
        <v>19</v>
      </c>
      <c r="K40" s="12" t="s">
        <v>20</v>
      </c>
      <c r="L40" s="2" t="s">
        <v>85</v>
      </c>
      <c r="M40" s="19" t="s">
        <v>202</v>
      </c>
      <c r="O40" s="3">
        <v>57</v>
      </c>
      <c r="P40" s="3">
        <v>5705</v>
      </c>
      <c r="Q40" s="12" t="s">
        <v>43</v>
      </c>
      <c r="R40" s="12" t="s">
        <v>21</v>
      </c>
      <c r="S40" s="12" t="s">
        <v>21</v>
      </c>
      <c r="U40" s="12">
        <v>39</v>
      </c>
    </row>
    <row r="41" spans="1:21" x14ac:dyDescent="0.25">
      <c r="A41" s="1">
        <v>786836712</v>
      </c>
      <c r="B41" s="15">
        <v>45859</v>
      </c>
      <c r="C41" s="1" t="s">
        <v>7</v>
      </c>
      <c r="D41" s="1">
        <v>786836712</v>
      </c>
      <c r="G41" s="1" t="s">
        <v>18</v>
      </c>
      <c r="H41" s="1">
        <v>131627218</v>
      </c>
      <c r="I41" s="1">
        <v>0</v>
      </c>
      <c r="J41" s="12" t="s">
        <v>19</v>
      </c>
      <c r="K41" s="12" t="s">
        <v>20</v>
      </c>
      <c r="L41" s="2" t="s">
        <v>86</v>
      </c>
      <c r="M41" s="19" t="s">
        <v>185</v>
      </c>
      <c r="O41" s="3">
        <v>57</v>
      </c>
      <c r="P41" s="3">
        <v>5705</v>
      </c>
      <c r="Q41" s="12" t="s">
        <v>43</v>
      </c>
      <c r="R41" s="12" t="s">
        <v>21</v>
      </c>
      <c r="S41" s="12" t="s">
        <v>21</v>
      </c>
      <c r="U41" s="2">
        <v>40</v>
      </c>
    </row>
    <row r="42" spans="1:21" x14ac:dyDescent="0.25">
      <c r="A42" s="1">
        <v>786851448</v>
      </c>
      <c r="B42" s="15">
        <v>45859</v>
      </c>
      <c r="C42" s="1" t="s">
        <v>7</v>
      </c>
      <c r="D42" s="1">
        <v>786851448</v>
      </c>
      <c r="G42" s="1" t="s">
        <v>18</v>
      </c>
      <c r="H42" s="1">
        <v>131609269</v>
      </c>
      <c r="I42" s="1">
        <v>0</v>
      </c>
      <c r="J42" s="12" t="s">
        <v>19</v>
      </c>
      <c r="K42" s="12" t="s">
        <v>20</v>
      </c>
      <c r="L42" s="2" t="s">
        <v>87</v>
      </c>
      <c r="M42" s="19" t="s">
        <v>203</v>
      </c>
      <c r="O42" s="3">
        <v>57</v>
      </c>
      <c r="P42" s="3">
        <v>5705</v>
      </c>
      <c r="Q42" s="12" t="s">
        <v>43</v>
      </c>
      <c r="R42" s="12" t="s">
        <v>21</v>
      </c>
      <c r="S42" s="12" t="s">
        <v>21</v>
      </c>
      <c r="U42" s="12">
        <v>41</v>
      </c>
    </row>
    <row r="43" spans="1:21" x14ac:dyDescent="0.25">
      <c r="A43" s="1">
        <v>786851968</v>
      </c>
      <c r="B43" s="15">
        <v>45859</v>
      </c>
      <c r="C43" s="1" t="s">
        <v>7</v>
      </c>
      <c r="D43" s="1">
        <v>786851968</v>
      </c>
      <c r="G43" s="1" t="s">
        <v>18</v>
      </c>
      <c r="H43" s="1">
        <v>131608737</v>
      </c>
      <c r="I43" s="1">
        <v>0</v>
      </c>
      <c r="J43" s="12" t="s">
        <v>19</v>
      </c>
      <c r="K43" s="12" t="s">
        <v>20</v>
      </c>
      <c r="L43" s="2" t="s">
        <v>88</v>
      </c>
      <c r="M43" s="19" t="s">
        <v>184</v>
      </c>
      <c r="O43" s="3">
        <v>57</v>
      </c>
      <c r="P43" s="3">
        <v>5705</v>
      </c>
      <c r="Q43" s="12" t="s">
        <v>43</v>
      </c>
      <c r="R43" s="12" t="s">
        <v>21</v>
      </c>
      <c r="S43" s="12" t="s">
        <v>21</v>
      </c>
      <c r="U43" s="2">
        <v>42</v>
      </c>
    </row>
    <row r="44" spans="1:21" x14ac:dyDescent="0.25">
      <c r="A44" s="1">
        <v>786885099</v>
      </c>
      <c r="B44" s="15">
        <v>45859</v>
      </c>
      <c r="C44" s="1" t="s">
        <v>7</v>
      </c>
      <c r="D44" s="1">
        <v>786885099</v>
      </c>
      <c r="G44" s="1" t="s">
        <v>18</v>
      </c>
      <c r="H44" s="1">
        <v>131657795</v>
      </c>
      <c r="I44" s="1">
        <v>0</v>
      </c>
      <c r="J44" s="12" t="s">
        <v>19</v>
      </c>
      <c r="K44" s="12" t="s">
        <v>20</v>
      </c>
      <c r="L44" s="2" t="s">
        <v>89</v>
      </c>
      <c r="M44" s="19" t="s">
        <v>204</v>
      </c>
      <c r="O44" s="3">
        <v>57</v>
      </c>
      <c r="P44" s="3">
        <v>5705</v>
      </c>
      <c r="Q44" s="12" t="s">
        <v>43</v>
      </c>
      <c r="R44" s="12" t="s">
        <v>21</v>
      </c>
      <c r="S44" s="12" t="s">
        <v>21</v>
      </c>
      <c r="U44" s="12">
        <v>43</v>
      </c>
    </row>
    <row r="45" spans="1:21" x14ac:dyDescent="0.25">
      <c r="A45" s="1">
        <v>806940031</v>
      </c>
      <c r="B45" s="15">
        <v>45859</v>
      </c>
      <c r="C45" s="1" t="s">
        <v>7</v>
      </c>
      <c r="D45" s="1">
        <v>806940031</v>
      </c>
      <c r="G45" s="1" t="s">
        <v>18</v>
      </c>
      <c r="H45" s="1">
        <v>132000280</v>
      </c>
      <c r="I45" s="1">
        <v>0</v>
      </c>
      <c r="J45" s="12" t="s">
        <v>19</v>
      </c>
      <c r="K45" s="12" t="s">
        <v>20</v>
      </c>
      <c r="L45" s="2" t="s">
        <v>90</v>
      </c>
      <c r="M45" s="19" t="s">
        <v>205</v>
      </c>
      <c r="O45" s="3">
        <v>57</v>
      </c>
      <c r="P45" s="3">
        <v>5705</v>
      </c>
      <c r="Q45" s="12" t="s">
        <v>44</v>
      </c>
      <c r="R45" s="12" t="s">
        <v>21</v>
      </c>
      <c r="S45" s="12" t="s">
        <v>21</v>
      </c>
      <c r="U45" s="2">
        <v>44</v>
      </c>
    </row>
    <row r="46" spans="1:21" x14ac:dyDescent="0.25">
      <c r="A46" s="1">
        <v>808250736</v>
      </c>
      <c r="B46" s="15">
        <v>45859</v>
      </c>
      <c r="C46" s="1" t="s">
        <v>7</v>
      </c>
      <c r="D46" s="1">
        <v>808250736</v>
      </c>
      <c r="G46" s="1" t="s">
        <v>18</v>
      </c>
      <c r="H46" s="1">
        <v>132024465</v>
      </c>
      <c r="I46" s="1">
        <v>0</v>
      </c>
      <c r="J46" s="12" t="s">
        <v>19</v>
      </c>
      <c r="K46" s="12" t="s">
        <v>20</v>
      </c>
      <c r="L46" s="2" t="s">
        <v>91</v>
      </c>
      <c r="M46" s="19" t="s">
        <v>178</v>
      </c>
      <c r="O46" s="3">
        <v>57</v>
      </c>
      <c r="P46" s="3">
        <v>5705</v>
      </c>
      <c r="Q46" s="12" t="s">
        <v>44</v>
      </c>
      <c r="R46" s="12" t="s">
        <v>21</v>
      </c>
      <c r="S46" s="12" t="s">
        <v>21</v>
      </c>
      <c r="U46" s="12">
        <v>45</v>
      </c>
    </row>
    <row r="47" spans="1:21" x14ac:dyDescent="0.25">
      <c r="A47" s="1">
        <v>809802329</v>
      </c>
      <c r="B47" s="15">
        <v>45859</v>
      </c>
      <c r="C47" s="1" t="s">
        <v>7</v>
      </c>
      <c r="D47" s="1">
        <v>809802329</v>
      </c>
      <c r="G47" s="1" t="s">
        <v>18</v>
      </c>
      <c r="H47" s="1">
        <v>132034432</v>
      </c>
      <c r="I47" s="1">
        <v>0</v>
      </c>
      <c r="J47" s="12" t="s">
        <v>19</v>
      </c>
      <c r="K47" s="12" t="s">
        <v>20</v>
      </c>
      <c r="L47" s="2" t="s">
        <v>92</v>
      </c>
      <c r="M47" s="19" t="s">
        <v>206</v>
      </c>
      <c r="O47" s="3">
        <v>57</v>
      </c>
      <c r="P47" s="3">
        <v>5705</v>
      </c>
      <c r="Q47" s="12" t="s">
        <v>44</v>
      </c>
      <c r="R47" s="12" t="s">
        <v>21</v>
      </c>
      <c r="S47" s="12" t="s">
        <v>21</v>
      </c>
      <c r="U47" s="2">
        <v>46</v>
      </c>
    </row>
    <row r="48" spans="1:21" x14ac:dyDescent="0.25">
      <c r="A48" s="1">
        <v>811032691</v>
      </c>
      <c r="B48" s="15">
        <v>45859</v>
      </c>
      <c r="C48" s="1" t="s">
        <v>7</v>
      </c>
      <c r="D48" s="1">
        <v>811032691</v>
      </c>
      <c r="G48" s="1" t="s">
        <v>18</v>
      </c>
      <c r="H48" s="1">
        <v>132064104</v>
      </c>
      <c r="I48" s="1">
        <v>0</v>
      </c>
      <c r="J48" s="12" t="s">
        <v>19</v>
      </c>
      <c r="K48" s="12" t="s">
        <v>20</v>
      </c>
      <c r="L48" s="2" t="s">
        <v>93</v>
      </c>
      <c r="M48" s="19" t="s">
        <v>171</v>
      </c>
      <c r="O48" s="3">
        <v>57</v>
      </c>
      <c r="P48" s="3">
        <v>5705</v>
      </c>
      <c r="Q48" s="12" t="s">
        <v>44</v>
      </c>
      <c r="R48" s="12" t="s">
        <v>21</v>
      </c>
      <c r="S48" s="12" t="s">
        <v>21</v>
      </c>
      <c r="U48" s="12">
        <v>47</v>
      </c>
    </row>
    <row r="49" spans="1:21" x14ac:dyDescent="0.25">
      <c r="A49" s="1">
        <v>811078033</v>
      </c>
      <c r="B49" s="15">
        <v>45859</v>
      </c>
      <c r="C49" s="1" t="s">
        <v>7</v>
      </c>
      <c r="D49" s="1">
        <v>811078033</v>
      </c>
      <c r="G49" s="1" t="s">
        <v>18</v>
      </c>
      <c r="H49" s="1">
        <v>132068503</v>
      </c>
      <c r="I49" s="1">
        <v>0</v>
      </c>
      <c r="J49" s="12" t="s">
        <v>19</v>
      </c>
      <c r="K49" s="12" t="s">
        <v>20</v>
      </c>
      <c r="L49" s="2" t="s">
        <v>94</v>
      </c>
      <c r="M49" s="19" t="s">
        <v>207</v>
      </c>
      <c r="O49" s="3">
        <v>57</v>
      </c>
      <c r="P49" s="3">
        <v>5705</v>
      </c>
      <c r="Q49" s="12" t="s">
        <v>44</v>
      </c>
      <c r="R49" s="12" t="s">
        <v>21</v>
      </c>
      <c r="S49" s="12" t="s">
        <v>21</v>
      </c>
      <c r="U49" s="2">
        <v>48</v>
      </c>
    </row>
    <row r="50" spans="1:21" x14ac:dyDescent="0.25">
      <c r="A50" s="1">
        <v>811121296</v>
      </c>
      <c r="B50" s="15">
        <v>45859</v>
      </c>
      <c r="C50" s="1" t="s">
        <v>7</v>
      </c>
      <c r="D50" s="1">
        <v>811121296</v>
      </c>
      <c r="G50" s="1" t="s">
        <v>18</v>
      </c>
      <c r="H50" s="1">
        <v>132068790</v>
      </c>
      <c r="I50" s="1">
        <v>0</v>
      </c>
      <c r="J50" s="12" t="s">
        <v>19</v>
      </c>
      <c r="K50" s="12" t="s">
        <v>20</v>
      </c>
      <c r="L50" s="2" t="s">
        <v>95</v>
      </c>
      <c r="M50" s="19" t="s">
        <v>208</v>
      </c>
      <c r="O50" s="3">
        <v>57</v>
      </c>
      <c r="P50" s="3">
        <v>5705</v>
      </c>
      <c r="Q50" s="12" t="s">
        <v>44</v>
      </c>
      <c r="R50" s="12" t="s">
        <v>21</v>
      </c>
      <c r="S50" s="12" t="s">
        <v>21</v>
      </c>
      <c r="U50" s="12">
        <v>49</v>
      </c>
    </row>
    <row r="51" spans="1:21" x14ac:dyDescent="0.25">
      <c r="A51" s="1">
        <v>811172653</v>
      </c>
      <c r="B51" s="15">
        <v>45859</v>
      </c>
      <c r="C51" s="1" t="s">
        <v>7</v>
      </c>
      <c r="D51" s="1">
        <v>811172653</v>
      </c>
      <c r="G51" s="1" t="s">
        <v>18</v>
      </c>
      <c r="H51" s="1">
        <v>132069289</v>
      </c>
      <c r="I51" s="1">
        <v>0</v>
      </c>
      <c r="J51" s="12" t="s">
        <v>19</v>
      </c>
      <c r="K51" s="12" t="s">
        <v>20</v>
      </c>
      <c r="L51" s="2" t="s">
        <v>96</v>
      </c>
      <c r="M51" s="19" t="s">
        <v>178</v>
      </c>
      <c r="O51" s="3">
        <v>57</v>
      </c>
      <c r="P51" s="3">
        <v>5705</v>
      </c>
      <c r="Q51" s="12" t="s">
        <v>44</v>
      </c>
      <c r="R51" s="12" t="s">
        <v>21</v>
      </c>
      <c r="S51" s="12" t="s">
        <v>21</v>
      </c>
      <c r="U51" s="2">
        <v>50</v>
      </c>
    </row>
    <row r="52" spans="1:21" x14ac:dyDescent="0.25">
      <c r="A52" s="1">
        <v>811874027</v>
      </c>
      <c r="B52" s="15">
        <v>45859</v>
      </c>
      <c r="C52" s="1" t="s">
        <v>7</v>
      </c>
      <c r="D52" s="1">
        <v>811874027</v>
      </c>
      <c r="G52" s="1" t="s">
        <v>18</v>
      </c>
      <c r="H52" s="1">
        <v>132080960</v>
      </c>
      <c r="I52" s="1">
        <v>0</v>
      </c>
      <c r="J52" s="12" t="s">
        <v>19</v>
      </c>
      <c r="K52" s="12" t="s">
        <v>20</v>
      </c>
      <c r="L52" s="2" t="s">
        <v>97</v>
      </c>
      <c r="M52" s="19" t="s">
        <v>209</v>
      </c>
      <c r="O52" s="3">
        <v>57</v>
      </c>
      <c r="P52" s="3">
        <v>5705</v>
      </c>
      <c r="Q52" s="12" t="s">
        <v>44</v>
      </c>
      <c r="R52" s="12" t="s">
        <v>21</v>
      </c>
      <c r="S52" s="12" t="s">
        <v>21</v>
      </c>
      <c r="U52" s="12">
        <v>51</v>
      </c>
    </row>
    <row r="53" spans="1:21" x14ac:dyDescent="0.25">
      <c r="A53" s="1">
        <v>811905151</v>
      </c>
      <c r="B53" s="15">
        <v>45859</v>
      </c>
      <c r="C53" s="1" t="s">
        <v>7</v>
      </c>
      <c r="D53" s="1">
        <v>811905151</v>
      </c>
      <c r="G53" s="1" t="s">
        <v>18</v>
      </c>
      <c r="H53" s="1">
        <v>132077025</v>
      </c>
      <c r="I53" s="1">
        <v>0</v>
      </c>
      <c r="J53" s="12" t="s">
        <v>19</v>
      </c>
      <c r="K53" s="12" t="s">
        <v>20</v>
      </c>
      <c r="L53" s="2" t="s">
        <v>98</v>
      </c>
      <c r="M53" s="19" t="s">
        <v>210</v>
      </c>
      <c r="O53" s="3">
        <v>57</v>
      </c>
      <c r="P53" s="3">
        <v>5705</v>
      </c>
      <c r="Q53" s="12" t="s">
        <v>44</v>
      </c>
      <c r="R53" s="12" t="s">
        <v>21</v>
      </c>
      <c r="S53" s="12" t="s">
        <v>21</v>
      </c>
      <c r="U53" s="2">
        <v>52</v>
      </c>
    </row>
    <row r="54" spans="1:21" x14ac:dyDescent="0.25">
      <c r="A54" s="1">
        <v>811929565</v>
      </c>
      <c r="B54" s="15">
        <v>45859</v>
      </c>
      <c r="C54" s="1" t="s">
        <v>7</v>
      </c>
      <c r="D54" s="1">
        <v>811929565</v>
      </c>
      <c r="G54" s="1" t="s">
        <v>18</v>
      </c>
      <c r="H54" s="1">
        <v>132073516</v>
      </c>
      <c r="I54" s="1">
        <v>0</v>
      </c>
      <c r="J54" s="12" t="s">
        <v>19</v>
      </c>
      <c r="K54" s="12" t="s">
        <v>20</v>
      </c>
      <c r="L54" s="2" t="s">
        <v>99</v>
      </c>
      <c r="M54" s="19" t="s">
        <v>211</v>
      </c>
      <c r="O54" s="3">
        <v>57</v>
      </c>
      <c r="P54" s="3">
        <v>5705</v>
      </c>
      <c r="Q54" s="12" t="s">
        <v>44</v>
      </c>
      <c r="R54" s="12" t="s">
        <v>21</v>
      </c>
      <c r="S54" s="12" t="s">
        <v>21</v>
      </c>
      <c r="U54" s="12">
        <v>53</v>
      </c>
    </row>
    <row r="55" spans="1:21" x14ac:dyDescent="0.25">
      <c r="A55" s="1">
        <v>820681918</v>
      </c>
      <c r="B55" s="15">
        <v>45859</v>
      </c>
      <c r="C55" s="1" t="s">
        <v>7</v>
      </c>
      <c r="D55" s="1">
        <v>820681918</v>
      </c>
      <c r="G55" s="1" t="s">
        <v>18</v>
      </c>
      <c r="H55" s="1">
        <v>132220591</v>
      </c>
      <c r="I55" s="1">
        <v>0</v>
      </c>
      <c r="J55" s="12" t="s">
        <v>19</v>
      </c>
      <c r="K55" s="12" t="s">
        <v>20</v>
      </c>
      <c r="L55" s="2" t="s">
        <v>100</v>
      </c>
      <c r="M55" s="19" t="s">
        <v>212</v>
      </c>
      <c r="O55" s="3">
        <v>57</v>
      </c>
      <c r="P55" s="3">
        <v>5705</v>
      </c>
      <c r="Q55" s="12" t="s">
        <v>45</v>
      </c>
      <c r="R55" s="12" t="s">
        <v>21</v>
      </c>
      <c r="S55" s="12" t="s">
        <v>21</v>
      </c>
      <c r="U55" s="2">
        <v>54</v>
      </c>
    </row>
    <row r="56" spans="1:21" x14ac:dyDescent="0.25">
      <c r="A56" s="1">
        <v>826171567</v>
      </c>
      <c r="B56" s="15">
        <v>45859</v>
      </c>
      <c r="C56" s="1" t="s">
        <v>7</v>
      </c>
      <c r="D56" s="1">
        <v>826171567</v>
      </c>
      <c r="G56" s="1" t="s">
        <v>18</v>
      </c>
      <c r="H56" s="1">
        <v>132318962</v>
      </c>
      <c r="I56" s="1">
        <v>0</v>
      </c>
      <c r="J56" s="12" t="s">
        <v>19</v>
      </c>
      <c r="K56" s="12" t="s">
        <v>20</v>
      </c>
      <c r="L56" s="2" t="s">
        <v>101</v>
      </c>
      <c r="M56" s="19" t="s">
        <v>213</v>
      </c>
      <c r="O56" s="3">
        <v>57</v>
      </c>
      <c r="P56" s="3">
        <v>5705</v>
      </c>
      <c r="Q56" s="12" t="s">
        <v>45</v>
      </c>
      <c r="R56" s="12" t="s">
        <v>21</v>
      </c>
      <c r="S56" s="12" t="s">
        <v>21</v>
      </c>
      <c r="U56" s="12">
        <v>55</v>
      </c>
    </row>
    <row r="57" spans="1:21" x14ac:dyDescent="0.25">
      <c r="A57" s="1">
        <v>834124483</v>
      </c>
      <c r="B57" s="15">
        <v>45859</v>
      </c>
      <c r="C57" s="1" t="s">
        <v>7</v>
      </c>
      <c r="D57" s="1">
        <v>834124483</v>
      </c>
      <c r="G57" s="1" t="s">
        <v>18</v>
      </c>
      <c r="H57" s="1">
        <v>132454082</v>
      </c>
      <c r="I57" s="1">
        <v>0</v>
      </c>
      <c r="J57" s="12" t="s">
        <v>19</v>
      </c>
      <c r="K57" s="12" t="s">
        <v>20</v>
      </c>
      <c r="L57" s="2" t="s">
        <v>102</v>
      </c>
      <c r="M57" s="19" t="s">
        <v>214</v>
      </c>
      <c r="O57" s="3">
        <v>57</v>
      </c>
      <c r="P57" s="3">
        <v>5705</v>
      </c>
      <c r="Q57" s="12" t="s">
        <v>45</v>
      </c>
      <c r="R57" s="12" t="s">
        <v>21</v>
      </c>
      <c r="S57" s="12" t="s">
        <v>21</v>
      </c>
      <c r="U57" s="2">
        <v>56</v>
      </c>
    </row>
    <row r="58" spans="1:21" x14ac:dyDescent="0.25">
      <c r="A58" s="1">
        <v>853771206</v>
      </c>
      <c r="B58" s="15">
        <v>45859</v>
      </c>
      <c r="C58" s="1" t="s">
        <v>7</v>
      </c>
      <c r="D58" s="1">
        <v>853771206</v>
      </c>
      <c r="G58" s="1" t="s">
        <v>18</v>
      </c>
      <c r="H58" s="1">
        <v>132799417</v>
      </c>
      <c r="I58" s="1">
        <v>0</v>
      </c>
      <c r="J58" s="12" t="s">
        <v>19</v>
      </c>
      <c r="K58" s="12" t="s">
        <v>20</v>
      </c>
      <c r="L58" s="2" t="s">
        <v>103</v>
      </c>
      <c r="M58" s="19" t="s">
        <v>215</v>
      </c>
      <c r="O58" s="3">
        <v>57</v>
      </c>
      <c r="P58" s="3">
        <v>5705</v>
      </c>
      <c r="Q58" s="12" t="s">
        <v>46</v>
      </c>
      <c r="R58" s="12" t="s">
        <v>21</v>
      </c>
      <c r="S58" s="12" t="s">
        <v>21</v>
      </c>
      <c r="U58" s="12">
        <v>57</v>
      </c>
    </row>
    <row r="59" spans="1:21" x14ac:dyDescent="0.25">
      <c r="A59" s="1">
        <v>659974681</v>
      </c>
      <c r="B59" s="15">
        <v>45859</v>
      </c>
      <c r="C59" s="1" t="s">
        <v>7</v>
      </c>
      <c r="D59" s="1">
        <v>659974681</v>
      </c>
      <c r="G59" s="1" t="s">
        <v>18</v>
      </c>
      <c r="H59" s="1">
        <v>129434368</v>
      </c>
      <c r="I59" s="1">
        <v>0</v>
      </c>
      <c r="J59" s="12" t="s">
        <v>19</v>
      </c>
      <c r="K59" s="12" t="s">
        <v>20</v>
      </c>
      <c r="L59" s="2" t="s">
        <v>104</v>
      </c>
      <c r="M59" s="19" t="s">
        <v>216</v>
      </c>
      <c r="O59" s="3">
        <v>57</v>
      </c>
      <c r="P59" s="3">
        <v>5705</v>
      </c>
      <c r="Q59" s="12" t="s">
        <v>25</v>
      </c>
      <c r="R59" s="12" t="s">
        <v>21</v>
      </c>
      <c r="S59" s="12" t="s">
        <v>21</v>
      </c>
      <c r="U59" s="2">
        <v>58</v>
      </c>
    </row>
    <row r="60" spans="1:21" x14ac:dyDescent="0.25">
      <c r="A60" s="1">
        <v>663496978</v>
      </c>
      <c r="B60" s="15">
        <v>45859</v>
      </c>
      <c r="C60" s="1" t="s">
        <v>7</v>
      </c>
      <c r="D60" s="1">
        <v>663496978</v>
      </c>
      <c r="G60" s="1" t="s">
        <v>18</v>
      </c>
      <c r="H60" s="1">
        <v>129490848</v>
      </c>
      <c r="I60" s="1">
        <v>0</v>
      </c>
      <c r="J60" s="12" t="s">
        <v>19</v>
      </c>
      <c r="K60" s="12" t="s">
        <v>20</v>
      </c>
      <c r="L60" s="2" t="s">
        <v>105</v>
      </c>
      <c r="M60" s="19" t="s">
        <v>217</v>
      </c>
      <c r="O60" s="3">
        <v>57</v>
      </c>
      <c r="P60" s="3">
        <v>5705</v>
      </c>
      <c r="Q60" s="12" t="s">
        <v>25</v>
      </c>
      <c r="R60" s="12" t="s">
        <v>21</v>
      </c>
      <c r="S60" s="12" t="s">
        <v>21</v>
      </c>
      <c r="U60" s="12">
        <v>59</v>
      </c>
    </row>
    <row r="61" spans="1:21" x14ac:dyDescent="0.25">
      <c r="A61" s="1">
        <v>666339621</v>
      </c>
      <c r="B61" s="15">
        <v>45859</v>
      </c>
      <c r="C61" s="1" t="s">
        <v>7</v>
      </c>
      <c r="D61" s="1">
        <v>666339621</v>
      </c>
      <c r="G61" s="1" t="s">
        <v>18</v>
      </c>
      <c r="H61" s="1">
        <v>129549406</v>
      </c>
      <c r="I61" s="1">
        <v>0</v>
      </c>
      <c r="J61" s="12" t="s">
        <v>19</v>
      </c>
      <c r="K61" s="12" t="s">
        <v>20</v>
      </c>
      <c r="L61" s="2" t="s">
        <v>106</v>
      </c>
      <c r="M61" s="19" t="s">
        <v>218</v>
      </c>
      <c r="O61" s="3">
        <v>57</v>
      </c>
      <c r="P61" s="3">
        <v>5705</v>
      </c>
      <c r="Q61" s="12" t="s">
        <v>25</v>
      </c>
      <c r="R61" s="12" t="s">
        <v>21</v>
      </c>
      <c r="S61" s="12" t="s">
        <v>21</v>
      </c>
      <c r="U61" s="2">
        <v>60</v>
      </c>
    </row>
    <row r="62" spans="1:21" x14ac:dyDescent="0.25">
      <c r="A62" s="1">
        <v>668770484</v>
      </c>
      <c r="B62" s="15">
        <v>45859</v>
      </c>
      <c r="C62" s="1" t="s">
        <v>7</v>
      </c>
      <c r="D62" s="1">
        <v>668770484</v>
      </c>
      <c r="G62" s="1" t="s">
        <v>18</v>
      </c>
      <c r="H62" s="1">
        <v>129594156</v>
      </c>
      <c r="I62" s="1">
        <v>0</v>
      </c>
      <c r="J62" s="12" t="s">
        <v>19</v>
      </c>
      <c r="K62" s="12" t="s">
        <v>20</v>
      </c>
      <c r="L62" s="2" t="s">
        <v>107</v>
      </c>
      <c r="M62" s="19" t="s">
        <v>219</v>
      </c>
      <c r="O62" s="3">
        <v>57</v>
      </c>
      <c r="P62" s="3">
        <v>5705</v>
      </c>
      <c r="Q62" s="12" t="s">
        <v>25</v>
      </c>
      <c r="R62" s="12" t="s">
        <v>21</v>
      </c>
      <c r="S62" s="12" t="s">
        <v>21</v>
      </c>
      <c r="U62" s="12">
        <v>61</v>
      </c>
    </row>
    <row r="63" spans="1:21" x14ac:dyDescent="0.25">
      <c r="A63" s="1">
        <v>670523970</v>
      </c>
      <c r="B63" s="15">
        <v>45859</v>
      </c>
      <c r="C63" s="1" t="s">
        <v>7</v>
      </c>
      <c r="D63" s="1">
        <v>670523970</v>
      </c>
      <c r="G63" s="1" t="s">
        <v>18</v>
      </c>
      <c r="H63" s="1">
        <v>129626984</v>
      </c>
      <c r="I63" s="1">
        <v>0</v>
      </c>
      <c r="J63" s="12" t="s">
        <v>19</v>
      </c>
      <c r="K63" s="12" t="s">
        <v>20</v>
      </c>
      <c r="L63" s="2" t="s">
        <v>108</v>
      </c>
      <c r="M63" s="19" t="s">
        <v>220</v>
      </c>
      <c r="O63" s="3">
        <v>57</v>
      </c>
      <c r="P63" s="3">
        <v>5705</v>
      </c>
      <c r="Q63" s="12" t="s">
        <v>25</v>
      </c>
      <c r="R63" s="12" t="s">
        <v>21</v>
      </c>
      <c r="S63" s="12" t="s">
        <v>21</v>
      </c>
      <c r="U63" s="2">
        <v>62</v>
      </c>
    </row>
    <row r="64" spans="1:21" x14ac:dyDescent="0.25">
      <c r="A64" s="1">
        <v>672153313</v>
      </c>
      <c r="B64" s="15">
        <v>45859</v>
      </c>
      <c r="C64" s="1" t="s">
        <v>7</v>
      </c>
      <c r="D64" s="1">
        <v>672153313</v>
      </c>
      <c r="G64" s="1" t="s">
        <v>18</v>
      </c>
      <c r="H64" s="1">
        <v>129594677</v>
      </c>
      <c r="I64" s="1">
        <v>0</v>
      </c>
      <c r="J64" s="12" t="s">
        <v>19</v>
      </c>
      <c r="K64" s="12" t="s">
        <v>20</v>
      </c>
      <c r="L64" s="2" t="s">
        <v>109</v>
      </c>
      <c r="M64" s="19" t="s">
        <v>221</v>
      </c>
      <c r="O64" s="3">
        <v>57</v>
      </c>
      <c r="P64" s="3">
        <v>5705</v>
      </c>
      <c r="Q64" s="12" t="s">
        <v>25</v>
      </c>
      <c r="R64" s="12" t="s">
        <v>21</v>
      </c>
      <c r="S64" s="12" t="s">
        <v>21</v>
      </c>
      <c r="U64" s="12">
        <v>63</v>
      </c>
    </row>
    <row r="65" spans="1:21" x14ac:dyDescent="0.25">
      <c r="A65" s="1">
        <v>672177312</v>
      </c>
      <c r="B65" s="15">
        <v>45859</v>
      </c>
      <c r="C65" s="1" t="s">
        <v>7</v>
      </c>
      <c r="D65" s="1">
        <v>672177312</v>
      </c>
      <c r="G65" s="1" t="s">
        <v>18</v>
      </c>
      <c r="H65" s="1">
        <v>129654461</v>
      </c>
      <c r="I65" s="1">
        <v>0</v>
      </c>
      <c r="J65" s="12" t="s">
        <v>19</v>
      </c>
      <c r="K65" s="12" t="s">
        <v>20</v>
      </c>
      <c r="L65" s="2" t="s">
        <v>110</v>
      </c>
      <c r="M65" s="19" t="s">
        <v>222</v>
      </c>
      <c r="O65" s="3">
        <v>57</v>
      </c>
      <c r="P65" s="3">
        <v>5705</v>
      </c>
      <c r="Q65" s="12" t="s">
        <v>25</v>
      </c>
      <c r="R65" s="12" t="s">
        <v>21</v>
      </c>
      <c r="S65" s="12" t="s">
        <v>21</v>
      </c>
      <c r="U65" s="2">
        <v>64</v>
      </c>
    </row>
    <row r="66" spans="1:21" x14ac:dyDescent="0.25">
      <c r="A66" s="1">
        <v>672217167</v>
      </c>
      <c r="B66" s="15">
        <v>45859</v>
      </c>
      <c r="C66" s="1" t="s">
        <v>7</v>
      </c>
      <c r="D66" s="1">
        <v>672217167</v>
      </c>
      <c r="G66" s="1" t="s">
        <v>18</v>
      </c>
      <c r="H66" s="1">
        <v>129655721</v>
      </c>
      <c r="I66" s="1">
        <v>0</v>
      </c>
      <c r="J66" s="12" t="s">
        <v>19</v>
      </c>
      <c r="K66" s="12" t="s">
        <v>20</v>
      </c>
      <c r="L66" s="2" t="s">
        <v>111</v>
      </c>
      <c r="M66" s="19" t="s">
        <v>223</v>
      </c>
      <c r="O66" s="3">
        <v>57</v>
      </c>
      <c r="P66" s="3">
        <v>5705</v>
      </c>
      <c r="Q66" s="12" t="s">
        <v>25</v>
      </c>
      <c r="R66" s="12" t="s">
        <v>21</v>
      </c>
      <c r="S66" s="12" t="s">
        <v>21</v>
      </c>
      <c r="U66" s="12">
        <v>65</v>
      </c>
    </row>
    <row r="67" spans="1:21" x14ac:dyDescent="0.25">
      <c r="A67" s="1">
        <v>672261041</v>
      </c>
      <c r="B67" s="15">
        <v>45859</v>
      </c>
      <c r="C67" s="1" t="s">
        <v>7</v>
      </c>
      <c r="D67" s="1">
        <v>672261041</v>
      </c>
      <c r="G67" s="1" t="s">
        <v>18</v>
      </c>
      <c r="H67" s="1">
        <v>129628901</v>
      </c>
      <c r="I67" s="1">
        <v>0</v>
      </c>
      <c r="J67" s="12" t="s">
        <v>19</v>
      </c>
      <c r="K67" s="12" t="s">
        <v>20</v>
      </c>
      <c r="L67" s="2" t="s">
        <v>112</v>
      </c>
      <c r="M67" s="19" t="s">
        <v>224</v>
      </c>
      <c r="O67" s="3">
        <v>57</v>
      </c>
      <c r="P67" s="3">
        <v>5705</v>
      </c>
      <c r="Q67" s="12" t="s">
        <v>25</v>
      </c>
      <c r="R67" s="12" t="s">
        <v>21</v>
      </c>
      <c r="S67" s="12" t="s">
        <v>21</v>
      </c>
      <c r="U67" s="2">
        <v>66</v>
      </c>
    </row>
    <row r="68" spans="1:21" x14ac:dyDescent="0.25">
      <c r="A68" s="1">
        <v>696902653</v>
      </c>
      <c r="B68" s="15">
        <v>45859</v>
      </c>
      <c r="C68" s="1" t="s">
        <v>7</v>
      </c>
      <c r="D68" s="1">
        <v>696902653</v>
      </c>
      <c r="G68" s="1" t="s">
        <v>18</v>
      </c>
      <c r="H68" s="1">
        <v>130082857</v>
      </c>
      <c r="I68" s="1">
        <v>0</v>
      </c>
      <c r="J68" s="12" t="s">
        <v>19</v>
      </c>
      <c r="K68" s="12" t="s">
        <v>20</v>
      </c>
      <c r="L68" s="2" t="s">
        <v>113</v>
      </c>
      <c r="M68" s="19" t="s">
        <v>225</v>
      </c>
      <c r="O68" s="3">
        <v>57</v>
      </c>
      <c r="P68" s="3">
        <v>5705</v>
      </c>
      <c r="Q68" s="12" t="s">
        <v>39</v>
      </c>
      <c r="R68" s="12" t="s">
        <v>21</v>
      </c>
      <c r="S68" s="12" t="s">
        <v>21</v>
      </c>
      <c r="U68" s="12">
        <v>67</v>
      </c>
    </row>
    <row r="69" spans="1:21" x14ac:dyDescent="0.25">
      <c r="A69" s="1">
        <v>697117517</v>
      </c>
      <c r="B69" s="15">
        <v>45859</v>
      </c>
      <c r="C69" s="1" t="s">
        <v>7</v>
      </c>
      <c r="D69" s="1">
        <v>697117517</v>
      </c>
      <c r="G69" s="1" t="s">
        <v>18</v>
      </c>
      <c r="H69" s="1">
        <v>130084938</v>
      </c>
      <c r="I69" s="1">
        <v>0</v>
      </c>
      <c r="J69" s="12" t="s">
        <v>19</v>
      </c>
      <c r="K69" s="12" t="s">
        <v>20</v>
      </c>
      <c r="L69" s="2" t="s">
        <v>114</v>
      </c>
      <c r="M69" s="19" t="s">
        <v>226</v>
      </c>
      <c r="O69" s="3">
        <v>57</v>
      </c>
      <c r="P69" s="3">
        <v>5705</v>
      </c>
      <c r="Q69" s="12" t="s">
        <v>39</v>
      </c>
      <c r="R69" s="12" t="s">
        <v>21</v>
      </c>
      <c r="S69" s="12" t="s">
        <v>21</v>
      </c>
      <c r="U69" s="2">
        <v>68</v>
      </c>
    </row>
    <row r="70" spans="1:21" x14ac:dyDescent="0.25">
      <c r="A70" s="1">
        <v>708564699</v>
      </c>
      <c r="B70" s="15">
        <v>45859</v>
      </c>
      <c r="C70" s="1" t="s">
        <v>7</v>
      </c>
      <c r="D70" s="1">
        <v>708564699</v>
      </c>
      <c r="G70" s="1" t="s">
        <v>18</v>
      </c>
      <c r="H70" s="1">
        <v>130284617</v>
      </c>
      <c r="I70" s="1">
        <v>0</v>
      </c>
      <c r="J70" s="12" t="s">
        <v>19</v>
      </c>
      <c r="K70" s="12" t="s">
        <v>20</v>
      </c>
      <c r="L70" s="2" t="s">
        <v>115</v>
      </c>
      <c r="M70" s="19" t="s">
        <v>197</v>
      </c>
      <c r="O70" s="3">
        <v>57</v>
      </c>
      <c r="P70" s="3">
        <v>5705</v>
      </c>
      <c r="Q70" s="12" t="s">
        <v>40</v>
      </c>
      <c r="R70" s="12" t="s">
        <v>21</v>
      </c>
      <c r="S70" s="12" t="s">
        <v>21</v>
      </c>
      <c r="U70" s="12">
        <v>69</v>
      </c>
    </row>
    <row r="71" spans="1:21" x14ac:dyDescent="0.25">
      <c r="A71" s="1">
        <v>718009750</v>
      </c>
      <c r="B71" s="15">
        <v>45859</v>
      </c>
      <c r="C71" s="1" t="s">
        <v>7</v>
      </c>
      <c r="D71" s="1">
        <v>718009750</v>
      </c>
      <c r="G71" s="1" t="s">
        <v>18</v>
      </c>
      <c r="H71" s="1">
        <v>130458166</v>
      </c>
      <c r="I71" s="1">
        <v>0</v>
      </c>
      <c r="J71" s="12" t="s">
        <v>19</v>
      </c>
      <c r="K71" s="12" t="s">
        <v>20</v>
      </c>
      <c r="L71" s="2" t="s">
        <v>116</v>
      </c>
      <c r="M71" s="19" t="s">
        <v>192</v>
      </c>
      <c r="O71" s="3">
        <v>57</v>
      </c>
      <c r="P71" s="3">
        <v>5705</v>
      </c>
      <c r="Q71" s="12" t="s">
        <v>40</v>
      </c>
      <c r="R71" s="12" t="s">
        <v>21</v>
      </c>
      <c r="S71" s="12" t="s">
        <v>21</v>
      </c>
      <c r="U71" s="2">
        <v>70</v>
      </c>
    </row>
    <row r="72" spans="1:21" x14ac:dyDescent="0.25">
      <c r="A72" s="1">
        <v>718908761</v>
      </c>
      <c r="B72" s="15">
        <v>45859</v>
      </c>
      <c r="C72" s="1" t="s">
        <v>7</v>
      </c>
      <c r="D72" s="1">
        <v>718908761</v>
      </c>
      <c r="G72" s="1" t="s">
        <v>18</v>
      </c>
      <c r="H72" s="1">
        <v>130486729</v>
      </c>
      <c r="I72" s="1">
        <v>0</v>
      </c>
      <c r="J72" s="12" t="s">
        <v>19</v>
      </c>
      <c r="K72" s="12" t="s">
        <v>20</v>
      </c>
      <c r="L72" s="2" t="s">
        <v>117</v>
      </c>
      <c r="M72" s="19" t="s">
        <v>192</v>
      </c>
      <c r="O72" s="3">
        <v>57</v>
      </c>
      <c r="P72" s="3">
        <v>5705</v>
      </c>
      <c r="Q72" s="12" t="s">
        <v>40</v>
      </c>
      <c r="R72" s="12" t="s">
        <v>21</v>
      </c>
      <c r="S72" s="12" t="s">
        <v>21</v>
      </c>
      <c r="U72" s="12">
        <v>71</v>
      </c>
    </row>
    <row r="73" spans="1:21" x14ac:dyDescent="0.25">
      <c r="A73" s="1">
        <v>720098544</v>
      </c>
      <c r="B73" s="15">
        <v>45859</v>
      </c>
      <c r="C73" s="1" t="s">
        <v>7</v>
      </c>
      <c r="D73" s="1">
        <v>720098544</v>
      </c>
      <c r="G73" s="1" t="s">
        <v>18</v>
      </c>
      <c r="H73" s="1">
        <v>130505303</v>
      </c>
      <c r="I73" s="1">
        <v>0</v>
      </c>
      <c r="J73" s="12" t="s">
        <v>19</v>
      </c>
      <c r="K73" s="12" t="s">
        <v>20</v>
      </c>
      <c r="L73" s="2" t="s">
        <v>118</v>
      </c>
      <c r="M73" s="19" t="s">
        <v>227</v>
      </c>
      <c r="O73" s="3">
        <v>57</v>
      </c>
      <c r="P73" s="3">
        <v>5705</v>
      </c>
      <c r="Q73" s="12" t="s">
        <v>40</v>
      </c>
      <c r="R73" s="12" t="s">
        <v>21</v>
      </c>
      <c r="S73" s="12" t="s">
        <v>21</v>
      </c>
      <c r="U73" s="2">
        <v>72</v>
      </c>
    </row>
    <row r="74" spans="1:21" x14ac:dyDescent="0.25">
      <c r="A74" s="1">
        <v>720313794</v>
      </c>
      <c r="B74" s="15">
        <v>45859</v>
      </c>
      <c r="C74" s="1" t="s">
        <v>7</v>
      </c>
      <c r="D74" s="1">
        <v>720313794</v>
      </c>
      <c r="G74" s="1" t="s">
        <v>18</v>
      </c>
      <c r="H74" s="1">
        <v>130491083</v>
      </c>
      <c r="I74" s="1">
        <v>0</v>
      </c>
      <c r="J74" s="12" t="s">
        <v>19</v>
      </c>
      <c r="K74" s="12" t="s">
        <v>20</v>
      </c>
      <c r="L74" s="2" t="s">
        <v>119</v>
      </c>
      <c r="M74" s="19" t="s">
        <v>228</v>
      </c>
      <c r="O74" s="3">
        <v>57</v>
      </c>
      <c r="P74" s="3">
        <v>5705</v>
      </c>
      <c r="Q74" s="12" t="s">
        <v>40</v>
      </c>
      <c r="R74" s="12" t="s">
        <v>21</v>
      </c>
      <c r="S74" s="12" t="s">
        <v>21</v>
      </c>
      <c r="U74" s="12">
        <v>73</v>
      </c>
    </row>
    <row r="75" spans="1:21" x14ac:dyDescent="0.25">
      <c r="A75" s="1">
        <v>738367063</v>
      </c>
      <c r="B75" s="15">
        <v>45859</v>
      </c>
      <c r="C75" s="1" t="s">
        <v>7</v>
      </c>
      <c r="D75" s="1">
        <v>738367063</v>
      </c>
      <c r="G75" s="1" t="s">
        <v>18</v>
      </c>
      <c r="H75" s="1">
        <v>130812263</v>
      </c>
      <c r="I75" s="1">
        <v>0</v>
      </c>
      <c r="J75" s="12" t="s">
        <v>19</v>
      </c>
      <c r="K75" s="12" t="s">
        <v>20</v>
      </c>
      <c r="L75" s="2" t="s">
        <v>120</v>
      </c>
      <c r="M75" s="19" t="s">
        <v>229</v>
      </c>
      <c r="O75" s="3">
        <v>57</v>
      </c>
      <c r="P75" s="3">
        <v>5705</v>
      </c>
      <c r="Q75" s="12" t="s">
        <v>41</v>
      </c>
      <c r="R75" s="12" t="s">
        <v>21</v>
      </c>
      <c r="S75" s="12" t="s">
        <v>21</v>
      </c>
      <c r="U75" s="2">
        <v>74</v>
      </c>
    </row>
    <row r="76" spans="1:21" x14ac:dyDescent="0.25">
      <c r="A76" s="1">
        <v>739577850</v>
      </c>
      <c r="B76" s="15">
        <v>45859</v>
      </c>
      <c r="C76" s="1" t="s">
        <v>7</v>
      </c>
      <c r="D76" s="1">
        <v>739577850</v>
      </c>
      <c r="G76" s="1" t="s">
        <v>18</v>
      </c>
      <c r="H76" s="1">
        <v>130831971</v>
      </c>
      <c r="I76" s="1">
        <v>0</v>
      </c>
      <c r="J76" s="12" t="s">
        <v>19</v>
      </c>
      <c r="K76" s="12" t="s">
        <v>20</v>
      </c>
      <c r="L76" s="2" t="s">
        <v>121</v>
      </c>
      <c r="M76" s="19" t="s">
        <v>230</v>
      </c>
      <c r="O76" s="3">
        <v>57</v>
      </c>
      <c r="P76" s="3">
        <v>5705</v>
      </c>
      <c r="Q76" s="12" t="s">
        <v>41</v>
      </c>
      <c r="R76" s="12" t="s">
        <v>21</v>
      </c>
      <c r="S76" s="12" t="s">
        <v>21</v>
      </c>
      <c r="U76" s="12">
        <v>75</v>
      </c>
    </row>
    <row r="77" spans="1:21" x14ac:dyDescent="0.25">
      <c r="A77" s="1">
        <v>740424357</v>
      </c>
      <c r="B77" s="15">
        <v>45859</v>
      </c>
      <c r="C77" s="1" t="s">
        <v>7</v>
      </c>
      <c r="D77" s="1">
        <v>740424357</v>
      </c>
      <c r="G77" s="1" t="s">
        <v>18</v>
      </c>
      <c r="H77" s="1">
        <v>130846428</v>
      </c>
      <c r="I77" s="1">
        <v>0</v>
      </c>
      <c r="J77" s="12" t="s">
        <v>19</v>
      </c>
      <c r="K77" s="12" t="s">
        <v>20</v>
      </c>
      <c r="L77" s="2" t="s">
        <v>122</v>
      </c>
      <c r="M77" s="19" t="s">
        <v>230</v>
      </c>
      <c r="O77" s="3">
        <v>57</v>
      </c>
      <c r="P77" s="3">
        <v>5705</v>
      </c>
      <c r="Q77" s="12" t="s">
        <v>41</v>
      </c>
      <c r="R77" s="12" t="s">
        <v>21</v>
      </c>
      <c r="S77" s="12" t="s">
        <v>21</v>
      </c>
      <c r="U77" s="2">
        <v>76</v>
      </c>
    </row>
    <row r="78" spans="1:21" x14ac:dyDescent="0.25">
      <c r="A78" s="1">
        <v>740431790</v>
      </c>
      <c r="B78" s="15">
        <v>45859</v>
      </c>
      <c r="C78" s="1" t="s">
        <v>7</v>
      </c>
      <c r="D78" s="1">
        <v>740431790</v>
      </c>
      <c r="G78" s="1" t="s">
        <v>18</v>
      </c>
      <c r="H78" s="1">
        <v>130846389</v>
      </c>
      <c r="I78" s="1">
        <v>0</v>
      </c>
      <c r="J78" s="12" t="s">
        <v>19</v>
      </c>
      <c r="K78" s="12" t="s">
        <v>20</v>
      </c>
      <c r="L78" s="2" t="s">
        <v>123</v>
      </c>
      <c r="M78" s="19" t="s">
        <v>231</v>
      </c>
      <c r="O78" s="3">
        <v>57</v>
      </c>
      <c r="P78" s="3">
        <v>5705</v>
      </c>
      <c r="Q78" s="12" t="s">
        <v>41</v>
      </c>
      <c r="R78" s="12" t="s">
        <v>21</v>
      </c>
      <c r="S78" s="12" t="s">
        <v>21</v>
      </c>
      <c r="U78" s="12">
        <v>77</v>
      </c>
    </row>
    <row r="79" spans="1:21" x14ac:dyDescent="0.25">
      <c r="A79" s="1">
        <v>740444652</v>
      </c>
      <c r="B79" s="15">
        <v>45859</v>
      </c>
      <c r="C79" s="1" t="s">
        <v>7</v>
      </c>
      <c r="D79" s="1">
        <v>740444652</v>
      </c>
      <c r="G79" s="1" t="s">
        <v>18</v>
      </c>
      <c r="H79" s="1">
        <v>130845108</v>
      </c>
      <c r="I79" s="1">
        <v>0</v>
      </c>
      <c r="J79" s="12" t="s">
        <v>19</v>
      </c>
      <c r="K79" s="12" t="s">
        <v>20</v>
      </c>
      <c r="L79" s="2" t="s">
        <v>124</v>
      </c>
      <c r="M79" s="19" t="s">
        <v>230</v>
      </c>
      <c r="O79" s="3">
        <v>57</v>
      </c>
      <c r="P79" s="3">
        <v>5705</v>
      </c>
      <c r="Q79" s="12" t="s">
        <v>41</v>
      </c>
      <c r="R79" s="12" t="s">
        <v>21</v>
      </c>
      <c r="S79" s="12" t="s">
        <v>21</v>
      </c>
      <c r="U79" s="2">
        <v>78</v>
      </c>
    </row>
    <row r="80" spans="1:21" x14ac:dyDescent="0.25">
      <c r="A80" s="1">
        <v>740708627</v>
      </c>
      <c r="B80" s="15">
        <v>45859</v>
      </c>
      <c r="C80" s="1" t="s">
        <v>7</v>
      </c>
      <c r="D80" s="1">
        <v>740708627</v>
      </c>
      <c r="G80" s="1" t="s">
        <v>18</v>
      </c>
      <c r="H80" s="1">
        <v>130853957</v>
      </c>
      <c r="I80" s="1">
        <v>0</v>
      </c>
      <c r="J80" s="12" t="s">
        <v>19</v>
      </c>
      <c r="K80" s="12" t="s">
        <v>20</v>
      </c>
      <c r="L80" s="2" t="s">
        <v>125</v>
      </c>
      <c r="M80" s="19" t="s">
        <v>232</v>
      </c>
      <c r="O80" s="3">
        <v>57</v>
      </c>
      <c r="P80" s="3">
        <v>5705</v>
      </c>
      <c r="Q80" s="12" t="s">
        <v>41</v>
      </c>
      <c r="R80" s="12" t="s">
        <v>21</v>
      </c>
      <c r="S80" s="12" t="s">
        <v>21</v>
      </c>
      <c r="U80" s="12">
        <v>79</v>
      </c>
    </row>
    <row r="81" spans="1:21" x14ac:dyDescent="0.25">
      <c r="A81" s="1">
        <v>756922526</v>
      </c>
      <c r="B81" s="15">
        <v>45859</v>
      </c>
      <c r="C81" s="1" t="s">
        <v>7</v>
      </c>
      <c r="D81" s="1">
        <v>756922526</v>
      </c>
      <c r="G81" s="1" t="s">
        <v>18</v>
      </c>
      <c r="H81" s="1">
        <v>131139529</v>
      </c>
      <c r="I81" s="1">
        <v>0</v>
      </c>
      <c r="J81" s="12" t="s">
        <v>19</v>
      </c>
      <c r="K81" s="12" t="s">
        <v>20</v>
      </c>
      <c r="L81" s="2" t="s">
        <v>126</v>
      </c>
      <c r="M81" s="19" t="s">
        <v>233</v>
      </c>
      <c r="O81" s="3">
        <v>57</v>
      </c>
      <c r="P81" s="3">
        <v>5705</v>
      </c>
      <c r="Q81" s="12" t="s">
        <v>42</v>
      </c>
      <c r="R81" s="12" t="s">
        <v>21</v>
      </c>
      <c r="S81" s="12" t="s">
        <v>21</v>
      </c>
      <c r="U81" s="2">
        <v>80</v>
      </c>
    </row>
    <row r="82" spans="1:21" x14ac:dyDescent="0.25">
      <c r="A82" s="1">
        <v>762564411</v>
      </c>
      <c r="B82" s="15">
        <v>45859</v>
      </c>
      <c r="C82" s="1" t="s">
        <v>7</v>
      </c>
      <c r="D82" s="1">
        <v>762564411</v>
      </c>
      <c r="G82" s="1" t="s">
        <v>18</v>
      </c>
      <c r="H82" s="1">
        <v>131217978</v>
      </c>
      <c r="I82" s="1">
        <v>0</v>
      </c>
      <c r="J82" s="12" t="s">
        <v>19</v>
      </c>
      <c r="K82" s="12" t="s">
        <v>20</v>
      </c>
      <c r="L82" s="2" t="s">
        <v>127</v>
      </c>
      <c r="M82" s="19" t="s">
        <v>178</v>
      </c>
      <c r="O82" s="3">
        <v>57</v>
      </c>
      <c r="P82" s="3">
        <v>5705</v>
      </c>
      <c r="Q82" s="12" t="s">
        <v>42</v>
      </c>
      <c r="R82" s="12" t="s">
        <v>21</v>
      </c>
      <c r="S82" s="12" t="s">
        <v>21</v>
      </c>
      <c r="U82" s="12">
        <v>81</v>
      </c>
    </row>
    <row r="83" spans="1:21" x14ac:dyDescent="0.25">
      <c r="A83" s="1">
        <v>763916115</v>
      </c>
      <c r="B83" s="15">
        <v>45859</v>
      </c>
      <c r="C83" s="1" t="s">
        <v>7</v>
      </c>
      <c r="D83" s="1">
        <v>763916115</v>
      </c>
      <c r="G83" s="1" t="s">
        <v>18</v>
      </c>
      <c r="H83" s="1">
        <v>131260448</v>
      </c>
      <c r="I83" s="1">
        <v>0</v>
      </c>
      <c r="J83" s="12" t="s">
        <v>19</v>
      </c>
      <c r="K83" s="12" t="s">
        <v>20</v>
      </c>
      <c r="L83" s="2" t="s">
        <v>128</v>
      </c>
      <c r="M83" s="19" t="s">
        <v>234</v>
      </c>
      <c r="O83" s="3">
        <v>57</v>
      </c>
      <c r="P83" s="3">
        <v>5705</v>
      </c>
      <c r="Q83" s="12" t="s">
        <v>42</v>
      </c>
      <c r="R83" s="12" t="s">
        <v>21</v>
      </c>
      <c r="S83" s="12" t="s">
        <v>21</v>
      </c>
      <c r="U83" s="2">
        <v>82</v>
      </c>
    </row>
    <row r="84" spans="1:21" x14ac:dyDescent="0.25">
      <c r="A84" s="1">
        <v>764925966</v>
      </c>
      <c r="B84" s="15">
        <v>45859</v>
      </c>
      <c r="C84" s="1" t="s">
        <v>7</v>
      </c>
      <c r="D84" s="1">
        <v>764925966</v>
      </c>
      <c r="G84" s="1" t="s">
        <v>18</v>
      </c>
      <c r="H84" s="1">
        <v>131229773</v>
      </c>
      <c r="I84" s="1">
        <v>0</v>
      </c>
      <c r="J84" s="12" t="s">
        <v>19</v>
      </c>
      <c r="K84" s="12" t="s">
        <v>20</v>
      </c>
      <c r="L84" s="2" t="s">
        <v>129</v>
      </c>
      <c r="M84" s="19" t="s">
        <v>235</v>
      </c>
      <c r="O84" s="3">
        <v>57</v>
      </c>
      <c r="P84" s="3">
        <v>5705</v>
      </c>
      <c r="Q84" s="12" t="s">
        <v>42</v>
      </c>
      <c r="R84" s="12" t="s">
        <v>21</v>
      </c>
      <c r="S84" s="12" t="s">
        <v>21</v>
      </c>
      <c r="U84" s="12">
        <v>83</v>
      </c>
    </row>
    <row r="85" spans="1:21" x14ac:dyDescent="0.25">
      <c r="A85" s="1">
        <v>765317940</v>
      </c>
      <c r="B85" s="15">
        <v>45859</v>
      </c>
      <c r="C85" s="1" t="s">
        <v>7</v>
      </c>
      <c r="D85" s="1">
        <v>765317940</v>
      </c>
      <c r="G85" s="1" t="s">
        <v>18</v>
      </c>
      <c r="H85" s="1">
        <v>131292372</v>
      </c>
      <c r="I85" s="1">
        <v>0</v>
      </c>
      <c r="J85" s="12" t="s">
        <v>19</v>
      </c>
      <c r="K85" s="12" t="s">
        <v>20</v>
      </c>
      <c r="L85" s="2" t="s">
        <v>130</v>
      </c>
      <c r="M85" s="19" t="s">
        <v>236</v>
      </c>
      <c r="O85" s="3">
        <v>57</v>
      </c>
      <c r="P85" s="3">
        <v>5705</v>
      </c>
      <c r="Q85" s="12" t="s">
        <v>42</v>
      </c>
      <c r="R85" s="12" t="s">
        <v>21</v>
      </c>
      <c r="S85" s="12" t="s">
        <v>21</v>
      </c>
      <c r="U85" s="2">
        <v>84</v>
      </c>
    </row>
    <row r="86" spans="1:21" x14ac:dyDescent="0.25">
      <c r="A86" s="1">
        <v>779686710</v>
      </c>
      <c r="B86" s="15">
        <v>45859</v>
      </c>
      <c r="C86" s="1" t="s">
        <v>7</v>
      </c>
      <c r="D86" s="1">
        <v>779686710</v>
      </c>
      <c r="G86" s="1" t="s">
        <v>18</v>
      </c>
      <c r="H86" s="1">
        <v>131540137</v>
      </c>
      <c r="I86" s="1">
        <v>0</v>
      </c>
      <c r="J86" s="12" t="s">
        <v>19</v>
      </c>
      <c r="K86" s="12" t="s">
        <v>20</v>
      </c>
      <c r="L86" s="2" t="s">
        <v>131</v>
      </c>
      <c r="M86" s="19" t="s">
        <v>237</v>
      </c>
      <c r="O86" s="3">
        <v>57</v>
      </c>
      <c r="P86" s="3">
        <v>5705</v>
      </c>
      <c r="Q86" s="12" t="s">
        <v>43</v>
      </c>
      <c r="R86" s="12" t="s">
        <v>21</v>
      </c>
      <c r="S86" s="12" t="s">
        <v>21</v>
      </c>
      <c r="U86" s="12">
        <v>85</v>
      </c>
    </row>
    <row r="87" spans="1:21" x14ac:dyDescent="0.25">
      <c r="A87" s="1">
        <v>780072355</v>
      </c>
      <c r="B87" s="15">
        <v>45859</v>
      </c>
      <c r="C87" s="1" t="s">
        <v>7</v>
      </c>
      <c r="D87" s="1">
        <v>780072355</v>
      </c>
      <c r="G87" s="1" t="s">
        <v>18</v>
      </c>
      <c r="H87" s="1">
        <v>131540019</v>
      </c>
      <c r="I87" s="1">
        <v>0</v>
      </c>
      <c r="J87" s="12" t="s">
        <v>19</v>
      </c>
      <c r="K87" s="12" t="s">
        <v>20</v>
      </c>
      <c r="L87" s="2" t="s">
        <v>132</v>
      </c>
      <c r="M87" s="19" t="s">
        <v>238</v>
      </c>
      <c r="O87" s="3">
        <v>57</v>
      </c>
      <c r="P87" s="3">
        <v>5705</v>
      </c>
      <c r="Q87" s="12" t="s">
        <v>43</v>
      </c>
      <c r="R87" s="12" t="s">
        <v>21</v>
      </c>
      <c r="S87" s="12" t="s">
        <v>21</v>
      </c>
      <c r="U87" s="2">
        <v>86</v>
      </c>
    </row>
    <row r="88" spans="1:21" x14ac:dyDescent="0.25">
      <c r="A88" s="1">
        <v>784624615</v>
      </c>
      <c r="B88" s="15">
        <v>45859</v>
      </c>
      <c r="C88" s="1" t="s">
        <v>7</v>
      </c>
      <c r="D88" s="1">
        <v>784624615</v>
      </c>
      <c r="G88" s="1" t="s">
        <v>18</v>
      </c>
      <c r="H88" s="1">
        <v>131623029</v>
      </c>
      <c r="I88" s="1">
        <v>0</v>
      </c>
      <c r="J88" s="12" t="s">
        <v>19</v>
      </c>
      <c r="K88" s="12" t="s">
        <v>20</v>
      </c>
      <c r="L88" s="2" t="s">
        <v>133</v>
      </c>
      <c r="M88" s="19" t="s">
        <v>239</v>
      </c>
      <c r="O88" s="3">
        <v>57</v>
      </c>
      <c r="P88" s="3">
        <v>5705</v>
      </c>
      <c r="Q88" s="12" t="s">
        <v>43</v>
      </c>
      <c r="R88" s="12" t="s">
        <v>21</v>
      </c>
      <c r="S88" s="12" t="s">
        <v>21</v>
      </c>
      <c r="U88" s="12">
        <v>87</v>
      </c>
    </row>
    <row r="89" spans="1:21" x14ac:dyDescent="0.25">
      <c r="A89" s="1">
        <v>784872495</v>
      </c>
      <c r="B89" s="15">
        <v>45859</v>
      </c>
      <c r="C89" s="1" t="s">
        <v>7</v>
      </c>
      <c r="D89" s="1">
        <v>784872495</v>
      </c>
      <c r="G89" s="1" t="s">
        <v>18</v>
      </c>
      <c r="H89" s="1">
        <v>131628204</v>
      </c>
      <c r="I89" s="1">
        <v>0</v>
      </c>
      <c r="J89" s="12" t="s">
        <v>19</v>
      </c>
      <c r="K89" s="12" t="s">
        <v>20</v>
      </c>
      <c r="L89" s="2" t="s">
        <v>134</v>
      </c>
      <c r="M89" s="19" t="s">
        <v>240</v>
      </c>
      <c r="O89" s="3">
        <v>57</v>
      </c>
      <c r="P89" s="3">
        <v>5705</v>
      </c>
      <c r="Q89" s="12" t="s">
        <v>43</v>
      </c>
      <c r="R89" s="12" t="s">
        <v>21</v>
      </c>
      <c r="S89" s="12" t="s">
        <v>21</v>
      </c>
      <c r="U89" s="2">
        <v>88</v>
      </c>
    </row>
    <row r="90" spans="1:21" x14ac:dyDescent="0.25">
      <c r="A90" s="1">
        <v>785713128</v>
      </c>
      <c r="B90" s="15">
        <v>45859</v>
      </c>
      <c r="C90" s="1" t="s">
        <v>7</v>
      </c>
      <c r="D90" s="1">
        <v>785713128</v>
      </c>
      <c r="G90" s="1" t="s">
        <v>18</v>
      </c>
      <c r="H90" s="1">
        <v>131630330</v>
      </c>
      <c r="I90" s="1">
        <v>0</v>
      </c>
      <c r="J90" s="12" t="s">
        <v>19</v>
      </c>
      <c r="K90" s="12" t="s">
        <v>20</v>
      </c>
      <c r="L90" s="2" t="s">
        <v>135</v>
      </c>
      <c r="M90" s="19" t="s">
        <v>241</v>
      </c>
      <c r="O90" s="3">
        <v>57</v>
      </c>
      <c r="P90" s="3">
        <v>5705</v>
      </c>
      <c r="Q90" s="12" t="s">
        <v>43</v>
      </c>
      <c r="R90" s="12" t="s">
        <v>21</v>
      </c>
      <c r="S90" s="12" t="s">
        <v>21</v>
      </c>
      <c r="U90" s="12">
        <v>89</v>
      </c>
    </row>
    <row r="91" spans="1:21" x14ac:dyDescent="0.25">
      <c r="A91" s="1">
        <v>786394977</v>
      </c>
      <c r="B91" s="15">
        <v>45859</v>
      </c>
      <c r="C91" s="1" t="s">
        <v>7</v>
      </c>
      <c r="D91" s="1">
        <v>786394977</v>
      </c>
      <c r="G91" s="1" t="s">
        <v>18</v>
      </c>
      <c r="H91" s="1">
        <v>131648748</v>
      </c>
      <c r="I91" s="1">
        <v>0</v>
      </c>
      <c r="J91" s="12" t="s">
        <v>19</v>
      </c>
      <c r="K91" s="12" t="s">
        <v>20</v>
      </c>
      <c r="L91" s="2" t="s">
        <v>136</v>
      </c>
      <c r="M91" s="19" t="s">
        <v>242</v>
      </c>
      <c r="O91" s="3">
        <v>57</v>
      </c>
      <c r="P91" s="3">
        <v>5705</v>
      </c>
      <c r="Q91" s="12" t="s">
        <v>43</v>
      </c>
      <c r="R91" s="12" t="s">
        <v>21</v>
      </c>
      <c r="S91" s="12" t="s">
        <v>21</v>
      </c>
      <c r="U91" s="2">
        <v>90</v>
      </c>
    </row>
    <row r="92" spans="1:21" x14ac:dyDescent="0.25">
      <c r="A92" s="1">
        <v>786495394</v>
      </c>
      <c r="B92" s="15">
        <v>45859</v>
      </c>
      <c r="C92" s="1" t="s">
        <v>7</v>
      </c>
      <c r="D92" s="1">
        <v>786495394</v>
      </c>
      <c r="G92" s="1" t="s">
        <v>18</v>
      </c>
      <c r="H92" s="1">
        <v>131540053</v>
      </c>
      <c r="I92" s="1">
        <v>0</v>
      </c>
      <c r="J92" s="12" t="s">
        <v>19</v>
      </c>
      <c r="K92" s="12" t="s">
        <v>20</v>
      </c>
      <c r="L92" s="2" t="s">
        <v>137</v>
      </c>
      <c r="M92" s="19" t="s">
        <v>243</v>
      </c>
      <c r="O92" s="3">
        <v>57</v>
      </c>
      <c r="P92" s="3">
        <v>5705</v>
      </c>
      <c r="Q92" s="12" t="s">
        <v>43</v>
      </c>
      <c r="R92" s="12" t="s">
        <v>21</v>
      </c>
      <c r="S92" s="12" t="s">
        <v>21</v>
      </c>
      <c r="U92" s="12">
        <v>91</v>
      </c>
    </row>
    <row r="93" spans="1:21" x14ac:dyDescent="0.25">
      <c r="A93" s="1">
        <v>798493668</v>
      </c>
      <c r="B93" s="15">
        <v>45859</v>
      </c>
      <c r="C93" s="1" t="s">
        <v>7</v>
      </c>
      <c r="D93" s="1">
        <v>798493668</v>
      </c>
      <c r="G93" s="1" t="s">
        <v>18</v>
      </c>
      <c r="H93" s="1">
        <v>131854076</v>
      </c>
      <c r="I93" s="1">
        <v>0</v>
      </c>
      <c r="J93" s="12" t="s">
        <v>19</v>
      </c>
      <c r="K93" s="12" t="s">
        <v>20</v>
      </c>
      <c r="L93" s="2" t="s">
        <v>138</v>
      </c>
      <c r="M93" s="19" t="s">
        <v>184</v>
      </c>
      <c r="O93" s="3">
        <v>57</v>
      </c>
      <c r="P93" s="3">
        <v>5705</v>
      </c>
      <c r="Q93" s="12" t="s">
        <v>44</v>
      </c>
      <c r="R93" s="12" t="s">
        <v>21</v>
      </c>
      <c r="S93" s="12" t="s">
        <v>21</v>
      </c>
      <c r="U93" s="2">
        <v>92</v>
      </c>
    </row>
    <row r="94" spans="1:21" x14ac:dyDescent="0.25">
      <c r="A94" s="1">
        <v>809851086</v>
      </c>
      <c r="B94" s="15">
        <v>45859</v>
      </c>
      <c r="C94" s="1" t="s">
        <v>7</v>
      </c>
      <c r="D94" s="1">
        <v>809851086</v>
      </c>
      <c r="G94" s="1" t="s">
        <v>18</v>
      </c>
      <c r="H94" s="1">
        <v>132028929</v>
      </c>
      <c r="I94" s="1">
        <v>0</v>
      </c>
      <c r="J94" s="12" t="s">
        <v>19</v>
      </c>
      <c r="K94" s="12" t="s">
        <v>20</v>
      </c>
      <c r="L94" s="2" t="s">
        <v>139</v>
      </c>
      <c r="M94" s="19" t="s">
        <v>244</v>
      </c>
      <c r="O94" s="3">
        <v>57</v>
      </c>
      <c r="P94" s="3">
        <v>5705</v>
      </c>
      <c r="Q94" s="12" t="s">
        <v>44</v>
      </c>
      <c r="R94" s="12" t="s">
        <v>21</v>
      </c>
      <c r="S94" s="12" t="s">
        <v>21</v>
      </c>
      <c r="U94" s="12">
        <v>93</v>
      </c>
    </row>
    <row r="95" spans="1:21" x14ac:dyDescent="0.25">
      <c r="A95" s="1">
        <v>810599658</v>
      </c>
      <c r="B95" s="15">
        <v>45859</v>
      </c>
      <c r="C95" s="1" t="s">
        <v>7</v>
      </c>
      <c r="D95" s="1">
        <v>810599658</v>
      </c>
      <c r="G95" s="1" t="s">
        <v>18</v>
      </c>
      <c r="H95" s="1">
        <v>132039473</v>
      </c>
      <c r="I95" s="1">
        <v>0</v>
      </c>
      <c r="J95" s="12" t="s">
        <v>19</v>
      </c>
      <c r="K95" s="12" t="s">
        <v>20</v>
      </c>
      <c r="L95" s="2" t="s">
        <v>140</v>
      </c>
      <c r="M95" s="19" t="s">
        <v>245</v>
      </c>
      <c r="O95" s="3">
        <v>57</v>
      </c>
      <c r="P95" s="3">
        <v>5705</v>
      </c>
      <c r="Q95" s="12" t="s">
        <v>44</v>
      </c>
      <c r="R95" s="12" t="s">
        <v>21</v>
      </c>
      <c r="S95" s="12" t="s">
        <v>21</v>
      </c>
      <c r="U95" s="2">
        <v>94</v>
      </c>
    </row>
    <row r="96" spans="1:21" x14ac:dyDescent="0.25">
      <c r="A96" s="1">
        <v>810733398</v>
      </c>
      <c r="B96" s="15">
        <v>45859</v>
      </c>
      <c r="C96" s="1" t="s">
        <v>7</v>
      </c>
      <c r="D96" s="1">
        <v>810733398</v>
      </c>
      <c r="G96" s="1" t="s">
        <v>18</v>
      </c>
      <c r="H96" s="1">
        <v>132064774</v>
      </c>
      <c r="I96" s="1">
        <v>0</v>
      </c>
      <c r="J96" s="12" t="s">
        <v>19</v>
      </c>
      <c r="K96" s="12" t="s">
        <v>20</v>
      </c>
      <c r="L96" s="2" t="s">
        <v>141</v>
      </c>
      <c r="M96" s="19" t="s">
        <v>246</v>
      </c>
      <c r="O96" s="3">
        <v>57</v>
      </c>
      <c r="P96" s="3">
        <v>5705</v>
      </c>
      <c r="Q96" s="12" t="s">
        <v>44</v>
      </c>
      <c r="R96" s="12" t="s">
        <v>21</v>
      </c>
      <c r="S96" s="12" t="s">
        <v>21</v>
      </c>
      <c r="U96" s="12">
        <v>95</v>
      </c>
    </row>
    <row r="97" spans="1:21" x14ac:dyDescent="0.25">
      <c r="A97" s="1">
        <v>810817464</v>
      </c>
      <c r="B97" s="15">
        <v>45859</v>
      </c>
      <c r="C97" s="1" t="s">
        <v>7</v>
      </c>
      <c r="D97" s="1">
        <v>810817464</v>
      </c>
      <c r="G97" s="1" t="s">
        <v>18</v>
      </c>
      <c r="H97" s="1">
        <v>132062290</v>
      </c>
      <c r="I97" s="1">
        <v>0</v>
      </c>
      <c r="J97" s="12" t="s">
        <v>19</v>
      </c>
      <c r="K97" s="12" t="s">
        <v>20</v>
      </c>
      <c r="L97" s="2" t="s">
        <v>142</v>
      </c>
      <c r="M97" s="19" t="s">
        <v>171</v>
      </c>
      <c r="O97" s="3">
        <v>57</v>
      </c>
      <c r="P97" s="3">
        <v>5705</v>
      </c>
      <c r="Q97" s="12" t="s">
        <v>44</v>
      </c>
      <c r="R97" s="12" t="s">
        <v>21</v>
      </c>
      <c r="S97" s="12" t="s">
        <v>21</v>
      </c>
      <c r="U97" s="2">
        <v>96</v>
      </c>
    </row>
    <row r="98" spans="1:21" x14ac:dyDescent="0.25">
      <c r="A98" s="1">
        <v>833791290</v>
      </c>
      <c r="B98" s="15">
        <v>45859</v>
      </c>
      <c r="C98" s="1" t="s">
        <v>7</v>
      </c>
      <c r="D98" s="1">
        <v>833791290</v>
      </c>
      <c r="G98" s="1" t="s">
        <v>18</v>
      </c>
      <c r="H98" s="1">
        <v>132451060</v>
      </c>
      <c r="I98" s="1">
        <v>0</v>
      </c>
      <c r="J98" s="12" t="s">
        <v>19</v>
      </c>
      <c r="K98" s="12" t="s">
        <v>20</v>
      </c>
      <c r="L98" s="2" t="s">
        <v>143</v>
      </c>
      <c r="M98" s="19" t="s">
        <v>247</v>
      </c>
      <c r="O98" s="3">
        <v>57</v>
      </c>
      <c r="P98" s="3">
        <v>5705</v>
      </c>
      <c r="Q98" s="12" t="s">
        <v>45</v>
      </c>
      <c r="R98" s="12" t="s">
        <v>21</v>
      </c>
      <c r="S98" s="12" t="s">
        <v>21</v>
      </c>
      <c r="U98" s="12">
        <v>97</v>
      </c>
    </row>
    <row r="99" spans="1:21" x14ac:dyDescent="0.25">
      <c r="A99" s="1">
        <v>858505872</v>
      </c>
      <c r="B99" s="15">
        <v>45859</v>
      </c>
      <c r="C99" s="1" t="s">
        <v>7</v>
      </c>
      <c r="D99" s="1">
        <v>858505872</v>
      </c>
      <c r="G99" s="1" t="s">
        <v>18</v>
      </c>
      <c r="H99" s="1">
        <v>132875503</v>
      </c>
      <c r="I99" s="1">
        <v>0</v>
      </c>
      <c r="J99" s="12" t="s">
        <v>19</v>
      </c>
      <c r="K99" s="12" t="s">
        <v>20</v>
      </c>
      <c r="L99" s="2" t="s">
        <v>144</v>
      </c>
      <c r="M99" s="19" t="s">
        <v>248</v>
      </c>
      <c r="O99" s="3">
        <v>57</v>
      </c>
      <c r="P99" s="3">
        <v>5705</v>
      </c>
      <c r="Q99" s="12" t="s">
        <v>46</v>
      </c>
      <c r="R99" s="12" t="s">
        <v>21</v>
      </c>
      <c r="S99" s="12" t="s">
        <v>21</v>
      </c>
      <c r="U99" s="2">
        <v>98</v>
      </c>
    </row>
    <row r="100" spans="1:21" x14ac:dyDescent="0.25">
      <c r="A100" s="1">
        <v>858530409</v>
      </c>
      <c r="B100" s="15">
        <v>45859</v>
      </c>
      <c r="C100" s="1" t="s">
        <v>7</v>
      </c>
      <c r="D100" s="1">
        <v>858530409</v>
      </c>
      <c r="G100" s="1" t="s">
        <v>18</v>
      </c>
      <c r="H100" s="1">
        <v>132871911</v>
      </c>
      <c r="I100" s="1">
        <v>0</v>
      </c>
      <c r="J100" s="12" t="s">
        <v>19</v>
      </c>
      <c r="K100" s="12" t="s">
        <v>20</v>
      </c>
      <c r="L100" s="2" t="s">
        <v>145</v>
      </c>
      <c r="M100" s="19" t="s">
        <v>192</v>
      </c>
      <c r="O100" s="3">
        <v>57</v>
      </c>
      <c r="P100" s="3">
        <v>5705</v>
      </c>
      <c r="Q100" s="12" t="s">
        <v>46</v>
      </c>
      <c r="R100" s="12" t="s">
        <v>21</v>
      </c>
      <c r="S100" s="12" t="s">
        <v>21</v>
      </c>
      <c r="U100" s="12">
        <v>99</v>
      </c>
    </row>
    <row r="101" spans="1:21" x14ac:dyDescent="0.25">
      <c r="A101" s="1">
        <v>670511140</v>
      </c>
      <c r="B101" s="15">
        <v>45859</v>
      </c>
      <c r="C101" s="1" t="s">
        <v>7</v>
      </c>
      <c r="D101" s="1">
        <v>670511140</v>
      </c>
      <c r="G101" s="1" t="s">
        <v>18</v>
      </c>
      <c r="H101" s="1">
        <v>129627471</v>
      </c>
      <c r="I101" s="1">
        <v>0</v>
      </c>
      <c r="J101" s="12" t="s">
        <v>19</v>
      </c>
      <c r="K101" s="12" t="s">
        <v>20</v>
      </c>
      <c r="L101" s="2" t="s">
        <v>146</v>
      </c>
      <c r="M101" s="19" t="s">
        <v>249</v>
      </c>
      <c r="O101" s="3">
        <v>57</v>
      </c>
      <c r="P101" s="3">
        <v>5705</v>
      </c>
      <c r="Q101" s="12" t="s">
        <v>25</v>
      </c>
      <c r="R101" s="12" t="s">
        <v>21</v>
      </c>
      <c r="S101" s="12" t="s">
        <v>21</v>
      </c>
      <c r="U101" s="2">
        <v>100</v>
      </c>
    </row>
    <row r="102" spans="1:21" x14ac:dyDescent="0.25">
      <c r="A102" s="1">
        <v>690319284</v>
      </c>
      <c r="B102" s="15">
        <v>45859</v>
      </c>
      <c r="C102" s="1" t="s">
        <v>7</v>
      </c>
      <c r="D102" s="1">
        <v>690319284</v>
      </c>
      <c r="G102" s="1" t="s">
        <v>18</v>
      </c>
      <c r="H102" s="1">
        <v>129976174</v>
      </c>
      <c r="I102" s="1">
        <v>0</v>
      </c>
      <c r="J102" s="12" t="s">
        <v>19</v>
      </c>
      <c r="K102" s="12" t="s">
        <v>20</v>
      </c>
      <c r="L102" s="2" t="s">
        <v>147</v>
      </c>
      <c r="M102" s="19" t="s">
        <v>250</v>
      </c>
      <c r="O102" s="3">
        <v>57</v>
      </c>
      <c r="P102" s="3">
        <v>5705</v>
      </c>
      <c r="Q102" s="12" t="s">
        <v>39</v>
      </c>
      <c r="R102" s="12" t="s">
        <v>21</v>
      </c>
      <c r="S102" s="12" t="s">
        <v>21</v>
      </c>
      <c r="U102" s="12">
        <v>101</v>
      </c>
    </row>
    <row r="103" spans="1:21" x14ac:dyDescent="0.25">
      <c r="A103" s="1">
        <v>690359850</v>
      </c>
      <c r="B103" s="15">
        <v>45859</v>
      </c>
      <c r="C103" s="1" t="s">
        <v>7</v>
      </c>
      <c r="D103" s="1">
        <v>690359850</v>
      </c>
      <c r="G103" s="1" t="s">
        <v>18</v>
      </c>
      <c r="H103" s="1">
        <v>129973582</v>
      </c>
      <c r="I103" s="1">
        <v>0</v>
      </c>
      <c r="J103" s="12" t="s">
        <v>19</v>
      </c>
      <c r="K103" s="12" t="s">
        <v>20</v>
      </c>
      <c r="L103" s="2" t="s">
        <v>148</v>
      </c>
      <c r="M103" s="19" t="s">
        <v>251</v>
      </c>
      <c r="O103" s="3">
        <v>57</v>
      </c>
      <c r="P103" s="3">
        <v>5705</v>
      </c>
      <c r="Q103" s="12" t="s">
        <v>39</v>
      </c>
      <c r="R103" s="12" t="s">
        <v>21</v>
      </c>
      <c r="S103" s="12" t="s">
        <v>21</v>
      </c>
      <c r="U103" s="2">
        <v>102</v>
      </c>
    </row>
    <row r="104" spans="1:21" x14ac:dyDescent="0.25">
      <c r="A104" s="1">
        <v>716946870</v>
      </c>
      <c r="B104" s="15">
        <v>45859</v>
      </c>
      <c r="C104" s="1" t="s">
        <v>7</v>
      </c>
      <c r="D104" s="1">
        <v>716946870</v>
      </c>
      <c r="G104" s="1" t="s">
        <v>18</v>
      </c>
      <c r="H104" s="1">
        <v>130451585</v>
      </c>
      <c r="I104" s="1">
        <v>0</v>
      </c>
      <c r="J104" s="12" t="s">
        <v>19</v>
      </c>
      <c r="K104" s="12" t="s">
        <v>20</v>
      </c>
      <c r="L104" s="2" t="s">
        <v>149</v>
      </c>
      <c r="M104" s="19" t="s">
        <v>252</v>
      </c>
      <c r="O104" s="3">
        <v>57</v>
      </c>
      <c r="P104" s="3">
        <v>5705</v>
      </c>
      <c r="Q104" s="12" t="s">
        <v>40</v>
      </c>
      <c r="R104" s="12" t="s">
        <v>21</v>
      </c>
      <c r="S104" s="12" t="s">
        <v>21</v>
      </c>
      <c r="U104" s="12">
        <v>103</v>
      </c>
    </row>
    <row r="105" spans="1:21" x14ac:dyDescent="0.25">
      <c r="A105" s="1">
        <v>719794871</v>
      </c>
      <c r="B105" s="15">
        <v>45859</v>
      </c>
      <c r="C105" s="1" t="s">
        <v>7</v>
      </c>
      <c r="D105" s="1">
        <v>719794871</v>
      </c>
      <c r="G105" s="1" t="s">
        <v>18</v>
      </c>
      <c r="H105" s="1">
        <v>130508283</v>
      </c>
      <c r="I105" s="1">
        <v>0</v>
      </c>
      <c r="J105" s="12" t="s">
        <v>19</v>
      </c>
      <c r="K105" s="12" t="s">
        <v>20</v>
      </c>
      <c r="L105" s="2" t="s">
        <v>150</v>
      </c>
      <c r="M105" s="19" t="s">
        <v>226</v>
      </c>
      <c r="O105" s="3">
        <v>57</v>
      </c>
      <c r="P105" s="3">
        <v>5705</v>
      </c>
      <c r="Q105" s="12" t="s">
        <v>40</v>
      </c>
      <c r="R105" s="12" t="s">
        <v>21</v>
      </c>
      <c r="S105" s="12" t="s">
        <v>21</v>
      </c>
      <c r="U105" s="2">
        <v>104</v>
      </c>
    </row>
    <row r="106" spans="1:21" x14ac:dyDescent="0.25">
      <c r="A106" s="1">
        <v>762767998</v>
      </c>
      <c r="B106" s="15">
        <v>45859</v>
      </c>
      <c r="C106" s="1" t="s">
        <v>7</v>
      </c>
      <c r="D106" s="1">
        <v>762767998</v>
      </c>
      <c r="G106" s="1" t="s">
        <v>18</v>
      </c>
      <c r="H106" s="1">
        <v>131244080</v>
      </c>
      <c r="I106" s="1">
        <v>0</v>
      </c>
      <c r="J106" s="12" t="s">
        <v>19</v>
      </c>
      <c r="K106" s="12" t="s">
        <v>20</v>
      </c>
      <c r="L106" s="2" t="s">
        <v>151</v>
      </c>
      <c r="M106" s="19" t="s">
        <v>253</v>
      </c>
      <c r="O106" s="3">
        <v>57</v>
      </c>
      <c r="P106" s="3">
        <v>5705</v>
      </c>
      <c r="Q106" s="12" t="s">
        <v>42</v>
      </c>
      <c r="R106" s="12" t="s">
        <v>21</v>
      </c>
      <c r="S106" s="12" t="s">
        <v>21</v>
      </c>
      <c r="U106" s="12">
        <v>105</v>
      </c>
    </row>
    <row r="107" spans="1:21" x14ac:dyDescent="0.25">
      <c r="A107" s="1">
        <v>779687783</v>
      </c>
      <c r="B107" s="15">
        <v>45859</v>
      </c>
      <c r="C107" s="1" t="s">
        <v>7</v>
      </c>
      <c r="D107" s="1">
        <v>779687783</v>
      </c>
      <c r="G107" s="1" t="s">
        <v>18</v>
      </c>
      <c r="H107" s="1">
        <v>131540092</v>
      </c>
      <c r="I107" s="1">
        <v>0</v>
      </c>
      <c r="J107" s="12" t="s">
        <v>19</v>
      </c>
      <c r="K107" s="12" t="s">
        <v>20</v>
      </c>
      <c r="L107" s="2" t="s">
        <v>152</v>
      </c>
      <c r="M107" s="19" t="s">
        <v>254</v>
      </c>
      <c r="O107" s="3">
        <v>57</v>
      </c>
      <c r="P107" s="3">
        <v>5705</v>
      </c>
      <c r="Q107" s="12" t="s">
        <v>43</v>
      </c>
      <c r="R107" s="12" t="s">
        <v>21</v>
      </c>
      <c r="S107" s="12" t="s">
        <v>21</v>
      </c>
      <c r="U107" s="2">
        <v>106</v>
      </c>
    </row>
    <row r="108" spans="1:21" x14ac:dyDescent="0.25">
      <c r="A108" s="1">
        <v>784371647</v>
      </c>
      <c r="B108" s="15">
        <v>45859</v>
      </c>
      <c r="C108" s="1" t="s">
        <v>7</v>
      </c>
      <c r="D108" s="1">
        <v>784371647</v>
      </c>
      <c r="G108" s="1" t="s">
        <v>18</v>
      </c>
      <c r="H108" s="1">
        <v>131540138</v>
      </c>
      <c r="I108" s="1">
        <v>0</v>
      </c>
      <c r="J108" s="12" t="s">
        <v>19</v>
      </c>
      <c r="K108" s="12" t="s">
        <v>20</v>
      </c>
      <c r="L108" s="2" t="s">
        <v>153</v>
      </c>
      <c r="M108" s="19" t="s">
        <v>255</v>
      </c>
      <c r="O108" s="3">
        <v>57</v>
      </c>
      <c r="P108" s="3">
        <v>5705</v>
      </c>
      <c r="Q108" s="12" t="s">
        <v>43</v>
      </c>
      <c r="R108" s="12" t="s">
        <v>21</v>
      </c>
      <c r="S108" s="12" t="s">
        <v>21</v>
      </c>
      <c r="U108" s="12">
        <v>107</v>
      </c>
    </row>
    <row r="109" spans="1:21" x14ac:dyDescent="0.25">
      <c r="A109" s="1">
        <v>784640207</v>
      </c>
      <c r="B109" s="15">
        <v>45859</v>
      </c>
      <c r="C109" s="1" t="s">
        <v>7</v>
      </c>
      <c r="D109" s="1">
        <v>784640207</v>
      </c>
      <c r="G109" s="1" t="s">
        <v>18</v>
      </c>
      <c r="H109" s="1">
        <v>131540155</v>
      </c>
      <c r="I109" s="1">
        <v>0</v>
      </c>
      <c r="J109" s="12" t="s">
        <v>19</v>
      </c>
      <c r="K109" s="12" t="s">
        <v>20</v>
      </c>
      <c r="L109" s="2" t="s">
        <v>154</v>
      </c>
      <c r="M109" s="19" t="s">
        <v>256</v>
      </c>
      <c r="O109" s="3">
        <v>57</v>
      </c>
      <c r="P109" s="3">
        <v>5705</v>
      </c>
      <c r="Q109" s="12" t="s">
        <v>43</v>
      </c>
      <c r="R109" s="12" t="s">
        <v>21</v>
      </c>
      <c r="S109" s="12" t="s">
        <v>21</v>
      </c>
      <c r="U109" s="2">
        <v>108</v>
      </c>
    </row>
    <row r="110" spans="1:21" x14ac:dyDescent="0.25">
      <c r="A110" s="1">
        <v>718119062</v>
      </c>
      <c r="B110" s="15">
        <v>45859</v>
      </c>
      <c r="C110" s="1" t="s">
        <v>7</v>
      </c>
      <c r="D110" s="1">
        <v>718119062</v>
      </c>
      <c r="G110" s="1" t="s">
        <v>18</v>
      </c>
      <c r="H110" s="1">
        <v>130474244</v>
      </c>
      <c r="I110" s="1">
        <v>0</v>
      </c>
      <c r="J110" s="12" t="s">
        <v>19</v>
      </c>
      <c r="K110" s="12" t="s">
        <v>20</v>
      </c>
      <c r="L110" s="2" t="s">
        <v>155</v>
      </c>
      <c r="M110" s="19" t="s">
        <v>257</v>
      </c>
      <c r="O110" s="3">
        <v>57</v>
      </c>
      <c r="P110" s="3">
        <v>5705</v>
      </c>
      <c r="Q110" s="12" t="s">
        <v>40</v>
      </c>
      <c r="R110" s="12" t="s">
        <v>21</v>
      </c>
      <c r="S110" s="12" t="s">
        <v>21</v>
      </c>
      <c r="U110" s="12">
        <v>109</v>
      </c>
    </row>
    <row r="111" spans="1:21" x14ac:dyDescent="0.25">
      <c r="A111" s="1">
        <v>689949588</v>
      </c>
      <c r="B111" s="15">
        <v>45859</v>
      </c>
      <c r="C111" s="1" t="s">
        <v>7</v>
      </c>
      <c r="D111" s="1">
        <v>689949588</v>
      </c>
      <c r="G111" s="1" t="s">
        <v>18</v>
      </c>
      <c r="H111" s="1">
        <v>129972919</v>
      </c>
      <c r="I111" s="1">
        <v>0</v>
      </c>
      <c r="J111" s="12" t="s">
        <v>19</v>
      </c>
      <c r="K111" s="12" t="s">
        <v>20</v>
      </c>
      <c r="L111" s="2" t="s">
        <v>156</v>
      </c>
      <c r="M111" s="19" t="s">
        <v>258</v>
      </c>
      <c r="O111" s="3">
        <v>57</v>
      </c>
      <c r="P111" s="3">
        <v>5705</v>
      </c>
      <c r="Q111" s="12" t="s">
        <v>39</v>
      </c>
      <c r="R111" s="12" t="s">
        <v>21</v>
      </c>
      <c r="S111" s="12" t="s">
        <v>21</v>
      </c>
      <c r="U111" s="2">
        <v>110</v>
      </c>
    </row>
    <row r="112" spans="1:21" x14ac:dyDescent="0.25">
      <c r="A112" s="1">
        <v>690358720</v>
      </c>
      <c r="B112" s="15">
        <v>45859</v>
      </c>
      <c r="C112" s="1" t="s">
        <v>7</v>
      </c>
      <c r="D112" s="1">
        <v>690358720</v>
      </c>
      <c r="G112" s="1" t="s">
        <v>18</v>
      </c>
      <c r="H112" s="1">
        <v>129973629</v>
      </c>
      <c r="I112" s="1">
        <v>0</v>
      </c>
      <c r="J112" s="12" t="s">
        <v>19</v>
      </c>
      <c r="K112" s="12" t="s">
        <v>20</v>
      </c>
      <c r="L112" s="2" t="s">
        <v>157</v>
      </c>
      <c r="M112" s="19" t="s">
        <v>259</v>
      </c>
      <c r="O112" s="3">
        <v>57</v>
      </c>
      <c r="P112" s="3">
        <v>5705</v>
      </c>
      <c r="Q112" s="12" t="s">
        <v>39</v>
      </c>
      <c r="R112" s="12" t="s">
        <v>21</v>
      </c>
      <c r="S112" s="12" t="s">
        <v>21</v>
      </c>
      <c r="U112" s="12">
        <v>111</v>
      </c>
    </row>
    <row r="113" spans="1:21" x14ac:dyDescent="0.25">
      <c r="A113" s="1">
        <v>694005590</v>
      </c>
      <c r="B113" s="15">
        <v>45859</v>
      </c>
      <c r="C113" s="1" t="s">
        <v>7</v>
      </c>
      <c r="D113" s="1">
        <v>694005590</v>
      </c>
      <c r="G113" s="1" t="s">
        <v>18</v>
      </c>
      <c r="H113" s="1">
        <v>129975854</v>
      </c>
      <c r="I113" s="1">
        <v>0</v>
      </c>
      <c r="J113" s="12" t="s">
        <v>19</v>
      </c>
      <c r="K113" s="12" t="s">
        <v>20</v>
      </c>
      <c r="L113" s="2" t="s">
        <v>158</v>
      </c>
      <c r="M113" s="19" t="s">
        <v>191</v>
      </c>
      <c r="O113" s="3">
        <v>57</v>
      </c>
      <c r="P113" s="3">
        <v>5705</v>
      </c>
      <c r="Q113" s="12" t="s">
        <v>39</v>
      </c>
      <c r="R113" s="12" t="s">
        <v>21</v>
      </c>
      <c r="S113" s="12" t="s">
        <v>21</v>
      </c>
      <c r="U113" s="2">
        <v>112</v>
      </c>
    </row>
    <row r="114" spans="1:21" x14ac:dyDescent="0.25">
      <c r="A114" s="1">
        <v>717146942</v>
      </c>
      <c r="B114" s="15">
        <v>45859</v>
      </c>
      <c r="C114" s="1" t="s">
        <v>7</v>
      </c>
      <c r="D114" s="1">
        <v>717146942</v>
      </c>
      <c r="G114" s="1" t="s">
        <v>18</v>
      </c>
      <c r="H114" s="1">
        <v>130431146</v>
      </c>
      <c r="I114" s="1">
        <v>0</v>
      </c>
      <c r="J114" s="12" t="s">
        <v>19</v>
      </c>
      <c r="K114" s="12" t="s">
        <v>20</v>
      </c>
      <c r="L114" s="2" t="s">
        <v>159</v>
      </c>
      <c r="M114" s="19" t="s">
        <v>260</v>
      </c>
      <c r="O114" s="3">
        <v>57</v>
      </c>
      <c r="P114" s="3">
        <v>5705</v>
      </c>
      <c r="Q114" s="12" t="s">
        <v>40</v>
      </c>
      <c r="R114" s="12" t="s">
        <v>21</v>
      </c>
      <c r="S114" s="12" t="s">
        <v>21</v>
      </c>
      <c r="U114" s="12">
        <v>113</v>
      </c>
    </row>
    <row r="115" spans="1:21" x14ac:dyDescent="0.25">
      <c r="A115" s="1">
        <v>717411882</v>
      </c>
      <c r="B115" s="15">
        <v>45859</v>
      </c>
      <c r="C115" s="1" t="s">
        <v>7</v>
      </c>
      <c r="D115" s="1">
        <v>717411882</v>
      </c>
      <c r="G115" s="1" t="s">
        <v>18</v>
      </c>
      <c r="H115" s="1">
        <v>130462583</v>
      </c>
      <c r="I115" s="1">
        <v>0</v>
      </c>
      <c r="J115" s="12" t="s">
        <v>19</v>
      </c>
      <c r="K115" s="12" t="s">
        <v>20</v>
      </c>
      <c r="L115" s="2" t="s">
        <v>160</v>
      </c>
      <c r="M115" s="19" t="s">
        <v>261</v>
      </c>
      <c r="O115" s="3">
        <v>57</v>
      </c>
      <c r="P115" s="3">
        <v>5705</v>
      </c>
      <c r="Q115" s="12" t="s">
        <v>40</v>
      </c>
      <c r="R115" s="12" t="s">
        <v>21</v>
      </c>
      <c r="S115" s="12" t="s">
        <v>21</v>
      </c>
      <c r="U115" s="2">
        <v>114</v>
      </c>
    </row>
    <row r="116" spans="1:21" x14ac:dyDescent="0.25">
      <c r="A116" s="1">
        <v>779684376</v>
      </c>
      <c r="B116" s="15">
        <v>45859</v>
      </c>
      <c r="C116" s="1" t="s">
        <v>7</v>
      </c>
      <c r="D116" s="1">
        <v>779684376</v>
      </c>
      <c r="G116" s="1" t="s">
        <v>18</v>
      </c>
      <c r="H116" s="1">
        <v>131540201</v>
      </c>
      <c r="I116" s="1">
        <v>0</v>
      </c>
      <c r="J116" s="12" t="s">
        <v>19</v>
      </c>
      <c r="K116" s="12" t="s">
        <v>20</v>
      </c>
      <c r="L116" s="2" t="s">
        <v>161</v>
      </c>
      <c r="M116" s="19" t="s">
        <v>262</v>
      </c>
      <c r="O116" s="3">
        <v>57</v>
      </c>
      <c r="P116" s="3">
        <v>5705</v>
      </c>
      <c r="Q116" s="12" t="s">
        <v>43</v>
      </c>
      <c r="R116" s="12" t="s">
        <v>21</v>
      </c>
      <c r="S116" s="12" t="s">
        <v>21</v>
      </c>
      <c r="U116" s="12">
        <v>115</v>
      </c>
    </row>
    <row r="117" spans="1:21" x14ac:dyDescent="0.25">
      <c r="A117" s="1">
        <v>779685670</v>
      </c>
      <c r="B117" s="15">
        <v>45859</v>
      </c>
      <c r="C117" s="1" t="s">
        <v>7</v>
      </c>
      <c r="D117" s="1">
        <v>779685670</v>
      </c>
      <c r="G117" s="1" t="s">
        <v>18</v>
      </c>
      <c r="H117" s="1">
        <v>131540172</v>
      </c>
      <c r="I117" s="1">
        <v>0</v>
      </c>
      <c r="J117" s="12" t="s">
        <v>19</v>
      </c>
      <c r="K117" s="12" t="s">
        <v>20</v>
      </c>
      <c r="L117" s="2" t="s">
        <v>162</v>
      </c>
      <c r="M117" s="19" t="s">
        <v>263</v>
      </c>
      <c r="O117" s="3">
        <v>57</v>
      </c>
      <c r="P117" s="3">
        <v>5705</v>
      </c>
      <c r="Q117" s="12" t="s">
        <v>43</v>
      </c>
      <c r="R117" s="12" t="s">
        <v>21</v>
      </c>
      <c r="S117" s="12" t="s">
        <v>21</v>
      </c>
      <c r="U117" s="2">
        <v>116</v>
      </c>
    </row>
    <row r="118" spans="1:21" x14ac:dyDescent="0.25">
      <c r="A118" s="1">
        <v>779689094</v>
      </c>
      <c r="B118" s="15">
        <v>45859</v>
      </c>
      <c r="C118" s="1" t="s">
        <v>7</v>
      </c>
      <c r="D118" s="1">
        <v>779689094</v>
      </c>
      <c r="G118" s="1" t="s">
        <v>18</v>
      </c>
      <c r="H118" s="1">
        <v>131540063</v>
      </c>
      <c r="I118" s="1">
        <v>0</v>
      </c>
      <c r="J118" s="12" t="s">
        <v>19</v>
      </c>
      <c r="K118" s="12" t="s">
        <v>20</v>
      </c>
      <c r="L118" s="2" t="s">
        <v>163</v>
      </c>
      <c r="M118" s="19" t="s">
        <v>264</v>
      </c>
      <c r="O118" s="3">
        <v>57</v>
      </c>
      <c r="P118" s="3">
        <v>5705</v>
      </c>
      <c r="Q118" s="12" t="s">
        <v>43</v>
      </c>
      <c r="R118" s="12" t="s">
        <v>21</v>
      </c>
      <c r="S118" s="12" t="s">
        <v>21</v>
      </c>
      <c r="U118" s="12">
        <v>117</v>
      </c>
    </row>
    <row r="119" spans="1:21" x14ac:dyDescent="0.25">
      <c r="A119" s="1">
        <v>779691371</v>
      </c>
      <c r="B119" s="15">
        <v>45859</v>
      </c>
      <c r="C119" s="1" t="s">
        <v>7</v>
      </c>
      <c r="D119" s="1">
        <v>779691371</v>
      </c>
      <c r="G119" s="1" t="s">
        <v>18</v>
      </c>
      <c r="H119" s="1">
        <v>131539952</v>
      </c>
      <c r="I119" s="1">
        <v>0</v>
      </c>
      <c r="J119" s="12" t="s">
        <v>19</v>
      </c>
      <c r="K119" s="12" t="s">
        <v>20</v>
      </c>
      <c r="L119" s="2" t="s">
        <v>164</v>
      </c>
      <c r="M119" s="19" t="s">
        <v>265</v>
      </c>
      <c r="O119" s="3">
        <v>57</v>
      </c>
      <c r="P119" s="3">
        <v>5705</v>
      </c>
      <c r="Q119" s="12" t="s">
        <v>43</v>
      </c>
      <c r="R119" s="12" t="s">
        <v>21</v>
      </c>
      <c r="S119" s="12" t="s">
        <v>21</v>
      </c>
      <c r="U119" s="2">
        <v>118</v>
      </c>
    </row>
    <row r="120" spans="1:21" x14ac:dyDescent="0.25">
      <c r="A120" s="1">
        <v>803933179</v>
      </c>
      <c r="B120" s="15">
        <v>45859</v>
      </c>
      <c r="C120" s="1" t="s">
        <v>7</v>
      </c>
      <c r="D120" s="1">
        <v>803933179</v>
      </c>
      <c r="G120" s="1" t="s">
        <v>18</v>
      </c>
      <c r="H120" s="1">
        <v>131936767</v>
      </c>
      <c r="I120" s="1">
        <v>0</v>
      </c>
      <c r="J120" s="12" t="s">
        <v>19</v>
      </c>
      <c r="K120" s="12" t="s">
        <v>20</v>
      </c>
      <c r="L120" s="2" t="s">
        <v>165</v>
      </c>
      <c r="M120" s="19" t="s">
        <v>266</v>
      </c>
      <c r="O120" s="3">
        <v>57</v>
      </c>
      <c r="P120" s="3">
        <v>5705</v>
      </c>
      <c r="Q120" s="12" t="s">
        <v>44</v>
      </c>
      <c r="R120" s="12" t="s">
        <v>21</v>
      </c>
      <c r="S120" s="12" t="s">
        <v>21</v>
      </c>
      <c r="U120" s="12">
        <v>119</v>
      </c>
    </row>
    <row r="121" spans="1:21" x14ac:dyDescent="0.25">
      <c r="A121" s="1">
        <v>664860818</v>
      </c>
      <c r="B121" s="15">
        <v>45859</v>
      </c>
      <c r="C121" s="1" t="s">
        <v>7</v>
      </c>
      <c r="D121" s="1">
        <v>664860818</v>
      </c>
      <c r="G121" s="1" t="s">
        <v>18</v>
      </c>
      <c r="H121" s="1">
        <v>129508487</v>
      </c>
      <c r="I121" s="1">
        <v>0</v>
      </c>
      <c r="J121" s="12" t="s">
        <v>19</v>
      </c>
      <c r="K121" s="12" t="s">
        <v>20</v>
      </c>
      <c r="L121" s="16" t="str">
        <f>CONCATENATE("Captura de parcela rejeitada - Apólice ",E121," - ",K121)</f>
        <v>Captura de parcela rejeitada - Apólice  - 7-Outros</v>
      </c>
      <c r="M121" s="2" t="s">
        <v>267</v>
      </c>
      <c r="O121" s="3">
        <v>57</v>
      </c>
      <c r="P121" s="3">
        <v>5705</v>
      </c>
      <c r="Q121" s="2" t="str">
        <f>[1]TEXTO!$A$1&amp;[1]Rejeição!L121&amp;[1]TEXTO!$B$1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21" s="12" t="s">
        <v>21</v>
      </c>
      <c r="S121" s="12" t="s">
        <v>21</v>
      </c>
      <c r="U121" s="2">
        <v>120</v>
      </c>
    </row>
    <row r="122" spans="1:21" x14ac:dyDescent="0.25">
      <c r="A122" s="1">
        <v>666434935</v>
      </c>
      <c r="B122" s="15">
        <v>45859</v>
      </c>
      <c r="C122" s="1" t="s">
        <v>7</v>
      </c>
      <c r="D122" s="1">
        <v>666434935</v>
      </c>
      <c r="G122" s="1" t="s">
        <v>18</v>
      </c>
      <c r="H122" s="1">
        <v>129552015</v>
      </c>
      <c r="I122" s="1">
        <v>0</v>
      </c>
      <c r="J122" s="12" t="s">
        <v>19</v>
      </c>
      <c r="K122" s="12" t="s">
        <v>20</v>
      </c>
      <c r="L122" s="16" t="str">
        <f t="shared" ref="L122:L185" si="0">CONCATENATE("Captura de parcela rejeitada - Apólice ",E122," - ",K122)</f>
        <v>Captura de parcela rejeitada - Apólice  - 7-Outros</v>
      </c>
      <c r="M122" s="2" t="s">
        <v>232</v>
      </c>
      <c r="O122" s="3">
        <v>57</v>
      </c>
      <c r="P122" s="3">
        <v>5705</v>
      </c>
      <c r="Q122" s="2" t="str">
        <f>[1]TEXTO!$A$1&amp;[1]Rejeição!L122&amp;[1]TEXTO!$B$1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22" s="12" t="s">
        <v>21</v>
      </c>
      <c r="S122" s="12" t="s">
        <v>21</v>
      </c>
      <c r="U122" s="12">
        <v>121</v>
      </c>
    </row>
    <row r="123" spans="1:21" x14ac:dyDescent="0.25">
      <c r="A123" s="1">
        <v>670371206</v>
      </c>
      <c r="B123" s="15">
        <v>45859</v>
      </c>
      <c r="C123" s="1" t="s">
        <v>7</v>
      </c>
      <c r="D123" s="1">
        <v>670371206</v>
      </c>
      <c r="G123" s="1" t="s">
        <v>18</v>
      </c>
      <c r="H123" s="1">
        <v>129624102</v>
      </c>
      <c r="I123" s="1">
        <v>0</v>
      </c>
      <c r="J123" s="12" t="s">
        <v>19</v>
      </c>
      <c r="K123" s="12" t="s">
        <v>20</v>
      </c>
      <c r="L123" s="16" t="str">
        <f t="shared" si="0"/>
        <v>Captura de parcela rejeitada - Apólice  - 7-Outros</v>
      </c>
      <c r="M123" s="2" t="s">
        <v>268</v>
      </c>
      <c r="O123" s="3">
        <v>57</v>
      </c>
      <c r="P123" s="3">
        <v>5705</v>
      </c>
      <c r="Q123" s="2" t="str">
        <f>[1]TEXTO!$A$1&amp;[1]Rejeição!L123&amp;[1]TEXTO!$B$1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23" s="12" t="s">
        <v>21</v>
      </c>
      <c r="S123" s="12" t="s">
        <v>21</v>
      </c>
      <c r="U123" s="2">
        <v>122</v>
      </c>
    </row>
    <row r="124" spans="1:21" x14ac:dyDescent="0.25">
      <c r="A124" s="1">
        <v>670426083</v>
      </c>
      <c r="B124" s="15">
        <v>45859</v>
      </c>
      <c r="C124" s="1" t="s">
        <v>7</v>
      </c>
      <c r="D124" s="1">
        <v>670426083</v>
      </c>
      <c r="G124" s="1" t="s">
        <v>18</v>
      </c>
      <c r="H124" s="1">
        <v>129624949</v>
      </c>
      <c r="I124" s="1">
        <v>0</v>
      </c>
      <c r="J124" s="12" t="s">
        <v>19</v>
      </c>
      <c r="K124" s="12" t="s">
        <v>20</v>
      </c>
      <c r="L124" s="16" t="str">
        <f t="shared" si="0"/>
        <v>Captura de parcela rejeitada - Apólice  - 7-Outros</v>
      </c>
      <c r="M124" s="2" t="s">
        <v>269</v>
      </c>
      <c r="O124" s="3">
        <v>57</v>
      </c>
      <c r="P124" s="3">
        <v>5705</v>
      </c>
      <c r="Q124" s="2" t="str">
        <f>[1]TEXTO!$A$1&amp;[1]Rejeição!L124&amp;[1]TEXTO!$B$1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24" s="12" t="s">
        <v>21</v>
      </c>
      <c r="S124" s="12" t="s">
        <v>21</v>
      </c>
      <c r="U124" s="12">
        <v>123</v>
      </c>
    </row>
    <row r="125" spans="1:21" x14ac:dyDescent="0.25">
      <c r="A125" s="1">
        <v>671123705</v>
      </c>
      <c r="B125" s="15">
        <v>45859</v>
      </c>
      <c r="C125" s="1" t="s">
        <v>7</v>
      </c>
      <c r="D125" s="1">
        <v>671123705</v>
      </c>
      <c r="G125" s="1" t="s">
        <v>18</v>
      </c>
      <c r="H125" s="1">
        <v>129638917</v>
      </c>
      <c r="I125" s="1">
        <v>0</v>
      </c>
      <c r="J125" s="12" t="s">
        <v>19</v>
      </c>
      <c r="K125" s="12" t="s">
        <v>20</v>
      </c>
      <c r="L125" s="16" t="str">
        <f t="shared" si="0"/>
        <v>Captura de parcela rejeitada - Apólice  - 7-Outros</v>
      </c>
      <c r="M125" s="2" t="s">
        <v>270</v>
      </c>
      <c r="O125" s="3">
        <v>57</v>
      </c>
      <c r="P125" s="3">
        <v>5705</v>
      </c>
      <c r="Q125" s="2" t="str">
        <f>[1]TEXTO!$A$1&amp;[1]Rejeição!L125&amp;[1]TEXTO!$B$1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25" s="12" t="s">
        <v>21</v>
      </c>
      <c r="S125" s="12" t="s">
        <v>21</v>
      </c>
      <c r="U125" s="2">
        <v>124</v>
      </c>
    </row>
    <row r="126" spans="1:21" x14ac:dyDescent="0.25">
      <c r="A126" s="1">
        <v>671675019</v>
      </c>
      <c r="B126" s="15">
        <v>45859</v>
      </c>
      <c r="C126" s="1" t="s">
        <v>7</v>
      </c>
      <c r="D126" s="1">
        <v>671675019</v>
      </c>
      <c r="G126" s="1" t="s">
        <v>18</v>
      </c>
      <c r="H126" s="1">
        <v>129627404</v>
      </c>
      <c r="I126" s="1">
        <v>0</v>
      </c>
      <c r="J126" s="12" t="s">
        <v>19</v>
      </c>
      <c r="K126" s="12" t="s">
        <v>20</v>
      </c>
      <c r="L126" s="16" t="str">
        <f t="shared" si="0"/>
        <v>Captura de parcela rejeitada - Apólice  - 7-Outros</v>
      </c>
      <c r="M126" s="2" t="s">
        <v>271</v>
      </c>
      <c r="O126" s="3">
        <v>57</v>
      </c>
      <c r="P126" s="3">
        <v>5705</v>
      </c>
      <c r="Q126" s="2" t="str">
        <f>[1]TEXTO!$A$1&amp;[1]Rejeição!L126&amp;[1]TEXTO!$B$1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26" s="12" t="s">
        <v>21</v>
      </c>
      <c r="S126" s="12" t="s">
        <v>21</v>
      </c>
      <c r="U126" s="12">
        <v>125</v>
      </c>
    </row>
    <row r="127" spans="1:21" x14ac:dyDescent="0.25">
      <c r="A127" s="1">
        <v>687717367</v>
      </c>
      <c r="B127" s="15">
        <v>45859</v>
      </c>
      <c r="C127" s="1" t="s">
        <v>7</v>
      </c>
      <c r="D127" s="1">
        <v>687717367</v>
      </c>
      <c r="G127" s="1" t="s">
        <v>18</v>
      </c>
      <c r="H127" s="1">
        <v>129902522</v>
      </c>
      <c r="I127" s="1">
        <v>0</v>
      </c>
      <c r="J127" s="12" t="s">
        <v>19</v>
      </c>
      <c r="K127" s="12" t="s">
        <v>20</v>
      </c>
      <c r="L127" s="16" t="str">
        <f t="shared" si="0"/>
        <v>Captura de parcela rejeitada - Apólice  - 7-Outros</v>
      </c>
      <c r="M127" s="2" t="s">
        <v>272</v>
      </c>
      <c r="O127" s="3">
        <v>57</v>
      </c>
      <c r="P127" s="3">
        <v>5705</v>
      </c>
      <c r="Q127" s="2" t="str">
        <f>[1]TEXTO!$A$1&amp;[1]Rejeição!L127&amp;[1]TEXTO!$B$1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27" s="12" t="s">
        <v>21</v>
      </c>
      <c r="S127" s="12" t="s">
        <v>21</v>
      </c>
      <c r="U127" s="2">
        <v>126</v>
      </c>
    </row>
    <row r="128" spans="1:21" x14ac:dyDescent="0.25">
      <c r="A128" s="1">
        <v>693516530</v>
      </c>
      <c r="B128" s="15">
        <v>45859</v>
      </c>
      <c r="C128" s="1" t="s">
        <v>7</v>
      </c>
      <c r="D128" s="1">
        <v>693516530</v>
      </c>
      <c r="G128" s="1" t="s">
        <v>18</v>
      </c>
      <c r="H128" s="1">
        <v>130026437</v>
      </c>
      <c r="I128" s="1">
        <v>0</v>
      </c>
      <c r="J128" s="12" t="s">
        <v>19</v>
      </c>
      <c r="K128" s="12" t="s">
        <v>20</v>
      </c>
      <c r="L128" s="16" t="str">
        <f t="shared" si="0"/>
        <v>Captura de parcela rejeitada - Apólice  - 7-Outros</v>
      </c>
      <c r="M128" s="2" t="s">
        <v>273</v>
      </c>
      <c r="O128" s="3">
        <v>57</v>
      </c>
      <c r="P128" s="3">
        <v>5705</v>
      </c>
      <c r="Q128" s="2" t="str">
        <f>[1]TEXTO!$A$1&amp;[1]Rejeição!L128&amp;[1]TEXTO!$B$1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28" s="12" t="s">
        <v>21</v>
      </c>
      <c r="S128" s="12" t="s">
        <v>21</v>
      </c>
      <c r="U128" s="12">
        <v>127</v>
      </c>
    </row>
    <row r="129" spans="1:21" x14ac:dyDescent="0.25">
      <c r="A129" s="1">
        <v>694822473</v>
      </c>
      <c r="B129" s="15">
        <v>45859</v>
      </c>
      <c r="C129" s="1" t="s">
        <v>7</v>
      </c>
      <c r="D129" s="1">
        <v>694822473</v>
      </c>
      <c r="G129" s="1" t="s">
        <v>18</v>
      </c>
      <c r="H129" s="1">
        <v>130058503</v>
      </c>
      <c r="I129" s="1">
        <v>0</v>
      </c>
      <c r="J129" s="12" t="s">
        <v>19</v>
      </c>
      <c r="K129" s="12" t="s">
        <v>20</v>
      </c>
      <c r="L129" s="16" t="str">
        <f t="shared" si="0"/>
        <v>Captura de parcela rejeitada - Apólice  - 7-Outros</v>
      </c>
      <c r="M129" s="2" t="s">
        <v>274</v>
      </c>
      <c r="O129" s="3">
        <v>57</v>
      </c>
      <c r="P129" s="3">
        <v>5705</v>
      </c>
      <c r="Q129" s="2" t="str">
        <f>[1]TEXTO!$A$1&amp;[1]Rejeição!L129&amp;[1]TEXTO!$B$1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29" s="12" t="s">
        <v>21</v>
      </c>
      <c r="S129" s="12" t="s">
        <v>21</v>
      </c>
      <c r="U129" s="2">
        <v>128</v>
      </c>
    </row>
    <row r="130" spans="1:21" x14ac:dyDescent="0.25">
      <c r="A130" s="1">
        <v>695744916</v>
      </c>
      <c r="B130" s="15">
        <v>45859</v>
      </c>
      <c r="C130" s="1" t="s">
        <v>7</v>
      </c>
      <c r="D130" s="1">
        <v>695744916</v>
      </c>
      <c r="G130" s="1" t="s">
        <v>18</v>
      </c>
      <c r="H130" s="1">
        <v>130074358</v>
      </c>
      <c r="I130" s="1">
        <v>0</v>
      </c>
      <c r="J130" s="12" t="s">
        <v>19</v>
      </c>
      <c r="K130" s="12" t="s">
        <v>20</v>
      </c>
      <c r="L130" s="16" t="str">
        <f t="shared" si="0"/>
        <v>Captura de parcela rejeitada - Apólice  - 7-Outros</v>
      </c>
      <c r="M130" s="2" t="s">
        <v>275</v>
      </c>
      <c r="O130" s="3">
        <v>57</v>
      </c>
      <c r="P130" s="3">
        <v>5705</v>
      </c>
      <c r="Q130" s="2" t="str">
        <f>[1]TEXTO!$A$1&amp;[1]Rejeição!L130&amp;[1]TEXTO!$B$1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30" s="12" t="s">
        <v>21</v>
      </c>
      <c r="S130" s="12" t="s">
        <v>21</v>
      </c>
      <c r="U130" s="12">
        <v>129</v>
      </c>
    </row>
    <row r="131" spans="1:21" x14ac:dyDescent="0.25">
      <c r="A131" s="1">
        <v>695852867</v>
      </c>
      <c r="B131" s="15">
        <v>45859</v>
      </c>
      <c r="C131" s="1" t="s">
        <v>7</v>
      </c>
      <c r="D131" s="1">
        <v>695852867</v>
      </c>
      <c r="G131" s="1" t="s">
        <v>18</v>
      </c>
      <c r="H131" s="1">
        <v>130075687</v>
      </c>
      <c r="I131" s="1">
        <v>0</v>
      </c>
      <c r="J131" s="12" t="s">
        <v>19</v>
      </c>
      <c r="K131" s="12" t="s">
        <v>20</v>
      </c>
      <c r="L131" s="16" t="str">
        <f t="shared" si="0"/>
        <v>Captura de parcela rejeitada - Apólice  - 7-Outros</v>
      </c>
      <c r="M131" s="2" t="s">
        <v>276</v>
      </c>
      <c r="O131" s="3">
        <v>57</v>
      </c>
      <c r="P131" s="3">
        <v>5705</v>
      </c>
      <c r="Q131" s="2" t="str">
        <f>[1]TEXTO!$A$1&amp;[1]Rejeição!L131&amp;[1]TEXTO!$B$1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31" s="12" t="s">
        <v>21</v>
      </c>
      <c r="S131" s="12" t="s">
        <v>21</v>
      </c>
      <c r="U131" s="2">
        <v>130</v>
      </c>
    </row>
    <row r="132" spans="1:21" x14ac:dyDescent="0.25">
      <c r="A132" s="1">
        <v>695886287</v>
      </c>
      <c r="B132" s="15">
        <v>45859</v>
      </c>
      <c r="C132" s="1" t="s">
        <v>7</v>
      </c>
      <c r="D132" s="1">
        <v>695886287</v>
      </c>
      <c r="G132" s="1" t="s">
        <v>18</v>
      </c>
      <c r="H132" s="1">
        <v>130077067</v>
      </c>
      <c r="I132" s="1">
        <v>0</v>
      </c>
      <c r="J132" s="12" t="s">
        <v>19</v>
      </c>
      <c r="K132" s="12" t="s">
        <v>20</v>
      </c>
      <c r="L132" s="16" t="str">
        <f t="shared" si="0"/>
        <v>Captura de parcela rejeitada - Apólice  - 7-Outros</v>
      </c>
      <c r="M132" s="2" t="s">
        <v>277</v>
      </c>
      <c r="O132" s="3">
        <v>57</v>
      </c>
      <c r="P132" s="3">
        <v>5705</v>
      </c>
      <c r="Q132" s="2" t="str">
        <f>[1]TEXTO!$A$1&amp;[1]Rejeição!L132&amp;[1]TEXTO!$B$1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32" s="12" t="s">
        <v>21</v>
      </c>
      <c r="S132" s="12" t="s">
        <v>21</v>
      </c>
      <c r="U132" s="12">
        <v>131</v>
      </c>
    </row>
    <row r="133" spans="1:21" x14ac:dyDescent="0.25">
      <c r="A133" s="1">
        <v>695999411</v>
      </c>
      <c r="B133" s="15">
        <v>45859</v>
      </c>
      <c r="C133" s="1" t="s">
        <v>7</v>
      </c>
      <c r="D133" s="1">
        <v>695999411</v>
      </c>
      <c r="G133" s="1" t="s">
        <v>18</v>
      </c>
      <c r="H133" s="1">
        <v>130060486</v>
      </c>
      <c r="I133" s="1">
        <v>0</v>
      </c>
      <c r="J133" s="12" t="s">
        <v>19</v>
      </c>
      <c r="K133" s="12" t="s">
        <v>20</v>
      </c>
      <c r="L133" s="16" t="str">
        <f t="shared" si="0"/>
        <v>Captura de parcela rejeitada - Apólice  - 7-Outros</v>
      </c>
      <c r="M133" s="2" t="s">
        <v>278</v>
      </c>
      <c r="O133" s="3">
        <v>57</v>
      </c>
      <c r="P133" s="3">
        <v>5705</v>
      </c>
      <c r="Q133" s="2" t="str">
        <f>[1]TEXTO!$A$1&amp;[1]Rejeição!L133&amp;[1]TEXTO!$B$1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33" s="12" t="s">
        <v>21</v>
      </c>
      <c r="S133" s="12" t="s">
        <v>21</v>
      </c>
      <c r="U133" s="2">
        <v>132</v>
      </c>
    </row>
    <row r="134" spans="1:21" x14ac:dyDescent="0.25">
      <c r="A134" s="1">
        <v>696008105</v>
      </c>
      <c r="B134" s="15">
        <v>45859</v>
      </c>
      <c r="C134" s="1" t="s">
        <v>7</v>
      </c>
      <c r="D134" s="1">
        <v>696008105</v>
      </c>
      <c r="G134" s="1" t="s">
        <v>18</v>
      </c>
      <c r="H134" s="1">
        <v>130059688</v>
      </c>
      <c r="I134" s="1">
        <v>0</v>
      </c>
      <c r="J134" s="12" t="s">
        <v>19</v>
      </c>
      <c r="K134" s="12" t="s">
        <v>20</v>
      </c>
      <c r="L134" s="16" t="str">
        <f t="shared" si="0"/>
        <v>Captura de parcela rejeitada - Apólice  - 7-Outros</v>
      </c>
      <c r="M134" s="2" t="s">
        <v>192</v>
      </c>
      <c r="O134" s="3">
        <v>57</v>
      </c>
      <c r="P134" s="3">
        <v>5705</v>
      </c>
      <c r="Q134" s="2" t="str">
        <f>[1]TEXTO!$A$1&amp;[1]Rejeição!L134&amp;[1]TEXTO!$B$1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34" s="12" t="s">
        <v>21</v>
      </c>
      <c r="S134" s="12" t="s">
        <v>21</v>
      </c>
      <c r="U134" s="12">
        <v>133</v>
      </c>
    </row>
    <row r="135" spans="1:21" x14ac:dyDescent="0.25">
      <c r="A135" s="1">
        <v>696028368</v>
      </c>
      <c r="B135" s="15">
        <v>45859</v>
      </c>
      <c r="C135" s="1" t="s">
        <v>7</v>
      </c>
      <c r="D135" s="1">
        <v>696028368</v>
      </c>
      <c r="G135" s="1" t="s">
        <v>18</v>
      </c>
      <c r="H135" s="1">
        <v>130059308</v>
      </c>
      <c r="I135" s="1">
        <v>0</v>
      </c>
      <c r="J135" s="12" t="s">
        <v>19</v>
      </c>
      <c r="K135" s="12" t="s">
        <v>20</v>
      </c>
      <c r="L135" s="16" t="str">
        <f t="shared" si="0"/>
        <v>Captura de parcela rejeitada - Apólice  - 7-Outros</v>
      </c>
      <c r="M135" s="2" t="s">
        <v>184</v>
      </c>
      <c r="O135" s="3">
        <v>57</v>
      </c>
      <c r="P135" s="3">
        <v>5705</v>
      </c>
      <c r="Q135" s="2" t="str">
        <f>[1]TEXTO!$A$1&amp;[1]Rejeição!L135&amp;[1]TEXTO!$B$1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35" s="12" t="s">
        <v>21</v>
      </c>
      <c r="S135" s="12" t="s">
        <v>21</v>
      </c>
      <c r="U135" s="2">
        <v>134</v>
      </c>
    </row>
    <row r="136" spans="1:21" x14ac:dyDescent="0.25">
      <c r="A136" s="1">
        <v>696096142</v>
      </c>
      <c r="B136" s="15">
        <v>45859</v>
      </c>
      <c r="C136" s="1" t="s">
        <v>7</v>
      </c>
      <c r="D136" s="1">
        <v>696096142</v>
      </c>
      <c r="G136" s="1" t="s">
        <v>18</v>
      </c>
      <c r="H136" s="1">
        <v>130081636</v>
      </c>
      <c r="I136" s="1">
        <v>0</v>
      </c>
      <c r="J136" s="12" t="s">
        <v>19</v>
      </c>
      <c r="K136" s="12" t="s">
        <v>20</v>
      </c>
      <c r="L136" s="16" t="str">
        <f t="shared" si="0"/>
        <v>Captura de parcela rejeitada - Apólice  - 7-Outros</v>
      </c>
      <c r="M136" s="2" t="s">
        <v>279</v>
      </c>
      <c r="O136" s="3">
        <v>57</v>
      </c>
      <c r="P136" s="3">
        <v>5705</v>
      </c>
      <c r="Q136" s="2" t="str">
        <f>[1]TEXTO!$A$1&amp;[1]Rejeição!L136&amp;[1]TEXTO!$B$1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36" s="12" t="s">
        <v>21</v>
      </c>
      <c r="S136" s="12" t="s">
        <v>21</v>
      </c>
      <c r="U136" s="12">
        <v>135</v>
      </c>
    </row>
    <row r="137" spans="1:21" x14ac:dyDescent="0.25">
      <c r="A137" s="1">
        <v>696122906</v>
      </c>
      <c r="B137" s="15">
        <v>45859</v>
      </c>
      <c r="C137" s="1" t="s">
        <v>7</v>
      </c>
      <c r="D137" s="1">
        <v>696122906</v>
      </c>
      <c r="G137" s="1" t="s">
        <v>18</v>
      </c>
      <c r="H137" s="1">
        <v>130059345</v>
      </c>
      <c r="I137" s="1">
        <v>0</v>
      </c>
      <c r="J137" s="12" t="s">
        <v>19</v>
      </c>
      <c r="K137" s="12" t="s">
        <v>20</v>
      </c>
      <c r="L137" s="16" t="str">
        <f t="shared" si="0"/>
        <v>Captura de parcela rejeitada - Apólice  - 7-Outros</v>
      </c>
      <c r="M137" s="2" t="s">
        <v>280</v>
      </c>
      <c r="O137" s="3">
        <v>57</v>
      </c>
      <c r="P137" s="3">
        <v>5705</v>
      </c>
      <c r="Q137" s="2" t="str">
        <f>[1]TEXTO!$A$1&amp;[1]Rejeição!L137&amp;[1]TEXTO!$B$1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37" s="12" t="s">
        <v>21</v>
      </c>
      <c r="S137" s="12" t="s">
        <v>21</v>
      </c>
      <c r="U137" s="2">
        <v>136</v>
      </c>
    </row>
    <row r="138" spans="1:21" x14ac:dyDescent="0.25">
      <c r="A138" s="1">
        <v>696193782</v>
      </c>
      <c r="B138" s="15">
        <v>45859</v>
      </c>
      <c r="C138" s="1" t="s">
        <v>7</v>
      </c>
      <c r="D138" s="1">
        <v>696193782</v>
      </c>
      <c r="G138" s="1" t="s">
        <v>18</v>
      </c>
      <c r="H138" s="1">
        <v>130077771</v>
      </c>
      <c r="I138" s="1">
        <v>0</v>
      </c>
      <c r="J138" s="12" t="s">
        <v>19</v>
      </c>
      <c r="K138" s="12" t="s">
        <v>20</v>
      </c>
      <c r="L138" s="16" t="str">
        <f t="shared" si="0"/>
        <v>Captura de parcela rejeitada - Apólice  - 7-Outros</v>
      </c>
      <c r="M138" s="2" t="s">
        <v>171</v>
      </c>
      <c r="O138" s="3">
        <v>57</v>
      </c>
      <c r="P138" s="3">
        <v>5705</v>
      </c>
      <c r="Q138" s="2" t="str">
        <f>[1]TEXTO!$A$1&amp;[1]Rejeição!L138&amp;[1]TEXTO!$B$1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38" s="12" t="s">
        <v>21</v>
      </c>
      <c r="S138" s="12" t="s">
        <v>21</v>
      </c>
      <c r="U138" s="12">
        <v>137</v>
      </c>
    </row>
    <row r="139" spans="1:21" x14ac:dyDescent="0.25">
      <c r="A139" s="1">
        <v>696403215</v>
      </c>
      <c r="B139" s="15">
        <v>45859</v>
      </c>
      <c r="C139" s="1" t="s">
        <v>7</v>
      </c>
      <c r="D139" s="1">
        <v>696403215</v>
      </c>
      <c r="G139" s="1" t="s">
        <v>18</v>
      </c>
      <c r="H139" s="1">
        <v>130088462</v>
      </c>
      <c r="I139" s="1">
        <v>0</v>
      </c>
      <c r="J139" s="12" t="s">
        <v>19</v>
      </c>
      <c r="K139" s="12" t="s">
        <v>20</v>
      </c>
      <c r="L139" s="16" t="str">
        <f t="shared" si="0"/>
        <v>Captura de parcela rejeitada - Apólice  - 7-Outros</v>
      </c>
      <c r="M139" s="2" t="s">
        <v>274</v>
      </c>
      <c r="O139" s="3">
        <v>57</v>
      </c>
      <c r="P139" s="3">
        <v>5705</v>
      </c>
      <c r="Q139" s="2" t="str">
        <f>[1]TEXTO!$A$1&amp;[1]Rejeição!L139&amp;[1]TEXTO!$B$1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39" s="12" t="s">
        <v>21</v>
      </c>
      <c r="S139" s="12" t="s">
        <v>21</v>
      </c>
      <c r="U139" s="2">
        <v>138</v>
      </c>
    </row>
    <row r="140" spans="1:21" x14ac:dyDescent="0.25">
      <c r="A140" s="1">
        <v>696495559</v>
      </c>
      <c r="B140" s="15">
        <v>45859</v>
      </c>
      <c r="C140" s="1" t="s">
        <v>7</v>
      </c>
      <c r="D140" s="1">
        <v>696495559</v>
      </c>
      <c r="G140" s="1" t="s">
        <v>18</v>
      </c>
      <c r="H140" s="1">
        <v>130075535</v>
      </c>
      <c r="I140" s="1">
        <v>0</v>
      </c>
      <c r="J140" s="12" t="s">
        <v>19</v>
      </c>
      <c r="K140" s="12" t="s">
        <v>20</v>
      </c>
      <c r="L140" s="16" t="str">
        <f t="shared" si="0"/>
        <v>Captura de parcela rejeitada - Apólice  - 7-Outros</v>
      </c>
      <c r="M140" s="2" t="s">
        <v>281</v>
      </c>
      <c r="O140" s="3">
        <v>57</v>
      </c>
      <c r="P140" s="3">
        <v>5705</v>
      </c>
      <c r="Q140" s="2" t="str">
        <f>[1]TEXTO!$A$1&amp;[1]Rejeição!L140&amp;[1]TEXTO!$B$1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40" s="12" t="s">
        <v>21</v>
      </c>
      <c r="S140" s="12" t="s">
        <v>21</v>
      </c>
      <c r="U140" s="12">
        <v>139</v>
      </c>
    </row>
    <row r="141" spans="1:21" x14ac:dyDescent="0.25">
      <c r="A141" s="1">
        <v>715805218</v>
      </c>
      <c r="B141" s="15">
        <v>45859</v>
      </c>
      <c r="C141" s="1" t="s">
        <v>7</v>
      </c>
      <c r="D141" s="1">
        <v>715805218</v>
      </c>
      <c r="G141" s="1" t="s">
        <v>18</v>
      </c>
      <c r="H141" s="1">
        <v>130429397</v>
      </c>
      <c r="I141" s="1">
        <v>0</v>
      </c>
      <c r="J141" s="12" t="s">
        <v>19</v>
      </c>
      <c r="K141" s="12" t="s">
        <v>20</v>
      </c>
      <c r="L141" s="16" t="str">
        <f t="shared" si="0"/>
        <v>Captura de parcela rejeitada - Apólice  - 7-Outros</v>
      </c>
      <c r="M141" s="2" t="s">
        <v>282</v>
      </c>
      <c r="O141" s="3">
        <v>57</v>
      </c>
      <c r="P141" s="3">
        <v>5705</v>
      </c>
      <c r="Q141" s="2" t="str">
        <f>[1]TEXTO!$A$1&amp;[1]Rejeição!L141&amp;[1]TEXTO!$B$1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41" s="12" t="s">
        <v>21</v>
      </c>
      <c r="S141" s="12" t="s">
        <v>21</v>
      </c>
      <c r="U141" s="2">
        <v>140</v>
      </c>
    </row>
    <row r="142" spans="1:21" x14ac:dyDescent="0.25">
      <c r="A142" s="1">
        <v>716408350</v>
      </c>
      <c r="B142" s="15">
        <v>45859</v>
      </c>
      <c r="C142" s="1" t="s">
        <v>7</v>
      </c>
      <c r="D142" s="1">
        <v>716408350</v>
      </c>
      <c r="G142" s="1" t="s">
        <v>18</v>
      </c>
      <c r="H142" s="1">
        <v>130442321</v>
      </c>
      <c r="I142" s="1">
        <v>0</v>
      </c>
      <c r="J142" s="12" t="s">
        <v>19</v>
      </c>
      <c r="K142" s="12" t="s">
        <v>20</v>
      </c>
      <c r="L142" s="16" t="str">
        <f t="shared" si="0"/>
        <v>Captura de parcela rejeitada - Apólice  - 7-Outros</v>
      </c>
      <c r="M142" s="2" t="s">
        <v>283</v>
      </c>
      <c r="O142" s="3">
        <v>57</v>
      </c>
      <c r="P142" s="3">
        <v>5705</v>
      </c>
      <c r="Q142" s="2" t="str">
        <f>[1]TEXTO!$A$1&amp;[1]Rejeição!L142&amp;[1]TEXTO!$B$1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42" s="12" t="s">
        <v>21</v>
      </c>
      <c r="S142" s="12" t="s">
        <v>21</v>
      </c>
      <c r="U142" s="12">
        <v>141</v>
      </c>
    </row>
    <row r="143" spans="1:21" x14ac:dyDescent="0.25">
      <c r="A143" s="1">
        <v>718536505</v>
      </c>
      <c r="B143" s="15">
        <v>45859</v>
      </c>
      <c r="C143" s="1" t="s">
        <v>7</v>
      </c>
      <c r="D143" s="1">
        <v>718536505</v>
      </c>
      <c r="G143" s="1" t="s">
        <v>18</v>
      </c>
      <c r="H143" s="1">
        <v>130449122</v>
      </c>
      <c r="I143" s="1">
        <v>0</v>
      </c>
      <c r="J143" s="12" t="s">
        <v>19</v>
      </c>
      <c r="K143" s="12" t="s">
        <v>20</v>
      </c>
      <c r="L143" s="16" t="str">
        <f t="shared" si="0"/>
        <v>Captura de parcela rejeitada - Apólice  - 7-Outros</v>
      </c>
      <c r="M143" s="2" t="s">
        <v>284</v>
      </c>
      <c r="O143" s="3">
        <v>57</v>
      </c>
      <c r="P143" s="3">
        <v>5705</v>
      </c>
      <c r="Q143" s="2" t="str">
        <f>[1]TEXTO!$A$1&amp;[1]Rejeição!L143&amp;[1]TEXTO!$B$1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43" s="12" t="s">
        <v>21</v>
      </c>
      <c r="S143" s="12" t="s">
        <v>21</v>
      </c>
      <c r="U143" s="2">
        <v>142</v>
      </c>
    </row>
    <row r="144" spans="1:21" x14ac:dyDescent="0.25">
      <c r="A144" s="1">
        <v>718899010</v>
      </c>
      <c r="B144" s="15">
        <v>45859</v>
      </c>
      <c r="C144" s="1" t="s">
        <v>7</v>
      </c>
      <c r="D144" s="1">
        <v>718899010</v>
      </c>
      <c r="G144" s="1" t="s">
        <v>18</v>
      </c>
      <c r="H144" s="1">
        <v>130487380</v>
      </c>
      <c r="I144" s="1">
        <v>0</v>
      </c>
      <c r="J144" s="12" t="s">
        <v>19</v>
      </c>
      <c r="K144" s="12" t="s">
        <v>20</v>
      </c>
      <c r="L144" s="16" t="str">
        <f t="shared" si="0"/>
        <v>Captura de parcela rejeitada - Apólice  - 7-Outros</v>
      </c>
      <c r="M144" s="2" t="s">
        <v>285</v>
      </c>
      <c r="O144" s="3">
        <v>57</v>
      </c>
      <c r="P144" s="3">
        <v>5705</v>
      </c>
      <c r="Q144" s="2" t="str">
        <f>[1]TEXTO!$A$1&amp;[1]Rejeição!L144&amp;[1]TEXTO!$B$1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44" s="12" t="s">
        <v>21</v>
      </c>
      <c r="S144" s="12" t="s">
        <v>21</v>
      </c>
      <c r="U144" s="12">
        <v>143</v>
      </c>
    </row>
    <row r="145" spans="1:21" x14ac:dyDescent="0.25">
      <c r="A145" s="1">
        <v>718968161</v>
      </c>
      <c r="B145" s="15">
        <v>45859</v>
      </c>
      <c r="C145" s="1" t="s">
        <v>7</v>
      </c>
      <c r="D145" s="1">
        <v>718968161</v>
      </c>
      <c r="G145" s="1" t="s">
        <v>18</v>
      </c>
      <c r="H145" s="1">
        <v>130484514</v>
      </c>
      <c r="I145" s="1">
        <v>0</v>
      </c>
      <c r="J145" s="12" t="s">
        <v>19</v>
      </c>
      <c r="K145" s="12" t="s">
        <v>20</v>
      </c>
      <c r="L145" s="16" t="str">
        <f t="shared" si="0"/>
        <v>Captura de parcela rejeitada - Apólice  - 7-Outros</v>
      </c>
      <c r="M145" s="2" t="s">
        <v>286</v>
      </c>
      <c r="O145" s="3">
        <v>57</v>
      </c>
      <c r="P145" s="3">
        <v>5705</v>
      </c>
      <c r="Q145" s="2" t="str">
        <f>[1]TEXTO!$A$1&amp;[1]Rejeição!L145&amp;[1]TEXTO!$B$1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45" s="12" t="s">
        <v>21</v>
      </c>
      <c r="S145" s="12" t="s">
        <v>21</v>
      </c>
      <c r="U145" s="2">
        <v>144</v>
      </c>
    </row>
    <row r="146" spans="1:21" x14ac:dyDescent="0.25">
      <c r="A146" s="1">
        <v>719138608</v>
      </c>
      <c r="B146" s="15">
        <v>45859</v>
      </c>
      <c r="C146" s="1" t="s">
        <v>7</v>
      </c>
      <c r="D146" s="1">
        <v>719138608</v>
      </c>
      <c r="G146" s="1" t="s">
        <v>18</v>
      </c>
      <c r="H146" s="1">
        <v>130492927</v>
      </c>
      <c r="I146" s="1">
        <v>0</v>
      </c>
      <c r="J146" s="12" t="s">
        <v>19</v>
      </c>
      <c r="K146" s="12" t="s">
        <v>20</v>
      </c>
      <c r="L146" s="16" t="str">
        <f t="shared" si="0"/>
        <v>Captura de parcela rejeitada - Apólice  - 7-Outros</v>
      </c>
      <c r="M146" s="2" t="s">
        <v>287</v>
      </c>
      <c r="O146" s="3">
        <v>57</v>
      </c>
      <c r="P146" s="3">
        <v>5705</v>
      </c>
      <c r="Q146" s="2" t="str">
        <f>[1]TEXTO!$A$1&amp;[1]Rejeição!L146&amp;[1]TEXTO!$B$1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46" s="12" t="s">
        <v>21</v>
      </c>
      <c r="S146" s="12" t="s">
        <v>21</v>
      </c>
      <c r="U146" s="12">
        <v>145</v>
      </c>
    </row>
    <row r="147" spans="1:21" x14ac:dyDescent="0.25">
      <c r="A147" s="1">
        <v>719468724</v>
      </c>
      <c r="B147" s="15">
        <v>45859</v>
      </c>
      <c r="C147" s="1" t="s">
        <v>7</v>
      </c>
      <c r="D147" s="1">
        <v>719468724</v>
      </c>
      <c r="G147" s="1" t="s">
        <v>18</v>
      </c>
      <c r="H147" s="1">
        <v>130435546</v>
      </c>
      <c r="I147" s="1">
        <v>0</v>
      </c>
      <c r="J147" s="12" t="s">
        <v>19</v>
      </c>
      <c r="K147" s="12" t="s">
        <v>20</v>
      </c>
      <c r="L147" s="16" t="str">
        <f t="shared" si="0"/>
        <v>Captura de parcela rejeitada - Apólice  - 7-Outros</v>
      </c>
      <c r="M147" s="2" t="s">
        <v>288</v>
      </c>
      <c r="O147" s="3">
        <v>57</v>
      </c>
      <c r="P147" s="3">
        <v>5705</v>
      </c>
      <c r="Q147" s="2" t="str">
        <f>[1]TEXTO!$A$1&amp;[1]Rejeição!L147&amp;[1]TEXTO!$B$1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47" s="12" t="s">
        <v>21</v>
      </c>
      <c r="S147" s="12" t="s">
        <v>21</v>
      </c>
      <c r="U147" s="2">
        <v>146</v>
      </c>
    </row>
    <row r="148" spans="1:21" x14ac:dyDescent="0.25">
      <c r="A148" s="1">
        <v>719870895</v>
      </c>
      <c r="B148" s="15">
        <v>45859</v>
      </c>
      <c r="C148" s="1" t="s">
        <v>7</v>
      </c>
      <c r="D148" s="1">
        <v>719870895</v>
      </c>
      <c r="G148" s="1" t="s">
        <v>18</v>
      </c>
      <c r="H148" s="1">
        <v>130432745</v>
      </c>
      <c r="I148" s="1">
        <v>0</v>
      </c>
      <c r="J148" s="12" t="s">
        <v>19</v>
      </c>
      <c r="K148" s="12" t="s">
        <v>20</v>
      </c>
      <c r="L148" s="16" t="str">
        <f t="shared" si="0"/>
        <v>Captura de parcela rejeitada - Apólice  - 7-Outros</v>
      </c>
      <c r="M148" s="2" t="s">
        <v>289</v>
      </c>
      <c r="O148" s="3">
        <v>57</v>
      </c>
      <c r="P148" s="3">
        <v>5705</v>
      </c>
      <c r="Q148" s="2" t="str">
        <f>[1]TEXTO!$A$1&amp;[1]Rejeição!L148&amp;[1]TEXTO!$B$1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48" s="12" t="s">
        <v>21</v>
      </c>
      <c r="S148" s="12" t="s">
        <v>21</v>
      </c>
      <c r="U148" s="12">
        <v>147</v>
      </c>
    </row>
    <row r="149" spans="1:21" x14ac:dyDescent="0.25">
      <c r="A149" s="1">
        <v>719871612</v>
      </c>
      <c r="B149" s="15">
        <v>45859</v>
      </c>
      <c r="C149" s="1" t="s">
        <v>7</v>
      </c>
      <c r="D149" s="1">
        <v>719871612</v>
      </c>
      <c r="G149" s="1" t="s">
        <v>18</v>
      </c>
      <c r="H149" s="1">
        <v>130431236</v>
      </c>
      <c r="I149" s="1">
        <v>0</v>
      </c>
      <c r="J149" s="12" t="s">
        <v>19</v>
      </c>
      <c r="K149" s="12" t="s">
        <v>20</v>
      </c>
      <c r="L149" s="16" t="str">
        <f t="shared" si="0"/>
        <v>Captura de parcela rejeitada - Apólice  - 7-Outros</v>
      </c>
      <c r="M149" s="2" t="s">
        <v>290</v>
      </c>
      <c r="O149" s="3">
        <v>57</v>
      </c>
      <c r="P149" s="3">
        <v>5705</v>
      </c>
      <c r="Q149" s="2" t="str">
        <f>[1]TEXTO!$A$1&amp;[1]Rejeição!L149&amp;[1]TEXTO!$B$1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49" s="12" t="s">
        <v>21</v>
      </c>
      <c r="S149" s="12" t="s">
        <v>21</v>
      </c>
      <c r="U149" s="2">
        <v>148</v>
      </c>
    </row>
    <row r="150" spans="1:21" x14ac:dyDescent="0.25">
      <c r="A150" s="1">
        <v>730939406</v>
      </c>
      <c r="B150" s="15">
        <v>45859</v>
      </c>
      <c r="C150" s="1" t="s">
        <v>7</v>
      </c>
      <c r="D150" s="1">
        <v>730939406</v>
      </c>
      <c r="G150" s="1" t="s">
        <v>18</v>
      </c>
      <c r="H150" s="1">
        <v>130692164</v>
      </c>
      <c r="I150" s="1">
        <v>0</v>
      </c>
      <c r="J150" s="12" t="s">
        <v>19</v>
      </c>
      <c r="K150" s="12" t="s">
        <v>20</v>
      </c>
      <c r="L150" s="16" t="str">
        <f t="shared" si="0"/>
        <v>Captura de parcela rejeitada - Apólice  - 7-Outros</v>
      </c>
      <c r="M150" s="2" t="s">
        <v>291</v>
      </c>
      <c r="O150" s="3">
        <v>57</v>
      </c>
      <c r="P150" s="3">
        <v>5705</v>
      </c>
      <c r="Q150" s="2" t="str">
        <f>[1]TEXTO!$A$1&amp;[1]Rejeição!L150&amp;[1]TEXTO!$B$1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50" s="12" t="s">
        <v>21</v>
      </c>
      <c r="S150" s="12" t="s">
        <v>21</v>
      </c>
      <c r="U150" s="12">
        <v>149</v>
      </c>
    </row>
    <row r="151" spans="1:21" x14ac:dyDescent="0.25">
      <c r="A151" s="1">
        <v>739677650</v>
      </c>
      <c r="B151" s="15">
        <v>45859</v>
      </c>
      <c r="C151" s="1" t="s">
        <v>7</v>
      </c>
      <c r="D151" s="1">
        <v>739677650</v>
      </c>
      <c r="G151" s="1" t="s">
        <v>18</v>
      </c>
      <c r="H151" s="1">
        <v>130813118</v>
      </c>
      <c r="I151" s="1">
        <v>0</v>
      </c>
      <c r="J151" s="12" t="s">
        <v>19</v>
      </c>
      <c r="K151" s="12" t="s">
        <v>20</v>
      </c>
      <c r="L151" s="16" t="str">
        <f t="shared" si="0"/>
        <v>Captura de parcela rejeitada - Apólice  - 7-Outros</v>
      </c>
      <c r="M151" s="2" t="s">
        <v>292</v>
      </c>
      <c r="O151" s="3">
        <v>57</v>
      </c>
      <c r="P151" s="3">
        <v>5705</v>
      </c>
      <c r="Q151" s="2" t="str">
        <f>[1]TEXTO!$A$1&amp;[1]Rejeição!L151&amp;[1]TEXTO!$B$1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51" s="12" t="s">
        <v>21</v>
      </c>
      <c r="S151" s="12" t="s">
        <v>21</v>
      </c>
      <c r="U151" s="2">
        <v>150</v>
      </c>
    </row>
    <row r="152" spans="1:21" x14ac:dyDescent="0.25">
      <c r="A152" s="1">
        <v>760076764</v>
      </c>
      <c r="B152" s="15">
        <v>45859</v>
      </c>
      <c r="C152" s="1" t="s">
        <v>7</v>
      </c>
      <c r="D152" s="1">
        <v>760076764</v>
      </c>
      <c r="G152" s="1" t="s">
        <v>18</v>
      </c>
      <c r="H152" s="1">
        <v>131190248</v>
      </c>
      <c r="I152" s="1">
        <v>0</v>
      </c>
      <c r="J152" s="12" t="s">
        <v>19</v>
      </c>
      <c r="K152" s="12" t="s">
        <v>20</v>
      </c>
      <c r="L152" s="16" t="str">
        <f t="shared" si="0"/>
        <v>Captura de parcela rejeitada - Apólice  - 7-Outros</v>
      </c>
      <c r="M152" s="2" t="s">
        <v>272</v>
      </c>
      <c r="O152" s="3">
        <v>57</v>
      </c>
      <c r="P152" s="3">
        <v>5705</v>
      </c>
      <c r="Q152" s="2" t="str">
        <f>[1]TEXTO!$A$1&amp;[1]Rejeição!L152&amp;[1]TEXTO!$B$1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52" s="12" t="s">
        <v>21</v>
      </c>
      <c r="S152" s="12" t="s">
        <v>21</v>
      </c>
      <c r="U152" s="12">
        <v>151</v>
      </c>
    </row>
    <row r="153" spans="1:21" x14ac:dyDescent="0.25">
      <c r="A153" s="1">
        <v>761316656</v>
      </c>
      <c r="B153" s="15">
        <v>45859</v>
      </c>
      <c r="C153" s="1" t="s">
        <v>7</v>
      </c>
      <c r="D153" s="1">
        <v>761316656</v>
      </c>
      <c r="G153" s="1" t="s">
        <v>18</v>
      </c>
      <c r="H153" s="1">
        <v>131213382</v>
      </c>
      <c r="I153" s="1">
        <v>0</v>
      </c>
      <c r="J153" s="12" t="s">
        <v>19</v>
      </c>
      <c r="K153" s="12" t="s">
        <v>20</v>
      </c>
      <c r="L153" s="16" t="str">
        <f t="shared" si="0"/>
        <v>Captura de parcela rejeitada - Apólice  - 7-Outros</v>
      </c>
      <c r="M153" s="2" t="s">
        <v>293</v>
      </c>
      <c r="O153" s="3">
        <v>57</v>
      </c>
      <c r="P153" s="3">
        <v>5705</v>
      </c>
      <c r="Q153" s="2" t="str">
        <f>[1]TEXTO!$A$1&amp;[1]Rejeição!L153&amp;[1]TEXTO!$B$1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53" s="12" t="s">
        <v>21</v>
      </c>
      <c r="S153" s="12" t="s">
        <v>21</v>
      </c>
      <c r="U153" s="2">
        <v>152</v>
      </c>
    </row>
    <row r="154" spans="1:21" x14ac:dyDescent="0.25">
      <c r="A154" s="1">
        <v>763538893</v>
      </c>
      <c r="B154" s="15">
        <v>45859</v>
      </c>
      <c r="C154" s="1" t="s">
        <v>7</v>
      </c>
      <c r="D154" s="1">
        <v>763538893</v>
      </c>
      <c r="G154" s="1" t="s">
        <v>18</v>
      </c>
      <c r="H154" s="1">
        <v>131207706</v>
      </c>
      <c r="I154" s="1">
        <v>0</v>
      </c>
      <c r="J154" s="12" t="s">
        <v>19</v>
      </c>
      <c r="K154" s="12" t="s">
        <v>20</v>
      </c>
      <c r="L154" s="16" t="str">
        <f t="shared" si="0"/>
        <v>Captura de parcela rejeitada - Apólice  - 7-Outros</v>
      </c>
      <c r="M154" s="2" t="s">
        <v>294</v>
      </c>
      <c r="O154" s="3">
        <v>57</v>
      </c>
      <c r="P154" s="3">
        <v>5705</v>
      </c>
      <c r="Q154" s="2" t="str">
        <f>[1]TEXTO!$A$1&amp;[1]Rejeição!L154&amp;[1]TEXTO!$B$1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54" s="12" t="s">
        <v>21</v>
      </c>
      <c r="S154" s="12" t="s">
        <v>21</v>
      </c>
      <c r="U154" s="12">
        <v>153</v>
      </c>
    </row>
    <row r="155" spans="1:21" x14ac:dyDescent="0.25">
      <c r="A155" s="1">
        <v>763626474</v>
      </c>
      <c r="B155" s="15">
        <v>45859</v>
      </c>
      <c r="C155" s="1" t="s">
        <v>7</v>
      </c>
      <c r="D155" s="1">
        <v>763626474</v>
      </c>
      <c r="G155" s="1" t="s">
        <v>18</v>
      </c>
      <c r="H155" s="1">
        <v>131258585</v>
      </c>
      <c r="I155" s="1">
        <v>0</v>
      </c>
      <c r="J155" s="12" t="s">
        <v>19</v>
      </c>
      <c r="K155" s="12" t="s">
        <v>20</v>
      </c>
      <c r="L155" s="16" t="str">
        <f t="shared" si="0"/>
        <v>Captura de parcela rejeitada - Apólice  - 7-Outros</v>
      </c>
      <c r="M155" s="2" t="s">
        <v>295</v>
      </c>
      <c r="O155" s="3">
        <v>57</v>
      </c>
      <c r="P155" s="3">
        <v>5705</v>
      </c>
      <c r="Q155" s="2" t="str">
        <f>[1]TEXTO!$A$1&amp;[1]Rejeição!L155&amp;[1]TEXTO!$B$1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55" s="12" t="s">
        <v>21</v>
      </c>
      <c r="S155" s="12" t="s">
        <v>21</v>
      </c>
      <c r="U155" s="2">
        <v>154</v>
      </c>
    </row>
    <row r="156" spans="1:21" x14ac:dyDescent="0.25">
      <c r="A156" s="1">
        <v>763709023</v>
      </c>
      <c r="B156" s="15">
        <v>45859</v>
      </c>
      <c r="C156" s="1" t="s">
        <v>7</v>
      </c>
      <c r="D156" s="1">
        <v>763709023</v>
      </c>
      <c r="G156" s="1" t="s">
        <v>18</v>
      </c>
      <c r="H156" s="1">
        <v>131260408</v>
      </c>
      <c r="I156" s="1">
        <v>0</v>
      </c>
      <c r="J156" s="12" t="s">
        <v>19</v>
      </c>
      <c r="K156" s="12" t="s">
        <v>20</v>
      </c>
      <c r="L156" s="16" t="str">
        <f t="shared" si="0"/>
        <v>Captura de parcela rejeitada - Apólice  - 7-Outros</v>
      </c>
      <c r="M156" s="2" t="s">
        <v>184</v>
      </c>
      <c r="O156" s="3">
        <v>57</v>
      </c>
      <c r="P156" s="3">
        <v>5705</v>
      </c>
      <c r="Q156" s="2" t="str">
        <f>[1]TEXTO!$A$1&amp;[1]Rejeição!L156&amp;[1]TEXTO!$B$1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56" s="12" t="s">
        <v>21</v>
      </c>
      <c r="S156" s="12" t="s">
        <v>21</v>
      </c>
      <c r="U156" s="12">
        <v>155</v>
      </c>
    </row>
    <row r="157" spans="1:21" x14ac:dyDescent="0.25">
      <c r="A157" s="1">
        <v>763984097</v>
      </c>
      <c r="B157" s="15">
        <v>45859</v>
      </c>
      <c r="C157" s="1" t="s">
        <v>7</v>
      </c>
      <c r="D157" s="1">
        <v>763984097</v>
      </c>
      <c r="G157" s="1" t="s">
        <v>18</v>
      </c>
      <c r="H157" s="1">
        <v>131267062</v>
      </c>
      <c r="I157" s="1">
        <v>0</v>
      </c>
      <c r="J157" s="12" t="s">
        <v>19</v>
      </c>
      <c r="K157" s="12" t="s">
        <v>20</v>
      </c>
      <c r="L157" s="16" t="str">
        <f t="shared" si="0"/>
        <v>Captura de parcela rejeitada - Apólice  - 7-Outros</v>
      </c>
      <c r="M157" s="2" t="s">
        <v>287</v>
      </c>
      <c r="O157" s="3">
        <v>57</v>
      </c>
      <c r="P157" s="3">
        <v>5705</v>
      </c>
      <c r="Q157" s="2" t="str">
        <f>[1]TEXTO!$A$1&amp;[1]Rejeição!L157&amp;[1]TEXTO!$B$1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57" s="12" t="s">
        <v>21</v>
      </c>
      <c r="S157" s="12" t="s">
        <v>21</v>
      </c>
      <c r="U157" s="2">
        <v>156</v>
      </c>
    </row>
    <row r="158" spans="1:21" x14ac:dyDescent="0.25">
      <c r="A158" s="1">
        <v>764032417</v>
      </c>
      <c r="B158" s="15">
        <v>45859</v>
      </c>
      <c r="C158" s="1" t="s">
        <v>7</v>
      </c>
      <c r="D158" s="1">
        <v>764032417</v>
      </c>
      <c r="G158" s="1" t="s">
        <v>18</v>
      </c>
      <c r="H158" s="1">
        <v>131267200</v>
      </c>
      <c r="I158" s="1">
        <v>0</v>
      </c>
      <c r="J158" s="12" t="s">
        <v>19</v>
      </c>
      <c r="K158" s="12" t="s">
        <v>20</v>
      </c>
      <c r="L158" s="16" t="str">
        <f t="shared" si="0"/>
        <v>Captura de parcela rejeitada - Apólice  - 7-Outros</v>
      </c>
      <c r="M158" s="2" t="s">
        <v>185</v>
      </c>
      <c r="O158" s="3">
        <v>57</v>
      </c>
      <c r="P158" s="3">
        <v>5705</v>
      </c>
      <c r="Q158" s="2" t="str">
        <f>[1]TEXTO!$A$1&amp;[1]Rejeição!L158&amp;[1]TEXTO!$B$1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58" s="12" t="s">
        <v>21</v>
      </c>
      <c r="S158" s="12" t="s">
        <v>21</v>
      </c>
      <c r="U158" s="12">
        <v>157</v>
      </c>
    </row>
    <row r="159" spans="1:21" x14ac:dyDescent="0.25">
      <c r="A159" s="1">
        <v>764149799</v>
      </c>
      <c r="B159" s="15">
        <v>45859</v>
      </c>
      <c r="C159" s="1" t="s">
        <v>7</v>
      </c>
      <c r="D159" s="1">
        <v>764149799</v>
      </c>
      <c r="G159" s="1" t="s">
        <v>18</v>
      </c>
      <c r="H159" s="1">
        <v>131270811</v>
      </c>
      <c r="I159" s="1">
        <v>0</v>
      </c>
      <c r="J159" s="12" t="s">
        <v>19</v>
      </c>
      <c r="K159" s="12" t="s">
        <v>20</v>
      </c>
      <c r="L159" s="16" t="str">
        <f t="shared" si="0"/>
        <v>Captura de parcela rejeitada - Apólice  - 7-Outros</v>
      </c>
      <c r="M159" s="2" t="s">
        <v>38</v>
      </c>
      <c r="O159" s="3">
        <v>57</v>
      </c>
      <c r="P159" s="3">
        <v>5705</v>
      </c>
      <c r="Q159" s="2" t="str">
        <f>[1]TEXTO!$A$1&amp;[1]Rejeição!L159&amp;[1]TEXTO!$B$1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59" s="12" t="s">
        <v>21</v>
      </c>
      <c r="S159" s="12" t="s">
        <v>21</v>
      </c>
      <c r="U159" s="2">
        <v>158</v>
      </c>
    </row>
    <row r="160" spans="1:21" x14ac:dyDescent="0.25">
      <c r="A160" s="1">
        <v>781293588</v>
      </c>
      <c r="B160" s="15">
        <v>45859</v>
      </c>
      <c r="C160" s="1" t="s">
        <v>7</v>
      </c>
      <c r="D160" s="1">
        <v>781293588</v>
      </c>
      <c r="G160" s="1" t="s">
        <v>18</v>
      </c>
      <c r="H160" s="1">
        <v>131562923</v>
      </c>
      <c r="I160" s="1">
        <v>0</v>
      </c>
      <c r="J160" s="12" t="s">
        <v>19</v>
      </c>
      <c r="K160" s="12" t="s">
        <v>20</v>
      </c>
      <c r="L160" s="16" t="str">
        <f t="shared" si="0"/>
        <v>Captura de parcela rejeitada - Apólice  - 7-Outros</v>
      </c>
      <c r="M160" s="2" t="s">
        <v>296</v>
      </c>
      <c r="O160" s="3">
        <v>57</v>
      </c>
      <c r="P160" s="3">
        <v>5705</v>
      </c>
      <c r="Q160" s="2" t="str">
        <f>[1]TEXTO!$A$1&amp;[1]Rejeição!L160&amp;[1]TEXTO!$B$1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60" s="12" t="s">
        <v>21</v>
      </c>
      <c r="S160" s="12" t="s">
        <v>21</v>
      </c>
      <c r="U160" s="12">
        <v>159</v>
      </c>
    </row>
    <row r="161" spans="1:21" x14ac:dyDescent="0.25">
      <c r="A161" s="1">
        <v>784362976</v>
      </c>
      <c r="B161" s="15">
        <v>45859</v>
      </c>
      <c r="C161" s="1" t="s">
        <v>7</v>
      </c>
      <c r="D161" s="1">
        <v>784362976</v>
      </c>
      <c r="G161" s="1" t="s">
        <v>18</v>
      </c>
      <c r="H161" s="1">
        <v>131596117</v>
      </c>
      <c r="I161" s="1">
        <v>0</v>
      </c>
      <c r="J161" s="12" t="s">
        <v>19</v>
      </c>
      <c r="K161" s="12" t="s">
        <v>20</v>
      </c>
      <c r="L161" s="16" t="str">
        <f t="shared" si="0"/>
        <v>Captura de parcela rejeitada - Apólice  - 7-Outros</v>
      </c>
      <c r="M161" s="2" t="s">
        <v>297</v>
      </c>
      <c r="O161" s="3">
        <v>57</v>
      </c>
      <c r="P161" s="3">
        <v>5705</v>
      </c>
      <c r="Q161" s="2" t="str">
        <f>[1]TEXTO!$A$1&amp;[1]Rejeição!L161&amp;[1]TEXTO!$B$1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61" s="12" t="s">
        <v>21</v>
      </c>
      <c r="S161" s="12" t="s">
        <v>21</v>
      </c>
      <c r="U161" s="2">
        <v>160</v>
      </c>
    </row>
    <row r="162" spans="1:21" x14ac:dyDescent="0.25">
      <c r="A162" s="1">
        <v>784631610</v>
      </c>
      <c r="B162" s="15">
        <v>45859</v>
      </c>
      <c r="C162" s="1" t="s">
        <v>7</v>
      </c>
      <c r="D162" s="1">
        <v>784631610</v>
      </c>
      <c r="G162" s="1" t="s">
        <v>18</v>
      </c>
      <c r="H162" s="1">
        <v>131622783</v>
      </c>
      <c r="I162" s="1">
        <v>0</v>
      </c>
      <c r="J162" s="12" t="s">
        <v>19</v>
      </c>
      <c r="K162" s="12" t="s">
        <v>20</v>
      </c>
      <c r="L162" s="16" t="str">
        <f t="shared" si="0"/>
        <v>Captura de parcela rejeitada - Apólice  - 7-Outros</v>
      </c>
      <c r="M162" s="2" t="s">
        <v>298</v>
      </c>
      <c r="O162" s="3">
        <v>57</v>
      </c>
      <c r="P162" s="3">
        <v>5705</v>
      </c>
      <c r="Q162" s="2" t="str">
        <f>[1]TEXTO!$A$1&amp;[1]Rejeição!L162&amp;[1]TEXTO!$B$1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62" s="12" t="s">
        <v>21</v>
      </c>
      <c r="S162" s="12" t="s">
        <v>21</v>
      </c>
      <c r="U162" s="12">
        <v>161</v>
      </c>
    </row>
    <row r="163" spans="1:21" x14ac:dyDescent="0.25">
      <c r="A163" s="1">
        <v>784648804</v>
      </c>
      <c r="B163" s="15">
        <v>45859</v>
      </c>
      <c r="C163" s="1" t="s">
        <v>7</v>
      </c>
      <c r="D163" s="1">
        <v>784648804</v>
      </c>
      <c r="G163" s="1" t="s">
        <v>18</v>
      </c>
      <c r="H163" s="1">
        <v>131623608</v>
      </c>
      <c r="I163" s="1">
        <v>0</v>
      </c>
      <c r="J163" s="12" t="s">
        <v>19</v>
      </c>
      <c r="K163" s="12" t="s">
        <v>20</v>
      </c>
      <c r="L163" s="16" t="str">
        <f t="shared" si="0"/>
        <v>Captura de parcela rejeitada - Apólice  - 7-Outros</v>
      </c>
      <c r="M163" s="2" t="s">
        <v>299</v>
      </c>
      <c r="O163" s="3">
        <v>57</v>
      </c>
      <c r="P163" s="3">
        <v>5705</v>
      </c>
      <c r="Q163" s="2" t="str">
        <f>[1]TEXTO!$A$1&amp;[1]Rejeição!L163&amp;[1]TEXTO!$B$1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63" s="12" t="s">
        <v>21</v>
      </c>
      <c r="S163" s="12" t="s">
        <v>21</v>
      </c>
      <c r="U163" s="2">
        <v>162</v>
      </c>
    </row>
    <row r="164" spans="1:21" x14ac:dyDescent="0.25">
      <c r="A164" s="1">
        <v>801699061</v>
      </c>
      <c r="B164" s="15">
        <v>45859</v>
      </c>
      <c r="C164" s="1" t="s">
        <v>7</v>
      </c>
      <c r="D164" s="1">
        <v>801699061</v>
      </c>
      <c r="G164" s="1" t="s">
        <v>18</v>
      </c>
      <c r="H164" s="1">
        <v>131901140</v>
      </c>
      <c r="I164" s="1">
        <v>0</v>
      </c>
      <c r="J164" s="12" t="s">
        <v>19</v>
      </c>
      <c r="K164" s="12" t="s">
        <v>20</v>
      </c>
      <c r="L164" s="16" t="str">
        <f t="shared" si="0"/>
        <v>Captura de parcela rejeitada - Apólice  - 7-Outros</v>
      </c>
      <c r="M164" s="2" t="s">
        <v>300</v>
      </c>
      <c r="O164" s="3">
        <v>57</v>
      </c>
      <c r="P164" s="3">
        <v>5705</v>
      </c>
      <c r="Q164" s="2" t="str">
        <f>[1]TEXTO!$A$1&amp;[1]Rejeição!L164&amp;[1]TEXTO!$B$1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64" s="12" t="s">
        <v>21</v>
      </c>
      <c r="S164" s="12" t="s">
        <v>21</v>
      </c>
      <c r="U164" s="12">
        <v>163</v>
      </c>
    </row>
    <row r="165" spans="1:21" x14ac:dyDescent="0.25">
      <c r="A165" s="1">
        <v>805563925</v>
      </c>
      <c r="B165" s="15">
        <v>45859</v>
      </c>
      <c r="C165" s="1" t="s">
        <v>7</v>
      </c>
      <c r="D165" s="1">
        <v>805563925</v>
      </c>
      <c r="G165" s="1" t="s">
        <v>18</v>
      </c>
      <c r="H165" s="1">
        <v>131975115</v>
      </c>
      <c r="I165" s="1">
        <v>0</v>
      </c>
      <c r="J165" s="12" t="s">
        <v>19</v>
      </c>
      <c r="K165" s="12" t="s">
        <v>20</v>
      </c>
      <c r="L165" s="16" t="str">
        <f t="shared" si="0"/>
        <v>Captura de parcela rejeitada - Apólice  - 7-Outros</v>
      </c>
      <c r="M165" s="2" t="s">
        <v>301</v>
      </c>
      <c r="O165" s="3">
        <v>57</v>
      </c>
      <c r="P165" s="3">
        <v>5705</v>
      </c>
      <c r="Q165" s="2" t="str">
        <f>[1]TEXTO!$A$1&amp;[1]Rejeição!L165&amp;[1]TEXTO!$B$1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65" s="12" t="s">
        <v>21</v>
      </c>
      <c r="S165" s="12" t="s">
        <v>21</v>
      </c>
      <c r="U165" s="2">
        <v>164</v>
      </c>
    </row>
    <row r="166" spans="1:21" x14ac:dyDescent="0.25">
      <c r="A166" s="1">
        <v>806563775</v>
      </c>
      <c r="B166" s="15">
        <v>45859</v>
      </c>
      <c r="C166" s="1" t="s">
        <v>7</v>
      </c>
      <c r="D166" s="1">
        <v>806563775</v>
      </c>
      <c r="G166" s="1" t="s">
        <v>18</v>
      </c>
      <c r="H166" s="1">
        <v>131976959</v>
      </c>
      <c r="I166" s="1">
        <v>0</v>
      </c>
      <c r="J166" s="12" t="s">
        <v>19</v>
      </c>
      <c r="K166" s="12" t="s">
        <v>20</v>
      </c>
      <c r="L166" s="16" t="str">
        <f t="shared" si="0"/>
        <v>Captura de parcela rejeitada - Apólice  - 7-Outros</v>
      </c>
      <c r="M166" s="2" t="s">
        <v>302</v>
      </c>
      <c r="O166" s="3">
        <v>57</v>
      </c>
      <c r="P166" s="3">
        <v>5705</v>
      </c>
      <c r="Q166" s="2" t="str">
        <f>[1]TEXTO!$A$1&amp;[1]Rejeição!L166&amp;[1]TEXTO!$B$1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66" s="12" t="s">
        <v>21</v>
      </c>
      <c r="S166" s="12" t="s">
        <v>21</v>
      </c>
      <c r="U166" s="12">
        <v>165</v>
      </c>
    </row>
    <row r="167" spans="1:21" x14ac:dyDescent="0.25">
      <c r="A167" s="1">
        <v>829854516</v>
      </c>
      <c r="B167" s="15">
        <v>45859</v>
      </c>
      <c r="C167" s="1" t="s">
        <v>7</v>
      </c>
      <c r="D167" s="1">
        <v>829854516</v>
      </c>
      <c r="G167" s="1" t="s">
        <v>18</v>
      </c>
      <c r="H167" s="1">
        <v>132381660</v>
      </c>
      <c r="I167" s="1">
        <v>0</v>
      </c>
      <c r="J167" s="12" t="s">
        <v>19</v>
      </c>
      <c r="K167" s="12" t="s">
        <v>20</v>
      </c>
      <c r="L167" s="16" t="str">
        <f t="shared" si="0"/>
        <v>Captura de parcela rejeitada - Apólice  - 7-Outros</v>
      </c>
      <c r="M167" s="2" t="s">
        <v>303</v>
      </c>
      <c r="O167" s="3">
        <v>57</v>
      </c>
      <c r="P167" s="3">
        <v>5705</v>
      </c>
      <c r="Q167" s="2" t="str">
        <f>[1]TEXTO!$A$1&amp;[1]Rejeição!L167&amp;[1]TEXTO!$B$1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67" s="12" t="s">
        <v>21</v>
      </c>
      <c r="S167" s="12" t="s">
        <v>21</v>
      </c>
      <c r="U167" s="2">
        <v>166</v>
      </c>
    </row>
    <row r="168" spans="1:21" x14ac:dyDescent="0.25">
      <c r="A168" s="1">
        <v>831415637</v>
      </c>
      <c r="B168" s="15">
        <v>45859</v>
      </c>
      <c r="C168" s="1" t="s">
        <v>7</v>
      </c>
      <c r="D168" s="1">
        <v>831415637</v>
      </c>
      <c r="G168" s="1" t="s">
        <v>18</v>
      </c>
      <c r="H168" s="1">
        <v>132409507</v>
      </c>
      <c r="I168" s="1">
        <v>0</v>
      </c>
      <c r="J168" s="12" t="s">
        <v>19</v>
      </c>
      <c r="K168" s="12" t="s">
        <v>20</v>
      </c>
      <c r="L168" s="16" t="str">
        <f t="shared" si="0"/>
        <v>Captura de parcela rejeitada - Apólice  - 7-Outros</v>
      </c>
      <c r="M168" s="2" t="s">
        <v>304</v>
      </c>
      <c r="O168" s="3">
        <v>57</v>
      </c>
      <c r="P168" s="3">
        <v>5705</v>
      </c>
      <c r="Q168" s="2" t="str">
        <f>[1]TEXTO!$A$1&amp;[1]Rejeição!L168&amp;[1]TEXTO!$B$1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68" s="12" t="s">
        <v>21</v>
      </c>
      <c r="S168" s="12" t="s">
        <v>21</v>
      </c>
      <c r="U168" s="12">
        <v>167</v>
      </c>
    </row>
    <row r="169" spans="1:21" x14ac:dyDescent="0.25">
      <c r="A169" s="1">
        <v>831918572</v>
      </c>
      <c r="B169" s="15">
        <v>45859</v>
      </c>
      <c r="C169" s="1" t="s">
        <v>7</v>
      </c>
      <c r="D169" s="1">
        <v>831918572</v>
      </c>
      <c r="G169" s="1" t="s">
        <v>18</v>
      </c>
      <c r="H169" s="1">
        <v>132401326</v>
      </c>
      <c r="I169" s="1">
        <v>0</v>
      </c>
      <c r="J169" s="12" t="s">
        <v>19</v>
      </c>
      <c r="K169" s="12" t="s">
        <v>20</v>
      </c>
      <c r="L169" s="16" t="str">
        <f t="shared" si="0"/>
        <v>Captura de parcela rejeitada - Apólice  - 7-Outros</v>
      </c>
      <c r="M169" s="2" t="s">
        <v>305</v>
      </c>
      <c r="O169" s="3">
        <v>57</v>
      </c>
      <c r="P169" s="3">
        <v>5705</v>
      </c>
      <c r="Q169" s="2" t="str">
        <f>[1]TEXTO!$A$1&amp;[1]Rejeição!L169&amp;[1]TEXTO!$B$1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69" s="12" t="s">
        <v>21</v>
      </c>
      <c r="S169" s="12" t="s">
        <v>21</v>
      </c>
      <c r="U169" s="2">
        <v>168</v>
      </c>
    </row>
    <row r="170" spans="1:21" x14ac:dyDescent="0.25">
      <c r="A170" s="1">
        <v>831923150</v>
      </c>
      <c r="B170" s="15">
        <v>45859</v>
      </c>
      <c r="C170" s="1" t="s">
        <v>7</v>
      </c>
      <c r="D170" s="1">
        <v>831923150</v>
      </c>
      <c r="G170" s="1" t="s">
        <v>18</v>
      </c>
      <c r="H170" s="1">
        <v>132400557</v>
      </c>
      <c r="I170" s="1">
        <v>0</v>
      </c>
      <c r="J170" s="12" t="s">
        <v>19</v>
      </c>
      <c r="K170" s="12" t="s">
        <v>20</v>
      </c>
      <c r="L170" s="16" t="str">
        <f t="shared" si="0"/>
        <v>Captura de parcela rejeitada - Apólice  - 7-Outros</v>
      </c>
      <c r="M170" s="2" t="s">
        <v>306</v>
      </c>
      <c r="O170" s="3">
        <v>57</v>
      </c>
      <c r="P170" s="3">
        <v>5705</v>
      </c>
      <c r="Q170" s="2" t="str">
        <f>[1]TEXTO!$A$1&amp;[1]Rejeição!L170&amp;[1]TEXTO!$B$1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70" s="12" t="s">
        <v>21</v>
      </c>
      <c r="S170" s="12" t="s">
        <v>21</v>
      </c>
      <c r="U170" s="12">
        <v>169</v>
      </c>
    </row>
    <row r="171" spans="1:21" x14ac:dyDescent="0.25">
      <c r="A171" s="1">
        <v>832075554</v>
      </c>
      <c r="B171" s="15">
        <v>45859</v>
      </c>
      <c r="C171" s="1" t="s">
        <v>7</v>
      </c>
      <c r="D171" s="1">
        <v>832075554</v>
      </c>
      <c r="G171" s="1" t="s">
        <v>18</v>
      </c>
      <c r="H171" s="1">
        <v>132417993</v>
      </c>
      <c r="I171" s="1">
        <v>0</v>
      </c>
      <c r="J171" s="12" t="s">
        <v>19</v>
      </c>
      <c r="K171" s="12" t="s">
        <v>20</v>
      </c>
      <c r="L171" s="16" t="str">
        <f t="shared" si="0"/>
        <v>Captura de parcela rejeitada - Apólice  - 7-Outros</v>
      </c>
      <c r="M171" s="2" t="s">
        <v>307</v>
      </c>
      <c r="O171" s="3">
        <v>57</v>
      </c>
      <c r="P171" s="3">
        <v>5705</v>
      </c>
      <c r="Q171" s="2" t="str">
        <f>[1]TEXTO!$A$1&amp;[1]Rejeição!L171&amp;[1]TEXTO!$B$1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71" s="12" t="s">
        <v>21</v>
      </c>
      <c r="S171" s="12" t="s">
        <v>21</v>
      </c>
      <c r="U171" s="2">
        <v>170</v>
      </c>
    </row>
    <row r="172" spans="1:21" x14ac:dyDescent="0.25">
      <c r="A172" s="1">
        <v>832305449</v>
      </c>
      <c r="B172" s="15">
        <v>45859</v>
      </c>
      <c r="C172" s="1" t="s">
        <v>7</v>
      </c>
      <c r="D172" s="1">
        <v>832305449</v>
      </c>
      <c r="G172" s="1" t="s">
        <v>18</v>
      </c>
      <c r="H172" s="1">
        <v>132424177</v>
      </c>
      <c r="I172" s="1">
        <v>0</v>
      </c>
      <c r="J172" s="12" t="s">
        <v>19</v>
      </c>
      <c r="K172" s="12" t="s">
        <v>20</v>
      </c>
      <c r="L172" s="16" t="str">
        <f t="shared" si="0"/>
        <v>Captura de parcela rejeitada - Apólice  - 7-Outros</v>
      </c>
      <c r="M172" s="2" t="s">
        <v>308</v>
      </c>
      <c r="O172" s="3">
        <v>57</v>
      </c>
      <c r="P172" s="3">
        <v>5705</v>
      </c>
      <c r="Q172" s="2" t="str">
        <f>[1]TEXTO!$A$1&amp;[1]Rejeição!L172&amp;[1]TEXTO!$B$1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72" s="12" t="s">
        <v>21</v>
      </c>
      <c r="S172" s="12" t="s">
        <v>21</v>
      </c>
      <c r="U172" s="12">
        <v>171</v>
      </c>
    </row>
    <row r="173" spans="1:21" x14ac:dyDescent="0.25">
      <c r="A173" s="1">
        <v>832360311</v>
      </c>
      <c r="B173" s="15">
        <v>45859</v>
      </c>
      <c r="C173" s="1" t="s">
        <v>7</v>
      </c>
      <c r="D173" s="1">
        <v>832360311</v>
      </c>
      <c r="G173" s="1" t="s">
        <v>18</v>
      </c>
      <c r="H173" s="1">
        <v>132424411</v>
      </c>
      <c r="I173" s="1">
        <v>0</v>
      </c>
      <c r="J173" s="12" t="s">
        <v>19</v>
      </c>
      <c r="K173" s="12" t="s">
        <v>20</v>
      </c>
      <c r="L173" s="16" t="str">
        <f t="shared" si="0"/>
        <v>Captura de parcela rejeitada - Apólice  - 7-Outros</v>
      </c>
      <c r="M173" s="2" t="s">
        <v>171</v>
      </c>
      <c r="O173" s="3">
        <v>57</v>
      </c>
      <c r="P173" s="3">
        <v>5705</v>
      </c>
      <c r="Q173" s="2" t="str">
        <f>[1]TEXTO!$A$1&amp;[1]Rejeição!L173&amp;[1]TEXTO!$B$1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73" s="12" t="s">
        <v>21</v>
      </c>
      <c r="S173" s="12" t="s">
        <v>21</v>
      </c>
      <c r="U173" s="2">
        <v>172</v>
      </c>
    </row>
    <row r="174" spans="1:21" x14ac:dyDescent="0.25">
      <c r="A174" s="1">
        <v>832778207</v>
      </c>
      <c r="B174" s="15">
        <v>45859</v>
      </c>
      <c r="C174" s="1" t="s">
        <v>7</v>
      </c>
      <c r="D174" s="1">
        <v>832778207</v>
      </c>
      <c r="G174" s="1" t="s">
        <v>18</v>
      </c>
      <c r="H174" s="1">
        <v>132415359</v>
      </c>
      <c r="I174" s="1">
        <v>0</v>
      </c>
      <c r="J174" s="12" t="s">
        <v>19</v>
      </c>
      <c r="K174" s="12" t="s">
        <v>20</v>
      </c>
      <c r="L174" s="16" t="str">
        <f t="shared" si="0"/>
        <v>Captura de parcela rejeitada - Apólice  - 7-Outros</v>
      </c>
      <c r="M174" s="2" t="s">
        <v>309</v>
      </c>
      <c r="O174" s="3">
        <v>57</v>
      </c>
      <c r="P174" s="3">
        <v>5705</v>
      </c>
      <c r="Q174" s="2" t="str">
        <f>[1]TEXTO!$A$1&amp;[1]Rejeição!L174&amp;[1]TEXTO!$B$1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74" s="12" t="s">
        <v>21</v>
      </c>
      <c r="S174" s="12" t="s">
        <v>21</v>
      </c>
      <c r="U174" s="12">
        <v>173</v>
      </c>
    </row>
    <row r="175" spans="1:21" x14ac:dyDescent="0.25">
      <c r="A175" s="1">
        <v>850397450</v>
      </c>
      <c r="B175" s="15">
        <v>45859</v>
      </c>
      <c r="C175" s="1" t="s">
        <v>7</v>
      </c>
      <c r="D175" s="1">
        <v>850397450</v>
      </c>
      <c r="G175" s="1" t="s">
        <v>18</v>
      </c>
      <c r="H175" s="1">
        <v>132740696</v>
      </c>
      <c r="I175" s="1">
        <v>0</v>
      </c>
      <c r="J175" s="12" t="s">
        <v>19</v>
      </c>
      <c r="K175" s="12" t="s">
        <v>20</v>
      </c>
      <c r="L175" s="16" t="str">
        <f t="shared" si="0"/>
        <v>Captura de parcela rejeitada - Apólice  - 7-Outros</v>
      </c>
      <c r="M175" s="2" t="s">
        <v>310</v>
      </c>
      <c r="O175" s="3">
        <v>57</v>
      </c>
      <c r="P175" s="3">
        <v>5705</v>
      </c>
      <c r="Q175" s="2" t="str">
        <f>[1]TEXTO!$A$1&amp;[1]Rejeição!L175&amp;[1]TEXTO!$B$1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75" s="12" t="s">
        <v>21</v>
      </c>
      <c r="S175" s="12" t="s">
        <v>21</v>
      </c>
      <c r="U175" s="2">
        <v>174</v>
      </c>
    </row>
    <row r="176" spans="1:21" x14ac:dyDescent="0.25">
      <c r="A176" s="1">
        <v>858162559</v>
      </c>
      <c r="B176" s="15">
        <v>45859</v>
      </c>
      <c r="C176" s="1" t="s">
        <v>7</v>
      </c>
      <c r="D176" s="1">
        <v>858162559</v>
      </c>
      <c r="G176" s="1" t="s">
        <v>18</v>
      </c>
      <c r="H176" s="1">
        <v>132880789</v>
      </c>
      <c r="I176" s="1">
        <v>0</v>
      </c>
      <c r="J176" s="12" t="s">
        <v>19</v>
      </c>
      <c r="K176" s="12" t="s">
        <v>20</v>
      </c>
      <c r="L176" s="16" t="str">
        <f t="shared" si="0"/>
        <v>Captura de parcela rejeitada - Apólice  - 7-Outros</v>
      </c>
      <c r="M176" s="2" t="s">
        <v>171</v>
      </c>
      <c r="O176" s="3">
        <v>57</v>
      </c>
      <c r="P176" s="3">
        <v>5705</v>
      </c>
      <c r="Q176" s="2" t="str">
        <f>[1]TEXTO!$A$1&amp;[1]Rejeição!L176&amp;[1]TEXTO!$B$1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76" s="12" t="s">
        <v>21</v>
      </c>
      <c r="S176" s="12" t="s">
        <v>21</v>
      </c>
      <c r="U176" s="12">
        <v>175</v>
      </c>
    </row>
    <row r="177" spans="1:21" x14ac:dyDescent="0.25">
      <c r="A177" s="1">
        <v>858183506</v>
      </c>
      <c r="B177" s="15">
        <v>45859</v>
      </c>
      <c r="C177" s="1" t="s">
        <v>7</v>
      </c>
      <c r="D177" s="1">
        <v>858183506</v>
      </c>
      <c r="G177" s="1" t="s">
        <v>18</v>
      </c>
      <c r="H177" s="1">
        <v>132812265</v>
      </c>
      <c r="I177" s="1">
        <v>0</v>
      </c>
      <c r="J177" s="12" t="s">
        <v>19</v>
      </c>
      <c r="K177" s="12" t="s">
        <v>20</v>
      </c>
      <c r="L177" s="16" t="str">
        <f t="shared" si="0"/>
        <v>Captura de parcela rejeitada - Apólice  - 7-Outros</v>
      </c>
      <c r="M177" s="2" t="s">
        <v>311</v>
      </c>
      <c r="O177" s="3">
        <v>57</v>
      </c>
      <c r="P177" s="3">
        <v>5705</v>
      </c>
      <c r="Q177" s="2" t="str">
        <f>[1]TEXTO!$A$1&amp;[1]Rejeição!L177&amp;[1]TEXTO!$B$1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77" s="12" t="s">
        <v>21</v>
      </c>
      <c r="S177" s="12" t="s">
        <v>21</v>
      </c>
      <c r="U177" s="2">
        <v>176</v>
      </c>
    </row>
    <row r="178" spans="1:21" x14ac:dyDescent="0.25">
      <c r="A178" s="1">
        <v>663036956</v>
      </c>
      <c r="B178" s="15">
        <v>45859</v>
      </c>
      <c r="C178" s="1" t="s">
        <v>7</v>
      </c>
      <c r="D178" s="1">
        <v>663036956</v>
      </c>
      <c r="G178" s="1" t="s">
        <v>18</v>
      </c>
      <c r="H178" s="1">
        <v>129489219</v>
      </c>
      <c r="I178" s="1">
        <v>0</v>
      </c>
      <c r="J178" s="12" t="s">
        <v>19</v>
      </c>
      <c r="K178" s="12" t="s">
        <v>20</v>
      </c>
      <c r="L178" s="16" t="str">
        <f t="shared" si="0"/>
        <v>Captura de parcela rejeitada - Apólice  - 7-Outros</v>
      </c>
      <c r="M178" s="2" t="s">
        <v>312</v>
      </c>
      <c r="O178" s="3">
        <v>57</v>
      </c>
      <c r="P178" s="3">
        <v>5705</v>
      </c>
      <c r="Q178" s="2" t="str">
        <f>[1]TEXTO!$A$1&amp;[1]Rejeição!L178&amp;[1]TEXTO!$B$1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78" s="12" t="s">
        <v>21</v>
      </c>
      <c r="S178" s="12" t="s">
        <v>21</v>
      </c>
      <c r="U178" s="12">
        <v>177</v>
      </c>
    </row>
    <row r="179" spans="1:21" x14ac:dyDescent="0.25">
      <c r="A179" s="1">
        <v>669289286</v>
      </c>
      <c r="B179" s="15">
        <v>45859</v>
      </c>
      <c r="C179" s="1" t="s">
        <v>7</v>
      </c>
      <c r="D179" s="1">
        <v>669289286</v>
      </c>
      <c r="G179" s="1" t="s">
        <v>18</v>
      </c>
      <c r="H179" s="1">
        <v>129592785</v>
      </c>
      <c r="I179" s="1">
        <v>0</v>
      </c>
      <c r="J179" s="12" t="s">
        <v>19</v>
      </c>
      <c r="K179" s="12" t="s">
        <v>20</v>
      </c>
      <c r="L179" s="16" t="str">
        <f t="shared" si="0"/>
        <v>Captura de parcela rejeitada - Apólice  - 7-Outros</v>
      </c>
      <c r="M179" s="2" t="s">
        <v>209</v>
      </c>
      <c r="O179" s="3">
        <v>57</v>
      </c>
      <c r="P179" s="3">
        <v>5705</v>
      </c>
      <c r="Q179" s="2" t="str">
        <f>[1]TEXTO!$A$1&amp;[1]Rejeição!L179&amp;[1]TEXTO!$B$1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79" s="12" t="s">
        <v>21</v>
      </c>
      <c r="S179" s="12" t="s">
        <v>21</v>
      </c>
      <c r="U179" s="2">
        <v>178</v>
      </c>
    </row>
    <row r="180" spans="1:21" x14ac:dyDescent="0.25">
      <c r="A180" s="1">
        <v>670366610</v>
      </c>
      <c r="B180" s="15">
        <v>45859</v>
      </c>
      <c r="C180" s="1" t="s">
        <v>7</v>
      </c>
      <c r="D180" s="1">
        <v>670366610</v>
      </c>
      <c r="G180" s="1" t="s">
        <v>18</v>
      </c>
      <c r="H180" s="1">
        <v>129624226</v>
      </c>
      <c r="I180" s="1">
        <v>0</v>
      </c>
      <c r="J180" s="12" t="s">
        <v>19</v>
      </c>
      <c r="K180" s="12" t="s">
        <v>20</v>
      </c>
      <c r="L180" s="16" t="str">
        <f t="shared" si="0"/>
        <v>Captura de parcela rejeitada - Apólice  - 7-Outros</v>
      </c>
      <c r="M180" s="2" t="s">
        <v>313</v>
      </c>
      <c r="O180" s="3">
        <v>57</v>
      </c>
      <c r="P180" s="3">
        <v>5705</v>
      </c>
      <c r="Q180" s="2" t="str">
        <f>[1]TEXTO!$A$1&amp;[1]Rejeição!L180&amp;[1]TEXTO!$B$1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80" s="12" t="s">
        <v>21</v>
      </c>
      <c r="S180" s="12" t="s">
        <v>21</v>
      </c>
      <c r="U180" s="12">
        <v>179</v>
      </c>
    </row>
    <row r="181" spans="1:21" x14ac:dyDescent="0.25">
      <c r="A181" s="1">
        <v>670516099</v>
      </c>
      <c r="B181" s="15">
        <v>45859</v>
      </c>
      <c r="C181" s="1" t="s">
        <v>7</v>
      </c>
      <c r="D181" s="1">
        <v>670516099</v>
      </c>
      <c r="G181" s="1" t="s">
        <v>18</v>
      </c>
      <c r="H181" s="1">
        <v>129627278</v>
      </c>
      <c r="I181" s="1">
        <v>0</v>
      </c>
      <c r="J181" s="12" t="s">
        <v>19</v>
      </c>
      <c r="K181" s="12" t="s">
        <v>20</v>
      </c>
      <c r="L181" s="16" t="str">
        <f t="shared" si="0"/>
        <v>Captura de parcela rejeitada - Apólice  - 7-Outros</v>
      </c>
      <c r="M181" s="2" t="s">
        <v>293</v>
      </c>
      <c r="O181" s="3">
        <v>57</v>
      </c>
      <c r="P181" s="3">
        <v>5705</v>
      </c>
      <c r="Q181" s="2" t="str">
        <f>[1]TEXTO!$A$1&amp;[1]Rejeição!L181&amp;[1]TEXTO!$B$1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81" s="12" t="s">
        <v>21</v>
      </c>
      <c r="S181" s="12" t="s">
        <v>21</v>
      </c>
      <c r="U181" s="2">
        <v>180</v>
      </c>
    </row>
    <row r="182" spans="1:21" x14ac:dyDescent="0.25">
      <c r="A182" s="1">
        <v>671491730</v>
      </c>
      <c r="B182" s="15">
        <v>45859</v>
      </c>
      <c r="C182" s="1" t="s">
        <v>7</v>
      </c>
      <c r="D182" s="1">
        <v>671491730</v>
      </c>
      <c r="G182" s="1" t="s">
        <v>18</v>
      </c>
      <c r="H182" s="1">
        <v>129640740</v>
      </c>
      <c r="I182" s="1">
        <v>0</v>
      </c>
      <c r="J182" s="12" t="s">
        <v>19</v>
      </c>
      <c r="K182" s="12" t="s">
        <v>20</v>
      </c>
      <c r="L182" s="16" t="str">
        <f t="shared" si="0"/>
        <v>Captura de parcela rejeitada - Apólice  - 7-Outros</v>
      </c>
      <c r="M182" s="2" t="s">
        <v>216</v>
      </c>
      <c r="O182" s="3">
        <v>57</v>
      </c>
      <c r="P182" s="3">
        <v>5705</v>
      </c>
      <c r="Q182" s="2" t="str">
        <f>[1]TEXTO!$A$1&amp;[1]Rejeição!L182&amp;[1]TEXTO!$B$1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82" s="12" t="s">
        <v>21</v>
      </c>
      <c r="S182" s="12" t="s">
        <v>21</v>
      </c>
      <c r="U182" s="12">
        <v>181</v>
      </c>
    </row>
    <row r="183" spans="1:21" x14ac:dyDescent="0.25">
      <c r="A183" s="1">
        <v>671507816</v>
      </c>
      <c r="B183" s="15">
        <v>45859</v>
      </c>
      <c r="C183" s="1" t="s">
        <v>7</v>
      </c>
      <c r="D183" s="1">
        <v>671507816</v>
      </c>
      <c r="G183" s="1" t="s">
        <v>18</v>
      </c>
      <c r="H183" s="1">
        <v>129639614</v>
      </c>
      <c r="I183" s="1">
        <v>0</v>
      </c>
      <c r="J183" s="12" t="s">
        <v>19</v>
      </c>
      <c r="K183" s="12" t="s">
        <v>20</v>
      </c>
      <c r="L183" s="16" t="str">
        <f t="shared" si="0"/>
        <v>Captura de parcela rejeitada - Apólice  - 7-Outros</v>
      </c>
      <c r="M183" s="2" t="s">
        <v>314</v>
      </c>
      <c r="O183" s="3">
        <v>57</v>
      </c>
      <c r="P183" s="3">
        <v>5705</v>
      </c>
      <c r="Q183" s="2" t="str">
        <f>[1]TEXTO!$A$1&amp;[1]Rejeição!L183&amp;[1]TEXTO!$B$1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83" s="12" t="s">
        <v>21</v>
      </c>
      <c r="S183" s="12" t="s">
        <v>21</v>
      </c>
      <c r="U183" s="2">
        <v>182</v>
      </c>
    </row>
    <row r="184" spans="1:21" x14ac:dyDescent="0.25">
      <c r="A184" s="1">
        <v>685095360</v>
      </c>
      <c r="B184" s="15">
        <v>45859</v>
      </c>
      <c r="C184" s="1" t="s">
        <v>7</v>
      </c>
      <c r="D184" s="1">
        <v>685095360</v>
      </c>
      <c r="G184" s="1" t="s">
        <v>18</v>
      </c>
      <c r="H184" s="1">
        <v>129865440</v>
      </c>
      <c r="I184" s="1">
        <v>0</v>
      </c>
      <c r="J184" s="12" t="s">
        <v>19</v>
      </c>
      <c r="K184" s="12" t="s">
        <v>20</v>
      </c>
      <c r="L184" s="16" t="str">
        <f t="shared" si="0"/>
        <v>Captura de parcela rejeitada - Apólice  - 7-Outros</v>
      </c>
      <c r="M184" s="2" t="s">
        <v>315</v>
      </c>
      <c r="O184" s="3">
        <v>57</v>
      </c>
      <c r="P184" s="3">
        <v>5705</v>
      </c>
      <c r="Q184" s="2" t="str">
        <f>[1]TEXTO!$A$1&amp;[1]Rejeição!L184&amp;[1]TEXTO!$B$1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84" s="12" t="s">
        <v>21</v>
      </c>
      <c r="S184" s="12" t="s">
        <v>21</v>
      </c>
      <c r="U184" s="12">
        <v>183</v>
      </c>
    </row>
    <row r="185" spans="1:21" x14ac:dyDescent="0.25">
      <c r="A185" s="1">
        <v>694830922</v>
      </c>
      <c r="B185" s="15">
        <v>45859</v>
      </c>
      <c r="C185" s="1" t="s">
        <v>7</v>
      </c>
      <c r="D185" s="1">
        <v>694830922</v>
      </c>
      <c r="G185" s="1" t="s">
        <v>18</v>
      </c>
      <c r="H185" s="1">
        <v>130058126</v>
      </c>
      <c r="I185" s="1">
        <v>0</v>
      </c>
      <c r="J185" s="12" t="s">
        <v>19</v>
      </c>
      <c r="K185" s="12" t="s">
        <v>20</v>
      </c>
      <c r="L185" s="16" t="str">
        <f t="shared" si="0"/>
        <v>Captura de parcela rejeitada - Apólice  - 7-Outros</v>
      </c>
      <c r="M185" s="2" t="s">
        <v>316</v>
      </c>
      <c r="O185" s="3">
        <v>57</v>
      </c>
      <c r="P185" s="3">
        <v>5705</v>
      </c>
      <c r="Q185" s="2" t="str">
        <f>[1]TEXTO!$A$1&amp;[1]Rejeição!L185&amp;[1]TEXTO!$B$1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85" s="12" t="s">
        <v>21</v>
      </c>
      <c r="S185" s="12" t="s">
        <v>21</v>
      </c>
      <c r="U185" s="2">
        <v>184</v>
      </c>
    </row>
    <row r="186" spans="1:21" x14ac:dyDescent="0.25">
      <c r="A186" s="1">
        <v>694985114</v>
      </c>
      <c r="B186" s="15">
        <v>45859</v>
      </c>
      <c r="C186" s="1" t="s">
        <v>7</v>
      </c>
      <c r="D186" s="1">
        <v>694985114</v>
      </c>
      <c r="G186" s="1" t="s">
        <v>18</v>
      </c>
      <c r="H186" s="1">
        <v>130039690</v>
      </c>
      <c r="I186" s="1">
        <v>0</v>
      </c>
      <c r="J186" s="12" t="s">
        <v>19</v>
      </c>
      <c r="K186" s="12" t="s">
        <v>20</v>
      </c>
      <c r="L186" s="16" t="str">
        <f t="shared" ref="L186:L249" si="1">CONCATENATE("Captura de parcela rejeitada - Apólice ",E186," - ",K186)</f>
        <v>Captura de parcela rejeitada - Apólice  - 7-Outros</v>
      </c>
      <c r="M186" s="2" t="s">
        <v>317</v>
      </c>
      <c r="O186" s="3">
        <v>57</v>
      </c>
      <c r="P186" s="3">
        <v>5705</v>
      </c>
      <c r="Q186" s="2" t="str">
        <f>[1]TEXTO!$A$1&amp;[1]Rejeição!L186&amp;[1]TEXTO!$B$1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86" s="12" t="s">
        <v>21</v>
      </c>
      <c r="S186" s="12" t="s">
        <v>21</v>
      </c>
      <c r="U186" s="12">
        <v>185</v>
      </c>
    </row>
    <row r="187" spans="1:21" x14ac:dyDescent="0.25">
      <c r="A187" s="1">
        <v>694993241</v>
      </c>
      <c r="B187" s="15">
        <v>45859</v>
      </c>
      <c r="C187" s="1" t="s">
        <v>7</v>
      </c>
      <c r="D187" s="1">
        <v>694993241</v>
      </c>
      <c r="G187" s="1" t="s">
        <v>18</v>
      </c>
      <c r="H187" s="1">
        <v>130038981</v>
      </c>
      <c r="I187" s="1">
        <v>0</v>
      </c>
      <c r="J187" s="12" t="s">
        <v>19</v>
      </c>
      <c r="K187" s="12" t="s">
        <v>20</v>
      </c>
      <c r="L187" s="16" t="str">
        <f t="shared" si="1"/>
        <v>Captura de parcela rejeitada - Apólice  - 7-Outros</v>
      </c>
      <c r="M187" s="2" t="s">
        <v>318</v>
      </c>
      <c r="O187" s="3">
        <v>57</v>
      </c>
      <c r="P187" s="3">
        <v>5705</v>
      </c>
      <c r="Q187" s="2" t="str">
        <f>[1]TEXTO!$A$1&amp;[1]Rejeição!L187&amp;[1]TEXTO!$B$1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87" s="12" t="s">
        <v>21</v>
      </c>
      <c r="S187" s="12" t="s">
        <v>21</v>
      </c>
      <c r="U187" s="2">
        <v>186</v>
      </c>
    </row>
    <row r="188" spans="1:21" x14ac:dyDescent="0.25">
      <c r="A188" s="1">
        <v>695115638</v>
      </c>
      <c r="B188" s="15">
        <v>45859</v>
      </c>
      <c r="C188" s="1" t="s">
        <v>7</v>
      </c>
      <c r="D188" s="1">
        <v>695115638</v>
      </c>
      <c r="G188" s="1" t="s">
        <v>18</v>
      </c>
      <c r="H188" s="1">
        <v>130033710</v>
      </c>
      <c r="I188" s="1">
        <v>0</v>
      </c>
      <c r="J188" s="12" t="s">
        <v>19</v>
      </c>
      <c r="K188" s="12" t="s">
        <v>20</v>
      </c>
      <c r="L188" s="16" t="str">
        <f t="shared" si="1"/>
        <v>Captura de parcela rejeitada - Apólice  - 7-Outros</v>
      </c>
      <c r="M188" s="2" t="s">
        <v>178</v>
      </c>
      <c r="O188" s="3">
        <v>57</v>
      </c>
      <c r="P188" s="3">
        <v>5705</v>
      </c>
      <c r="Q188" s="2" t="str">
        <f>[1]TEXTO!$A$1&amp;[1]Rejeição!L188&amp;[1]TEXTO!$B$1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88" s="12" t="s">
        <v>21</v>
      </c>
      <c r="S188" s="12" t="s">
        <v>21</v>
      </c>
      <c r="U188" s="12">
        <v>187</v>
      </c>
    </row>
    <row r="189" spans="1:21" x14ac:dyDescent="0.25">
      <c r="A189" s="1">
        <v>695365803</v>
      </c>
      <c r="B189" s="15">
        <v>45859</v>
      </c>
      <c r="C189" s="1" t="s">
        <v>7</v>
      </c>
      <c r="D189" s="1">
        <v>695365803</v>
      </c>
      <c r="G189" s="1" t="s">
        <v>18</v>
      </c>
      <c r="H189" s="1">
        <v>130059480</v>
      </c>
      <c r="I189" s="1">
        <v>0</v>
      </c>
      <c r="J189" s="12" t="s">
        <v>19</v>
      </c>
      <c r="K189" s="12" t="s">
        <v>20</v>
      </c>
      <c r="L189" s="16" t="str">
        <f t="shared" si="1"/>
        <v>Captura de parcela rejeitada - Apólice  - 7-Outros</v>
      </c>
      <c r="M189" s="2" t="s">
        <v>319</v>
      </c>
      <c r="O189" s="3">
        <v>57</v>
      </c>
      <c r="P189" s="3">
        <v>5705</v>
      </c>
      <c r="Q189" s="2" t="str">
        <f>[1]TEXTO!$A$1&amp;[1]Rejeição!L189&amp;[1]TEXTO!$B$1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89" s="12" t="s">
        <v>21</v>
      </c>
      <c r="S189" s="12" t="s">
        <v>21</v>
      </c>
      <c r="U189" s="2">
        <v>188</v>
      </c>
    </row>
    <row r="190" spans="1:21" x14ac:dyDescent="0.25">
      <c r="A190" s="1">
        <v>714428731</v>
      </c>
      <c r="B190" s="15">
        <v>45859</v>
      </c>
      <c r="C190" s="1" t="s">
        <v>7</v>
      </c>
      <c r="D190" s="1">
        <v>714428731</v>
      </c>
      <c r="G190" s="1" t="s">
        <v>18</v>
      </c>
      <c r="H190" s="1">
        <v>130382847</v>
      </c>
      <c r="I190" s="1">
        <v>0</v>
      </c>
      <c r="J190" s="12" t="s">
        <v>19</v>
      </c>
      <c r="K190" s="12" t="s">
        <v>20</v>
      </c>
      <c r="L190" s="16" t="str">
        <f t="shared" si="1"/>
        <v>Captura de parcela rejeitada - Apólice  - 7-Outros</v>
      </c>
      <c r="M190" s="2" t="s">
        <v>274</v>
      </c>
      <c r="O190" s="3">
        <v>57</v>
      </c>
      <c r="P190" s="3">
        <v>5705</v>
      </c>
      <c r="Q190" s="2" t="str">
        <f>[1]TEXTO!$A$1&amp;[1]Rejeição!L190&amp;[1]TEXTO!$B$1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90" s="12" t="s">
        <v>21</v>
      </c>
      <c r="S190" s="12" t="s">
        <v>21</v>
      </c>
      <c r="U190" s="12">
        <v>189</v>
      </c>
    </row>
    <row r="191" spans="1:21" x14ac:dyDescent="0.25">
      <c r="A191" s="1">
        <v>715903492</v>
      </c>
      <c r="B191" s="15">
        <v>45859</v>
      </c>
      <c r="C191" s="1" t="s">
        <v>7</v>
      </c>
      <c r="D191" s="1">
        <v>715903492</v>
      </c>
      <c r="G191" s="1" t="s">
        <v>18</v>
      </c>
      <c r="H191" s="1">
        <v>130415903</v>
      </c>
      <c r="I191" s="1">
        <v>0</v>
      </c>
      <c r="J191" s="12" t="s">
        <v>19</v>
      </c>
      <c r="K191" s="12" t="s">
        <v>20</v>
      </c>
      <c r="L191" s="16" t="str">
        <f t="shared" si="1"/>
        <v>Captura de parcela rejeitada - Apólice  - 7-Outros</v>
      </c>
      <c r="M191" s="2" t="s">
        <v>320</v>
      </c>
      <c r="O191" s="3">
        <v>57</v>
      </c>
      <c r="P191" s="3">
        <v>5705</v>
      </c>
      <c r="Q191" s="2" t="str">
        <f>[1]TEXTO!$A$1&amp;[1]Rejeição!L191&amp;[1]TEXTO!$B$1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91" s="12" t="s">
        <v>21</v>
      </c>
      <c r="S191" s="12" t="s">
        <v>21</v>
      </c>
      <c r="U191" s="2">
        <v>190</v>
      </c>
    </row>
    <row r="192" spans="1:21" x14ac:dyDescent="0.25">
      <c r="A192" s="1">
        <v>716861210</v>
      </c>
      <c r="B192" s="15">
        <v>45859</v>
      </c>
      <c r="C192" s="1" t="s">
        <v>7</v>
      </c>
      <c r="D192" s="1">
        <v>716861210</v>
      </c>
      <c r="G192" s="1" t="s">
        <v>18</v>
      </c>
      <c r="H192" s="1">
        <v>130438896</v>
      </c>
      <c r="I192" s="1">
        <v>0</v>
      </c>
      <c r="J192" s="12" t="s">
        <v>19</v>
      </c>
      <c r="K192" s="12" t="s">
        <v>20</v>
      </c>
      <c r="L192" s="16" t="str">
        <f t="shared" si="1"/>
        <v>Captura de parcela rejeitada - Apólice  - 7-Outros</v>
      </c>
      <c r="M192" s="2" t="s">
        <v>321</v>
      </c>
      <c r="O192" s="3">
        <v>57</v>
      </c>
      <c r="P192" s="3">
        <v>5705</v>
      </c>
      <c r="Q192" s="2" t="str">
        <f>[1]TEXTO!$A$1&amp;[1]Rejeição!L192&amp;[1]TEXTO!$B$1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92" s="12" t="s">
        <v>21</v>
      </c>
      <c r="S192" s="12" t="s">
        <v>21</v>
      </c>
      <c r="U192" s="12">
        <v>191</v>
      </c>
    </row>
    <row r="193" spans="1:21" x14ac:dyDescent="0.25">
      <c r="A193" s="1">
        <v>717788792</v>
      </c>
      <c r="B193" s="15">
        <v>45859</v>
      </c>
      <c r="C193" s="1" t="s">
        <v>7</v>
      </c>
      <c r="D193" s="1">
        <v>717788792</v>
      </c>
      <c r="G193" s="1" t="s">
        <v>18</v>
      </c>
      <c r="H193" s="1">
        <v>130464947</v>
      </c>
      <c r="I193" s="1">
        <v>0</v>
      </c>
      <c r="J193" s="12" t="s">
        <v>19</v>
      </c>
      <c r="K193" s="12" t="s">
        <v>20</v>
      </c>
      <c r="L193" s="16" t="str">
        <f t="shared" si="1"/>
        <v>Captura de parcela rejeitada - Apólice  - 7-Outros</v>
      </c>
      <c r="M193" s="2" t="s">
        <v>217</v>
      </c>
      <c r="O193" s="3">
        <v>57</v>
      </c>
      <c r="P193" s="3">
        <v>5705</v>
      </c>
      <c r="Q193" s="2" t="str">
        <f>[1]TEXTO!$A$1&amp;[1]Rejeição!L193&amp;[1]TEXTO!$B$1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93" s="12" t="s">
        <v>21</v>
      </c>
      <c r="S193" s="12" t="s">
        <v>21</v>
      </c>
      <c r="U193" s="2">
        <v>192</v>
      </c>
    </row>
    <row r="194" spans="1:21" x14ac:dyDescent="0.25">
      <c r="A194" s="1">
        <v>718332673</v>
      </c>
      <c r="B194" s="15">
        <v>45859</v>
      </c>
      <c r="C194" s="1" t="s">
        <v>7</v>
      </c>
      <c r="D194" s="1">
        <v>718332673</v>
      </c>
      <c r="G194" s="1" t="s">
        <v>18</v>
      </c>
      <c r="H194" s="1">
        <v>130479720</v>
      </c>
      <c r="I194" s="1">
        <v>0</v>
      </c>
      <c r="J194" s="12" t="s">
        <v>19</v>
      </c>
      <c r="K194" s="12" t="s">
        <v>20</v>
      </c>
      <c r="L194" s="16" t="str">
        <f t="shared" si="1"/>
        <v>Captura de parcela rejeitada - Apólice  - 7-Outros</v>
      </c>
      <c r="M194" s="2" t="s">
        <v>189</v>
      </c>
      <c r="O194" s="3">
        <v>57</v>
      </c>
      <c r="P194" s="3">
        <v>5705</v>
      </c>
      <c r="Q194" s="2" t="str">
        <f>[1]TEXTO!$A$1&amp;[1]Rejeição!L194&amp;[1]TEXTO!$B$1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94" s="12" t="s">
        <v>21</v>
      </c>
      <c r="S194" s="12" t="s">
        <v>21</v>
      </c>
      <c r="U194" s="12">
        <v>193</v>
      </c>
    </row>
    <row r="195" spans="1:21" x14ac:dyDescent="0.25">
      <c r="A195" s="1">
        <v>737194377</v>
      </c>
      <c r="B195" s="15">
        <v>45859</v>
      </c>
      <c r="C195" s="1" t="s">
        <v>7</v>
      </c>
      <c r="D195" s="1">
        <v>737194377</v>
      </c>
      <c r="G195" s="1" t="s">
        <v>18</v>
      </c>
      <c r="H195" s="1">
        <v>130785677</v>
      </c>
      <c r="I195" s="1">
        <v>0</v>
      </c>
      <c r="J195" s="12" t="s">
        <v>19</v>
      </c>
      <c r="K195" s="12" t="s">
        <v>20</v>
      </c>
      <c r="L195" s="16" t="str">
        <f t="shared" si="1"/>
        <v>Captura de parcela rejeitada - Apólice  - 7-Outros</v>
      </c>
      <c r="M195" s="2" t="s">
        <v>171</v>
      </c>
      <c r="O195" s="3">
        <v>57</v>
      </c>
      <c r="P195" s="3">
        <v>5705</v>
      </c>
      <c r="Q195" s="2" t="str">
        <f>[1]TEXTO!$A$1&amp;[1]Rejeição!L195&amp;[1]TEXTO!$B$1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95" s="12" t="s">
        <v>21</v>
      </c>
      <c r="S195" s="12" t="s">
        <v>21</v>
      </c>
      <c r="U195" s="2">
        <v>194</v>
      </c>
    </row>
    <row r="196" spans="1:21" x14ac:dyDescent="0.25">
      <c r="A196" s="1">
        <v>739211088</v>
      </c>
      <c r="B196" s="15">
        <v>45859</v>
      </c>
      <c r="C196" s="1" t="s">
        <v>7</v>
      </c>
      <c r="D196" s="1">
        <v>739211088</v>
      </c>
      <c r="G196" s="1" t="s">
        <v>18</v>
      </c>
      <c r="H196" s="1">
        <v>130822300</v>
      </c>
      <c r="I196" s="1">
        <v>0</v>
      </c>
      <c r="J196" s="12" t="s">
        <v>19</v>
      </c>
      <c r="K196" s="12" t="s">
        <v>20</v>
      </c>
      <c r="L196" s="16" t="str">
        <f t="shared" si="1"/>
        <v>Captura de parcela rejeitada - Apólice  - 7-Outros</v>
      </c>
      <c r="M196" s="2" t="s">
        <v>322</v>
      </c>
      <c r="O196" s="3">
        <v>57</v>
      </c>
      <c r="P196" s="3">
        <v>5705</v>
      </c>
      <c r="Q196" s="2" t="str">
        <f>[1]TEXTO!$A$1&amp;[1]Rejeição!L196&amp;[1]TEXTO!$B$1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96" s="12" t="s">
        <v>21</v>
      </c>
      <c r="S196" s="12" t="s">
        <v>21</v>
      </c>
      <c r="U196" s="12">
        <v>195</v>
      </c>
    </row>
    <row r="197" spans="1:21" x14ac:dyDescent="0.25">
      <c r="A197" s="1">
        <v>761117484</v>
      </c>
      <c r="B197" s="15">
        <v>45859</v>
      </c>
      <c r="C197" s="1" t="s">
        <v>7</v>
      </c>
      <c r="D197" s="1">
        <v>761117484</v>
      </c>
      <c r="G197" s="1" t="s">
        <v>18</v>
      </c>
      <c r="H197" s="1">
        <v>131206864</v>
      </c>
      <c r="I197" s="1">
        <v>0</v>
      </c>
      <c r="J197" s="12" t="s">
        <v>19</v>
      </c>
      <c r="K197" s="12" t="s">
        <v>20</v>
      </c>
      <c r="L197" s="16" t="str">
        <f t="shared" si="1"/>
        <v>Captura de parcela rejeitada - Apólice  - 7-Outros</v>
      </c>
      <c r="M197" s="2" t="s">
        <v>196</v>
      </c>
      <c r="O197" s="3">
        <v>57</v>
      </c>
      <c r="P197" s="3">
        <v>5705</v>
      </c>
      <c r="Q197" s="2" t="str">
        <f>[1]TEXTO!$A$1&amp;[1]Rejeição!L197&amp;[1]TEXTO!$B$1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97" s="12" t="s">
        <v>21</v>
      </c>
      <c r="S197" s="12" t="s">
        <v>21</v>
      </c>
      <c r="U197" s="2">
        <v>196</v>
      </c>
    </row>
    <row r="198" spans="1:21" x14ac:dyDescent="0.25">
      <c r="A198" s="1">
        <v>761444094</v>
      </c>
      <c r="B198" s="15">
        <v>45859</v>
      </c>
      <c r="C198" s="1" t="s">
        <v>7</v>
      </c>
      <c r="D198" s="1">
        <v>761444094</v>
      </c>
      <c r="G198" s="1" t="s">
        <v>18</v>
      </c>
      <c r="H198" s="1">
        <v>131220109</v>
      </c>
      <c r="I198" s="1">
        <v>0</v>
      </c>
      <c r="J198" s="12" t="s">
        <v>19</v>
      </c>
      <c r="K198" s="12" t="s">
        <v>20</v>
      </c>
      <c r="L198" s="16" t="str">
        <f t="shared" si="1"/>
        <v>Captura de parcela rejeitada - Apólice  - 7-Outros</v>
      </c>
      <c r="M198" s="2" t="s">
        <v>323</v>
      </c>
      <c r="O198" s="3">
        <v>57</v>
      </c>
      <c r="P198" s="3">
        <v>5705</v>
      </c>
      <c r="Q198" s="2" t="str">
        <f>[1]TEXTO!$A$1&amp;[1]Rejeição!L198&amp;[1]TEXTO!$B$1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98" s="12" t="s">
        <v>21</v>
      </c>
      <c r="S198" s="12" t="s">
        <v>21</v>
      </c>
      <c r="U198" s="12">
        <v>197</v>
      </c>
    </row>
    <row r="199" spans="1:21" x14ac:dyDescent="0.25">
      <c r="A199" s="1">
        <v>761860950</v>
      </c>
      <c r="B199" s="15">
        <v>45859</v>
      </c>
      <c r="C199" s="1" t="s">
        <v>7</v>
      </c>
      <c r="D199" s="1">
        <v>761860950</v>
      </c>
      <c r="G199" s="1" t="s">
        <v>18</v>
      </c>
      <c r="H199" s="1">
        <v>131229053</v>
      </c>
      <c r="I199" s="1">
        <v>0</v>
      </c>
      <c r="J199" s="12" t="s">
        <v>19</v>
      </c>
      <c r="K199" s="12" t="s">
        <v>20</v>
      </c>
      <c r="L199" s="16" t="str">
        <f t="shared" si="1"/>
        <v>Captura de parcela rejeitada - Apólice  - 7-Outros</v>
      </c>
      <c r="M199" s="2" t="s">
        <v>324</v>
      </c>
      <c r="O199" s="3">
        <v>57</v>
      </c>
      <c r="P199" s="3">
        <v>5705</v>
      </c>
      <c r="Q199" s="2" t="str">
        <f>[1]TEXTO!$A$1&amp;[1]Rejeição!L199&amp;[1]TEXTO!$B$1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199" s="12" t="s">
        <v>21</v>
      </c>
      <c r="S199" s="12" t="s">
        <v>21</v>
      </c>
      <c r="U199" s="2">
        <v>198</v>
      </c>
    </row>
    <row r="200" spans="1:21" x14ac:dyDescent="0.25">
      <c r="A200" s="1">
        <v>762537995</v>
      </c>
      <c r="B200" s="15">
        <v>45859</v>
      </c>
      <c r="C200" s="1" t="s">
        <v>7</v>
      </c>
      <c r="D200" s="1">
        <v>762537995</v>
      </c>
      <c r="G200" s="1" t="s">
        <v>18</v>
      </c>
      <c r="H200" s="1">
        <v>131239215</v>
      </c>
      <c r="I200" s="1">
        <v>0</v>
      </c>
      <c r="J200" s="12" t="s">
        <v>19</v>
      </c>
      <c r="K200" s="12" t="s">
        <v>20</v>
      </c>
      <c r="L200" s="16" t="str">
        <f t="shared" si="1"/>
        <v>Captura de parcela rejeitada - Apólice  - 7-Outros</v>
      </c>
      <c r="M200" s="2" t="s">
        <v>171</v>
      </c>
      <c r="O200" s="3">
        <v>57</v>
      </c>
      <c r="P200" s="3">
        <v>5705</v>
      </c>
      <c r="Q200" s="2" t="str">
        <f>[1]TEXTO!$A$1&amp;[1]Rejeição!L200&amp;[1]TEXTO!$B$1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00" s="12" t="s">
        <v>21</v>
      </c>
      <c r="S200" s="12" t="s">
        <v>21</v>
      </c>
      <c r="U200" s="12">
        <v>199</v>
      </c>
    </row>
    <row r="201" spans="1:21" x14ac:dyDescent="0.25">
      <c r="A201" s="1">
        <v>762940918</v>
      </c>
      <c r="B201" s="15">
        <v>45859</v>
      </c>
      <c r="C201" s="1" t="s">
        <v>7</v>
      </c>
      <c r="D201" s="1">
        <v>762940918</v>
      </c>
      <c r="G201" s="1" t="s">
        <v>18</v>
      </c>
      <c r="H201" s="1">
        <v>131248193</v>
      </c>
      <c r="I201" s="1">
        <v>0</v>
      </c>
      <c r="J201" s="12" t="s">
        <v>19</v>
      </c>
      <c r="K201" s="12" t="s">
        <v>20</v>
      </c>
      <c r="L201" s="16" t="str">
        <f t="shared" si="1"/>
        <v>Captura de parcela rejeitada - Apólice  - 7-Outros</v>
      </c>
      <c r="M201" s="2" t="s">
        <v>325</v>
      </c>
      <c r="O201" s="3">
        <v>57</v>
      </c>
      <c r="P201" s="3">
        <v>5705</v>
      </c>
      <c r="Q201" s="2" t="str">
        <f>[1]TEXTO!$A$1&amp;[1]Rejeição!L201&amp;[1]TEXTO!$B$1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01" s="12" t="s">
        <v>21</v>
      </c>
      <c r="S201" s="12" t="s">
        <v>21</v>
      </c>
      <c r="U201" s="2">
        <v>200</v>
      </c>
    </row>
    <row r="202" spans="1:21" x14ac:dyDescent="0.25">
      <c r="A202" s="1">
        <v>763249517</v>
      </c>
      <c r="B202" s="15">
        <v>45859</v>
      </c>
      <c r="C202" s="1" t="s">
        <v>7</v>
      </c>
      <c r="D202" s="1">
        <v>763249517</v>
      </c>
      <c r="G202" s="1" t="s">
        <v>18</v>
      </c>
      <c r="H202" s="1">
        <v>131251785</v>
      </c>
      <c r="I202" s="1">
        <v>0</v>
      </c>
      <c r="J202" s="12" t="s">
        <v>19</v>
      </c>
      <c r="K202" s="12" t="s">
        <v>20</v>
      </c>
      <c r="L202" s="16" t="str">
        <f t="shared" si="1"/>
        <v>Captura de parcela rejeitada - Apólice  - 7-Outros</v>
      </c>
      <c r="M202" s="2" t="s">
        <v>326</v>
      </c>
      <c r="O202" s="3">
        <v>57</v>
      </c>
      <c r="P202" s="3">
        <v>5705</v>
      </c>
      <c r="Q202" s="2" t="str">
        <f>[1]TEXTO!$A$1&amp;[1]Rejeição!L202&amp;[1]TEXTO!$B$1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02" s="12" t="s">
        <v>21</v>
      </c>
      <c r="S202" s="12" t="s">
        <v>21</v>
      </c>
      <c r="U202" s="12">
        <v>201</v>
      </c>
    </row>
    <row r="203" spans="1:21" x14ac:dyDescent="0.25">
      <c r="A203" s="1">
        <v>782648350</v>
      </c>
      <c r="B203" s="15">
        <v>45859</v>
      </c>
      <c r="C203" s="1" t="s">
        <v>7</v>
      </c>
      <c r="D203" s="1">
        <v>782648350</v>
      </c>
      <c r="G203" s="1" t="s">
        <v>18</v>
      </c>
      <c r="H203" s="1">
        <v>131585528</v>
      </c>
      <c r="I203" s="1">
        <v>0</v>
      </c>
      <c r="J203" s="12" t="s">
        <v>19</v>
      </c>
      <c r="K203" s="12" t="s">
        <v>20</v>
      </c>
      <c r="L203" s="16" t="str">
        <f t="shared" si="1"/>
        <v>Captura de parcela rejeitada - Apólice  - 7-Outros</v>
      </c>
      <c r="M203" s="2" t="s">
        <v>327</v>
      </c>
      <c r="O203" s="3">
        <v>57</v>
      </c>
      <c r="P203" s="3">
        <v>5705</v>
      </c>
      <c r="Q203" s="2" t="str">
        <f>[1]TEXTO!$A$1&amp;[1]Rejeição!L203&amp;[1]TEXTO!$B$1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03" s="12" t="s">
        <v>21</v>
      </c>
      <c r="S203" s="12" t="s">
        <v>21</v>
      </c>
      <c r="U203" s="2">
        <v>202</v>
      </c>
    </row>
    <row r="204" spans="1:21" x14ac:dyDescent="0.25">
      <c r="A204" s="1">
        <v>783645066</v>
      </c>
      <c r="B204" s="15">
        <v>45859</v>
      </c>
      <c r="C204" s="1" t="s">
        <v>7</v>
      </c>
      <c r="D204" s="1">
        <v>783645066</v>
      </c>
      <c r="G204" s="1" t="s">
        <v>18</v>
      </c>
      <c r="H204" s="1">
        <v>131604200</v>
      </c>
      <c r="I204" s="1">
        <v>0</v>
      </c>
      <c r="J204" s="12" t="s">
        <v>19</v>
      </c>
      <c r="K204" s="12" t="s">
        <v>20</v>
      </c>
      <c r="L204" s="16" t="str">
        <f t="shared" si="1"/>
        <v>Captura de parcela rejeitada - Apólice  - 7-Outros</v>
      </c>
      <c r="M204" s="2" t="s">
        <v>328</v>
      </c>
      <c r="O204" s="3">
        <v>57</v>
      </c>
      <c r="P204" s="3">
        <v>5705</v>
      </c>
      <c r="Q204" s="2" t="str">
        <f>[1]TEXTO!$A$1&amp;[1]Rejeição!L204&amp;[1]TEXTO!$B$1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04" s="12" t="s">
        <v>21</v>
      </c>
      <c r="S204" s="12" t="s">
        <v>21</v>
      </c>
      <c r="U204" s="12">
        <v>203</v>
      </c>
    </row>
    <row r="205" spans="1:21" x14ac:dyDescent="0.25">
      <c r="A205" s="1">
        <v>802453906</v>
      </c>
      <c r="B205" s="15">
        <v>45859</v>
      </c>
      <c r="C205" s="1" t="s">
        <v>7</v>
      </c>
      <c r="D205" s="1">
        <v>802453906</v>
      </c>
      <c r="G205" s="1" t="s">
        <v>18</v>
      </c>
      <c r="H205" s="1">
        <v>131925072</v>
      </c>
      <c r="I205" s="1">
        <v>0</v>
      </c>
      <c r="J205" s="12" t="s">
        <v>19</v>
      </c>
      <c r="K205" s="12" t="s">
        <v>20</v>
      </c>
      <c r="L205" s="16" t="str">
        <f t="shared" si="1"/>
        <v>Captura de parcela rejeitada - Apólice  - 7-Outros</v>
      </c>
      <c r="M205" s="2" t="s">
        <v>232</v>
      </c>
      <c r="O205" s="3">
        <v>57</v>
      </c>
      <c r="P205" s="3">
        <v>5705</v>
      </c>
      <c r="Q205" s="2" t="str">
        <f>[1]TEXTO!$A$1&amp;[1]Rejeição!L205&amp;[1]TEXTO!$B$1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05" s="12" t="s">
        <v>21</v>
      </c>
      <c r="S205" s="12" t="s">
        <v>21</v>
      </c>
      <c r="U205" s="2">
        <v>204</v>
      </c>
    </row>
    <row r="206" spans="1:21" x14ac:dyDescent="0.25">
      <c r="A206" s="1">
        <v>809132610</v>
      </c>
      <c r="B206" s="15">
        <v>45859</v>
      </c>
      <c r="C206" s="1" t="s">
        <v>7</v>
      </c>
      <c r="D206" s="1">
        <v>809132610</v>
      </c>
      <c r="G206" s="1" t="s">
        <v>18</v>
      </c>
      <c r="H206" s="1">
        <v>132038216</v>
      </c>
      <c r="I206" s="1">
        <v>0</v>
      </c>
      <c r="J206" s="12" t="s">
        <v>19</v>
      </c>
      <c r="K206" s="12" t="s">
        <v>20</v>
      </c>
      <c r="L206" s="16" t="str">
        <f t="shared" si="1"/>
        <v>Captura de parcela rejeitada - Apólice  - 7-Outros</v>
      </c>
      <c r="M206" s="2" t="s">
        <v>329</v>
      </c>
      <c r="O206" s="3">
        <v>57</v>
      </c>
      <c r="P206" s="3">
        <v>5705</v>
      </c>
      <c r="Q206" s="2" t="str">
        <f>[1]TEXTO!$A$1&amp;[1]Rejeição!L206&amp;[1]TEXTO!$B$1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06" s="12" t="s">
        <v>21</v>
      </c>
      <c r="S206" s="12" t="s">
        <v>21</v>
      </c>
      <c r="U206" s="12">
        <v>205</v>
      </c>
    </row>
    <row r="207" spans="1:21" x14ac:dyDescent="0.25">
      <c r="A207" s="1">
        <v>809853702</v>
      </c>
      <c r="B207" s="15">
        <v>45859</v>
      </c>
      <c r="C207" s="1" t="s">
        <v>7</v>
      </c>
      <c r="D207" s="1">
        <v>809853702</v>
      </c>
      <c r="G207" s="1" t="s">
        <v>18</v>
      </c>
      <c r="H207" s="1">
        <v>132028611</v>
      </c>
      <c r="I207" s="1">
        <v>0</v>
      </c>
      <c r="J207" s="12" t="s">
        <v>19</v>
      </c>
      <c r="K207" s="12" t="s">
        <v>20</v>
      </c>
      <c r="L207" s="16" t="str">
        <f t="shared" si="1"/>
        <v>Captura de parcela rejeitada - Apólice  - 7-Outros</v>
      </c>
      <c r="M207" s="2" t="s">
        <v>330</v>
      </c>
      <c r="O207" s="3">
        <v>57</v>
      </c>
      <c r="P207" s="3">
        <v>5705</v>
      </c>
      <c r="Q207" s="2" t="str">
        <f>[1]TEXTO!$A$1&amp;[1]Rejeição!L207&amp;[1]TEXTO!$B$1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07" s="12" t="s">
        <v>21</v>
      </c>
      <c r="S207" s="12" t="s">
        <v>21</v>
      </c>
      <c r="U207" s="2">
        <v>206</v>
      </c>
    </row>
    <row r="208" spans="1:21" x14ac:dyDescent="0.25">
      <c r="A208" s="1">
        <v>829818628</v>
      </c>
      <c r="B208" s="15">
        <v>45859</v>
      </c>
      <c r="C208" s="1" t="s">
        <v>7</v>
      </c>
      <c r="D208" s="1">
        <v>829818628</v>
      </c>
      <c r="G208" s="1" t="s">
        <v>18</v>
      </c>
      <c r="H208" s="1">
        <v>132380381</v>
      </c>
      <c r="I208" s="1">
        <v>0</v>
      </c>
      <c r="J208" s="12" t="s">
        <v>19</v>
      </c>
      <c r="K208" s="12" t="s">
        <v>20</v>
      </c>
      <c r="L208" s="16" t="str">
        <f t="shared" si="1"/>
        <v>Captura de parcela rejeitada - Apólice  - 7-Outros</v>
      </c>
      <c r="M208" s="2" t="s">
        <v>331</v>
      </c>
      <c r="O208" s="3">
        <v>57</v>
      </c>
      <c r="P208" s="3">
        <v>5705</v>
      </c>
      <c r="Q208" s="2" t="str">
        <f>[1]TEXTO!$A$1&amp;[1]Rejeição!L208&amp;[1]TEXTO!$B$1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08" s="12" t="s">
        <v>21</v>
      </c>
      <c r="S208" s="12" t="s">
        <v>21</v>
      </c>
      <c r="U208" s="12">
        <v>207</v>
      </c>
    </row>
    <row r="209" spans="1:21" x14ac:dyDescent="0.25">
      <c r="A209" s="1">
        <v>829898422</v>
      </c>
      <c r="B209" s="15">
        <v>45859</v>
      </c>
      <c r="C209" s="1" t="s">
        <v>7</v>
      </c>
      <c r="D209" s="1">
        <v>829898422</v>
      </c>
      <c r="G209" s="1" t="s">
        <v>18</v>
      </c>
      <c r="H209" s="1">
        <v>132382596</v>
      </c>
      <c r="I209" s="1">
        <v>0</v>
      </c>
      <c r="J209" s="12" t="s">
        <v>19</v>
      </c>
      <c r="K209" s="12" t="s">
        <v>20</v>
      </c>
      <c r="L209" s="16" t="str">
        <f t="shared" si="1"/>
        <v>Captura de parcela rejeitada - Apólice  - 7-Outros</v>
      </c>
      <c r="M209" s="2" t="s">
        <v>182</v>
      </c>
      <c r="O209" s="3">
        <v>57</v>
      </c>
      <c r="P209" s="3">
        <v>5705</v>
      </c>
      <c r="Q209" s="2" t="str">
        <f>[1]TEXTO!$A$1&amp;[1]Rejeição!L209&amp;[1]TEXTO!$B$1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09" s="12" t="s">
        <v>21</v>
      </c>
      <c r="S209" s="12" t="s">
        <v>21</v>
      </c>
      <c r="U209" s="2">
        <v>208</v>
      </c>
    </row>
    <row r="210" spans="1:21" x14ac:dyDescent="0.25">
      <c r="A210" s="1">
        <v>830440826</v>
      </c>
      <c r="B210" s="15">
        <v>45859</v>
      </c>
      <c r="C210" s="1" t="s">
        <v>7</v>
      </c>
      <c r="D210" s="1">
        <v>830440826</v>
      </c>
      <c r="G210" s="1" t="s">
        <v>18</v>
      </c>
      <c r="H210" s="1">
        <v>132385276</v>
      </c>
      <c r="I210" s="1">
        <v>0</v>
      </c>
      <c r="J210" s="12" t="s">
        <v>19</v>
      </c>
      <c r="K210" s="12" t="s">
        <v>20</v>
      </c>
      <c r="L210" s="16" t="str">
        <f t="shared" si="1"/>
        <v>Captura de parcela rejeitada - Apólice  - 7-Outros</v>
      </c>
      <c r="M210" s="2" t="s">
        <v>178</v>
      </c>
      <c r="O210" s="3">
        <v>57</v>
      </c>
      <c r="P210" s="3">
        <v>5705</v>
      </c>
      <c r="Q210" s="2" t="str">
        <f>[1]TEXTO!$A$1&amp;[1]Rejeição!L210&amp;[1]TEXTO!$B$1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10" s="12" t="s">
        <v>21</v>
      </c>
      <c r="S210" s="12" t="s">
        <v>21</v>
      </c>
      <c r="U210" s="12">
        <v>209</v>
      </c>
    </row>
    <row r="211" spans="1:21" x14ac:dyDescent="0.25">
      <c r="A211" s="1">
        <v>843578760</v>
      </c>
      <c r="B211" s="15">
        <v>45859</v>
      </c>
      <c r="C211" s="1" t="s">
        <v>7</v>
      </c>
      <c r="D211" s="1">
        <v>843578760</v>
      </c>
      <c r="G211" s="1" t="s">
        <v>18</v>
      </c>
      <c r="H211" s="1">
        <v>132618061</v>
      </c>
      <c r="I211" s="1">
        <v>0</v>
      </c>
      <c r="J211" s="12" t="s">
        <v>19</v>
      </c>
      <c r="K211" s="12" t="s">
        <v>20</v>
      </c>
      <c r="L211" s="16" t="str">
        <f t="shared" si="1"/>
        <v>Captura de parcela rejeitada - Apólice  - 7-Outros</v>
      </c>
      <c r="M211" s="2" t="s">
        <v>171</v>
      </c>
      <c r="O211" s="3">
        <v>57</v>
      </c>
      <c r="P211" s="3">
        <v>5705</v>
      </c>
      <c r="Q211" s="2" t="str">
        <f>[1]TEXTO!$A$1&amp;[1]Rejeição!L211&amp;[1]TEXTO!$B$1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11" s="12" t="s">
        <v>21</v>
      </c>
      <c r="S211" s="12" t="s">
        <v>21</v>
      </c>
      <c r="U211" s="2">
        <v>210</v>
      </c>
    </row>
    <row r="212" spans="1:21" x14ac:dyDescent="0.25">
      <c r="A212" s="1">
        <v>847567546</v>
      </c>
      <c r="B212" s="15">
        <v>45859</v>
      </c>
      <c r="C212" s="1" t="s">
        <v>7</v>
      </c>
      <c r="D212" s="1">
        <v>847567546</v>
      </c>
      <c r="G212" s="1" t="s">
        <v>18</v>
      </c>
      <c r="H212" s="1">
        <v>132670618</v>
      </c>
      <c r="I212" s="1">
        <v>0</v>
      </c>
      <c r="J212" s="12" t="s">
        <v>19</v>
      </c>
      <c r="K212" s="12" t="s">
        <v>20</v>
      </c>
      <c r="L212" s="16" t="str">
        <f t="shared" si="1"/>
        <v>Captura de parcela rejeitada - Apólice  - 7-Outros</v>
      </c>
      <c r="M212" s="2" t="s">
        <v>184</v>
      </c>
      <c r="O212" s="3">
        <v>57</v>
      </c>
      <c r="P212" s="3">
        <v>5705</v>
      </c>
      <c r="Q212" s="2" t="str">
        <f>[1]TEXTO!$A$1&amp;[1]Rejeição!L212&amp;[1]TEXTO!$B$1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12" s="12" t="s">
        <v>21</v>
      </c>
      <c r="S212" s="12" t="s">
        <v>21</v>
      </c>
      <c r="U212" s="12">
        <v>211</v>
      </c>
    </row>
    <row r="213" spans="1:21" x14ac:dyDescent="0.25">
      <c r="A213" s="1">
        <v>850450770</v>
      </c>
      <c r="B213" s="15">
        <v>45859</v>
      </c>
      <c r="C213" s="1" t="s">
        <v>7</v>
      </c>
      <c r="D213" s="1">
        <v>850450770</v>
      </c>
      <c r="G213" s="1" t="s">
        <v>18</v>
      </c>
      <c r="H213" s="1">
        <v>132742993</v>
      </c>
      <c r="I213" s="1">
        <v>0</v>
      </c>
      <c r="J213" s="12" t="s">
        <v>19</v>
      </c>
      <c r="K213" s="12" t="s">
        <v>20</v>
      </c>
      <c r="L213" s="16" t="str">
        <f t="shared" si="1"/>
        <v>Captura de parcela rejeitada - Apólice  - 7-Outros</v>
      </c>
      <c r="M213" s="2" t="s">
        <v>332</v>
      </c>
      <c r="O213" s="3">
        <v>57</v>
      </c>
      <c r="P213" s="3">
        <v>5705</v>
      </c>
      <c r="Q213" s="2" t="str">
        <f>[1]TEXTO!$A$1&amp;[1]Rejeição!L213&amp;[1]TEXTO!$B$1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13" s="12" t="s">
        <v>21</v>
      </c>
      <c r="S213" s="12" t="s">
        <v>21</v>
      </c>
      <c r="U213" s="2">
        <v>212</v>
      </c>
    </row>
    <row r="214" spans="1:21" x14ac:dyDescent="0.25">
      <c r="A214" s="1">
        <v>856171636</v>
      </c>
      <c r="B214" s="15">
        <v>45859</v>
      </c>
      <c r="C214" s="1" t="s">
        <v>7</v>
      </c>
      <c r="D214" s="1">
        <v>856171636</v>
      </c>
      <c r="G214" s="1" t="s">
        <v>18</v>
      </c>
      <c r="H214" s="1">
        <v>132842250</v>
      </c>
      <c r="I214" s="1">
        <v>0</v>
      </c>
      <c r="J214" s="12" t="s">
        <v>19</v>
      </c>
      <c r="K214" s="12" t="s">
        <v>20</v>
      </c>
      <c r="L214" s="16" t="str">
        <f t="shared" si="1"/>
        <v>Captura de parcela rejeitada - Apólice  - 7-Outros</v>
      </c>
      <c r="M214" s="2" t="s">
        <v>333</v>
      </c>
      <c r="O214" s="3">
        <v>57</v>
      </c>
      <c r="P214" s="3">
        <v>5705</v>
      </c>
      <c r="Q214" s="2" t="str">
        <f>[1]TEXTO!$A$1&amp;[1]Rejeição!L214&amp;[1]TEXTO!$B$1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14" s="12" t="s">
        <v>21</v>
      </c>
      <c r="S214" s="12" t="s">
        <v>21</v>
      </c>
      <c r="U214" s="12">
        <v>213</v>
      </c>
    </row>
    <row r="215" spans="1:21" x14ac:dyDescent="0.25">
      <c r="A215" s="1">
        <v>856602754</v>
      </c>
      <c r="B215" s="15">
        <v>45859</v>
      </c>
      <c r="C215" s="1" t="s">
        <v>7</v>
      </c>
      <c r="D215" s="1">
        <v>856602754</v>
      </c>
      <c r="G215" s="1" t="s">
        <v>18</v>
      </c>
      <c r="H215" s="1">
        <v>132832599</v>
      </c>
      <c r="I215" s="1">
        <v>0</v>
      </c>
      <c r="J215" s="12" t="s">
        <v>19</v>
      </c>
      <c r="K215" s="12" t="s">
        <v>20</v>
      </c>
      <c r="L215" s="16" t="str">
        <f t="shared" si="1"/>
        <v>Captura de parcela rejeitada - Apólice  - 7-Outros</v>
      </c>
      <c r="M215" s="2" t="s">
        <v>334</v>
      </c>
      <c r="O215" s="3">
        <v>57</v>
      </c>
      <c r="P215" s="3">
        <v>5705</v>
      </c>
      <c r="Q215" s="2" t="str">
        <f>[1]TEXTO!$A$1&amp;[1]Rejeição!L215&amp;[1]TEXTO!$B$1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15" s="12" t="s">
        <v>21</v>
      </c>
      <c r="S215" s="12" t="s">
        <v>21</v>
      </c>
      <c r="U215" s="2">
        <v>214</v>
      </c>
    </row>
    <row r="216" spans="1:21" x14ac:dyDescent="0.25">
      <c r="A216" s="1">
        <v>657947341</v>
      </c>
      <c r="B216" s="15">
        <v>45859</v>
      </c>
      <c r="C216" s="1" t="s">
        <v>7</v>
      </c>
      <c r="D216" s="1">
        <v>657947341</v>
      </c>
      <c r="G216" s="1" t="s">
        <v>18</v>
      </c>
      <c r="H216" s="1">
        <v>129395307</v>
      </c>
      <c r="I216" s="1">
        <v>0</v>
      </c>
      <c r="J216" s="12" t="s">
        <v>19</v>
      </c>
      <c r="K216" s="12" t="s">
        <v>20</v>
      </c>
      <c r="L216" s="16" t="str">
        <f t="shared" si="1"/>
        <v>Captura de parcela rejeitada - Apólice  - 7-Outros</v>
      </c>
      <c r="M216" s="2" t="s">
        <v>335</v>
      </c>
      <c r="O216" s="3">
        <v>57</v>
      </c>
      <c r="P216" s="3">
        <v>5705</v>
      </c>
      <c r="Q216" s="2" t="str">
        <f>[1]TEXTO!$A$1&amp;[1]Rejeição!L216&amp;[1]TEXTO!$B$1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16" s="12" t="s">
        <v>21</v>
      </c>
      <c r="S216" s="12" t="s">
        <v>21</v>
      </c>
      <c r="U216" s="12">
        <v>215</v>
      </c>
    </row>
    <row r="217" spans="1:21" x14ac:dyDescent="0.25">
      <c r="A217" s="1">
        <v>666394063</v>
      </c>
      <c r="B217" s="15">
        <v>45859</v>
      </c>
      <c r="C217" s="1" t="s">
        <v>7</v>
      </c>
      <c r="D217" s="1">
        <v>666394063</v>
      </c>
      <c r="G217" s="1" t="s">
        <v>18</v>
      </c>
      <c r="H217" s="1">
        <v>129550250</v>
      </c>
      <c r="I217" s="1">
        <v>0</v>
      </c>
      <c r="J217" s="12" t="s">
        <v>19</v>
      </c>
      <c r="K217" s="12" t="s">
        <v>20</v>
      </c>
      <c r="L217" s="16" t="str">
        <f t="shared" si="1"/>
        <v>Captura de parcela rejeitada - Apólice  - 7-Outros</v>
      </c>
      <c r="M217" s="2" t="s">
        <v>336</v>
      </c>
      <c r="O217" s="3">
        <v>57</v>
      </c>
      <c r="P217" s="3">
        <v>5705</v>
      </c>
      <c r="Q217" s="2" t="str">
        <f>[1]TEXTO!$A$1&amp;[1]Rejeição!L217&amp;[1]TEXTO!$B$1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17" s="12" t="s">
        <v>21</v>
      </c>
      <c r="S217" s="12" t="s">
        <v>21</v>
      </c>
      <c r="U217" s="2">
        <v>216</v>
      </c>
    </row>
    <row r="218" spans="1:21" x14ac:dyDescent="0.25">
      <c r="A218" s="1">
        <v>667085884</v>
      </c>
      <c r="B218" s="15">
        <v>45859</v>
      </c>
      <c r="C218" s="1" t="s">
        <v>7</v>
      </c>
      <c r="D218" s="1">
        <v>667085884</v>
      </c>
      <c r="G218" s="1" t="s">
        <v>18</v>
      </c>
      <c r="H218" s="1">
        <v>129557854</v>
      </c>
      <c r="I218" s="1">
        <v>0</v>
      </c>
      <c r="J218" s="12" t="s">
        <v>19</v>
      </c>
      <c r="K218" s="12" t="s">
        <v>20</v>
      </c>
      <c r="L218" s="16" t="str">
        <f t="shared" si="1"/>
        <v>Captura de parcela rejeitada - Apólice  - 7-Outros</v>
      </c>
      <c r="M218" s="2" t="s">
        <v>191</v>
      </c>
      <c r="O218" s="3">
        <v>57</v>
      </c>
      <c r="P218" s="3">
        <v>5705</v>
      </c>
      <c r="Q218" s="2" t="str">
        <f>[1]TEXTO!$A$1&amp;[1]Rejeição!L218&amp;[1]TEXTO!$B$1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18" s="12" t="s">
        <v>21</v>
      </c>
      <c r="S218" s="12" t="s">
        <v>21</v>
      </c>
      <c r="U218" s="12">
        <v>217</v>
      </c>
    </row>
    <row r="219" spans="1:21" x14ac:dyDescent="0.25">
      <c r="A219" s="1">
        <v>670222342</v>
      </c>
      <c r="B219" s="15">
        <v>45859</v>
      </c>
      <c r="C219" s="1" t="s">
        <v>7</v>
      </c>
      <c r="D219" s="1">
        <v>670222342</v>
      </c>
      <c r="G219" s="1" t="s">
        <v>18</v>
      </c>
      <c r="H219" s="1">
        <v>129618936</v>
      </c>
      <c r="I219" s="1">
        <v>0</v>
      </c>
      <c r="J219" s="12" t="s">
        <v>19</v>
      </c>
      <c r="K219" s="12" t="s">
        <v>20</v>
      </c>
      <c r="L219" s="16" t="str">
        <f t="shared" si="1"/>
        <v>Captura de parcela rejeitada - Apólice  - 7-Outros</v>
      </c>
      <c r="M219" s="2" t="s">
        <v>337</v>
      </c>
      <c r="O219" s="3">
        <v>57</v>
      </c>
      <c r="P219" s="3">
        <v>5705</v>
      </c>
      <c r="Q219" s="2" t="str">
        <f>[1]TEXTO!$A$1&amp;[1]Rejeição!L219&amp;[1]TEXTO!$B$1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19" s="12" t="s">
        <v>21</v>
      </c>
      <c r="S219" s="12" t="s">
        <v>21</v>
      </c>
      <c r="U219" s="2">
        <v>218</v>
      </c>
    </row>
    <row r="220" spans="1:21" x14ac:dyDescent="0.25">
      <c r="A220" s="1">
        <v>692405685</v>
      </c>
      <c r="B220" s="15">
        <v>45859</v>
      </c>
      <c r="C220" s="1" t="s">
        <v>7</v>
      </c>
      <c r="D220" s="1">
        <v>692405685</v>
      </c>
      <c r="G220" s="1" t="s">
        <v>18</v>
      </c>
      <c r="H220" s="1">
        <v>130014140</v>
      </c>
      <c r="I220" s="1">
        <v>0</v>
      </c>
      <c r="J220" s="12" t="s">
        <v>19</v>
      </c>
      <c r="K220" s="12" t="s">
        <v>20</v>
      </c>
      <c r="L220" s="16" t="str">
        <f t="shared" si="1"/>
        <v>Captura de parcela rejeitada - Apólice  - 7-Outros</v>
      </c>
      <c r="M220" s="2" t="s">
        <v>338</v>
      </c>
      <c r="O220" s="3">
        <v>57</v>
      </c>
      <c r="P220" s="3">
        <v>5705</v>
      </c>
      <c r="Q220" s="2" t="str">
        <f>[1]TEXTO!$A$1&amp;[1]Rejeição!L220&amp;[1]TEXTO!$B$1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20" s="12" t="s">
        <v>21</v>
      </c>
      <c r="S220" s="12" t="s">
        <v>21</v>
      </c>
      <c r="U220" s="12">
        <v>219</v>
      </c>
    </row>
    <row r="221" spans="1:21" x14ac:dyDescent="0.25">
      <c r="A221" s="1">
        <v>692699964</v>
      </c>
      <c r="B221" s="15">
        <v>45859</v>
      </c>
      <c r="C221" s="1" t="s">
        <v>7</v>
      </c>
      <c r="D221" s="1">
        <v>692699964</v>
      </c>
      <c r="G221" s="1" t="s">
        <v>18</v>
      </c>
      <c r="H221" s="1">
        <v>130006828</v>
      </c>
      <c r="I221" s="1">
        <v>0</v>
      </c>
      <c r="J221" s="12" t="s">
        <v>19</v>
      </c>
      <c r="K221" s="12" t="s">
        <v>20</v>
      </c>
      <c r="L221" s="16" t="str">
        <f t="shared" si="1"/>
        <v>Captura de parcela rejeitada - Apólice  - 7-Outros</v>
      </c>
      <c r="M221" s="2" t="s">
        <v>339</v>
      </c>
      <c r="O221" s="3">
        <v>57</v>
      </c>
      <c r="P221" s="3">
        <v>5705</v>
      </c>
      <c r="Q221" s="2" t="str">
        <f>[1]TEXTO!$A$1&amp;[1]Rejeição!L221&amp;[1]TEXTO!$B$1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21" s="12" t="s">
        <v>21</v>
      </c>
      <c r="S221" s="12" t="s">
        <v>21</v>
      </c>
      <c r="U221" s="2">
        <v>220</v>
      </c>
    </row>
    <row r="222" spans="1:21" x14ac:dyDescent="0.25">
      <c r="A222" s="1">
        <v>694254065</v>
      </c>
      <c r="B222" s="15">
        <v>45859</v>
      </c>
      <c r="C222" s="1" t="s">
        <v>7</v>
      </c>
      <c r="D222" s="1">
        <v>694254065</v>
      </c>
      <c r="G222" s="1" t="s">
        <v>18</v>
      </c>
      <c r="H222" s="1">
        <v>130047405</v>
      </c>
      <c r="I222" s="1">
        <v>0</v>
      </c>
      <c r="J222" s="12" t="s">
        <v>19</v>
      </c>
      <c r="K222" s="12" t="s">
        <v>20</v>
      </c>
      <c r="L222" s="16" t="str">
        <f t="shared" si="1"/>
        <v>Captura de parcela rejeitada - Apólice  - 7-Outros</v>
      </c>
      <c r="M222" s="2" t="s">
        <v>340</v>
      </c>
      <c r="O222" s="3">
        <v>57</v>
      </c>
      <c r="P222" s="3">
        <v>5705</v>
      </c>
      <c r="Q222" s="2" t="str">
        <f>[1]TEXTO!$A$1&amp;[1]Rejeição!L222&amp;[1]TEXTO!$B$1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22" s="12" t="s">
        <v>21</v>
      </c>
      <c r="S222" s="12" t="s">
        <v>21</v>
      </c>
      <c r="U222" s="12">
        <v>221</v>
      </c>
    </row>
    <row r="223" spans="1:21" x14ac:dyDescent="0.25">
      <c r="A223" s="1">
        <v>708194471</v>
      </c>
      <c r="B223" s="15">
        <v>45859</v>
      </c>
      <c r="C223" s="1" t="s">
        <v>7</v>
      </c>
      <c r="D223" s="1">
        <v>708194471</v>
      </c>
      <c r="G223" s="1" t="s">
        <v>18</v>
      </c>
      <c r="H223" s="1">
        <v>130254880</v>
      </c>
      <c r="I223" s="1">
        <v>0</v>
      </c>
      <c r="J223" s="12" t="s">
        <v>19</v>
      </c>
      <c r="K223" s="12" t="s">
        <v>20</v>
      </c>
      <c r="L223" s="16" t="str">
        <f t="shared" si="1"/>
        <v>Captura de parcela rejeitada - Apólice  - 7-Outros</v>
      </c>
      <c r="M223" s="2" t="s">
        <v>341</v>
      </c>
      <c r="O223" s="3">
        <v>57</v>
      </c>
      <c r="P223" s="3">
        <v>5705</v>
      </c>
      <c r="Q223" s="2" t="str">
        <f>[1]TEXTO!$A$1&amp;[1]Rejeição!L223&amp;[1]TEXTO!$B$1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23" s="12" t="s">
        <v>21</v>
      </c>
      <c r="S223" s="12" t="s">
        <v>21</v>
      </c>
      <c r="U223" s="2">
        <v>222</v>
      </c>
    </row>
    <row r="224" spans="1:21" x14ac:dyDescent="0.25">
      <c r="A224" s="1">
        <v>713030215</v>
      </c>
      <c r="B224" s="15">
        <v>45859</v>
      </c>
      <c r="C224" s="1" t="s">
        <v>7</v>
      </c>
      <c r="D224" s="1">
        <v>713030215</v>
      </c>
      <c r="G224" s="1" t="s">
        <v>18</v>
      </c>
      <c r="H224" s="1">
        <v>130368483</v>
      </c>
      <c r="I224" s="1">
        <v>0</v>
      </c>
      <c r="J224" s="12" t="s">
        <v>19</v>
      </c>
      <c r="K224" s="12" t="s">
        <v>20</v>
      </c>
      <c r="L224" s="16" t="str">
        <f t="shared" si="1"/>
        <v>Captura de parcela rejeitada - Apólice  - 7-Outros</v>
      </c>
      <c r="M224" s="2" t="s">
        <v>184</v>
      </c>
      <c r="O224" s="3">
        <v>57</v>
      </c>
      <c r="P224" s="3">
        <v>5705</v>
      </c>
      <c r="Q224" s="2" t="str">
        <f>[1]TEXTO!$A$1&amp;[1]Rejeição!L224&amp;[1]TEXTO!$B$1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24" s="12" t="s">
        <v>21</v>
      </c>
      <c r="S224" s="12" t="s">
        <v>21</v>
      </c>
      <c r="U224" s="12">
        <v>223</v>
      </c>
    </row>
    <row r="225" spans="1:21" x14ac:dyDescent="0.25">
      <c r="A225" s="1">
        <v>713709917</v>
      </c>
      <c r="B225" s="15">
        <v>45859</v>
      </c>
      <c r="C225" s="1" t="s">
        <v>7</v>
      </c>
      <c r="D225" s="1">
        <v>713709917</v>
      </c>
      <c r="G225" s="1" t="s">
        <v>18</v>
      </c>
      <c r="H225" s="1">
        <v>130393575</v>
      </c>
      <c r="I225" s="1">
        <v>0</v>
      </c>
      <c r="J225" s="12" t="s">
        <v>19</v>
      </c>
      <c r="K225" s="12" t="s">
        <v>20</v>
      </c>
      <c r="L225" s="16" t="str">
        <f t="shared" si="1"/>
        <v>Captura de parcela rejeitada - Apólice  - 7-Outros</v>
      </c>
      <c r="M225" s="2" t="s">
        <v>342</v>
      </c>
      <c r="O225" s="3">
        <v>57</v>
      </c>
      <c r="P225" s="3">
        <v>5705</v>
      </c>
      <c r="Q225" s="2" t="str">
        <f>[1]TEXTO!$A$1&amp;[1]Rejeição!L225&amp;[1]TEXTO!$B$1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25" s="12" t="s">
        <v>21</v>
      </c>
      <c r="S225" s="12" t="s">
        <v>21</v>
      </c>
      <c r="U225" s="2">
        <v>224</v>
      </c>
    </row>
    <row r="226" spans="1:21" x14ac:dyDescent="0.25">
      <c r="A226" s="1">
        <v>714280934</v>
      </c>
      <c r="B226" s="15">
        <v>45859</v>
      </c>
      <c r="C226" s="1" t="s">
        <v>7</v>
      </c>
      <c r="D226" s="1">
        <v>714280934</v>
      </c>
      <c r="G226" s="1" t="s">
        <v>18</v>
      </c>
      <c r="H226" s="1">
        <v>130394393</v>
      </c>
      <c r="I226" s="1">
        <v>0</v>
      </c>
      <c r="J226" s="12" t="s">
        <v>19</v>
      </c>
      <c r="K226" s="12" t="s">
        <v>20</v>
      </c>
      <c r="L226" s="16" t="str">
        <f t="shared" si="1"/>
        <v>Captura de parcela rejeitada - Apólice  - 7-Outros</v>
      </c>
      <c r="M226" s="2" t="s">
        <v>343</v>
      </c>
      <c r="O226" s="3">
        <v>57</v>
      </c>
      <c r="P226" s="3">
        <v>5705</v>
      </c>
      <c r="Q226" s="2" t="str">
        <f>[1]TEXTO!$A$1&amp;[1]Rejeição!L226&amp;[1]TEXTO!$B$1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26" s="12" t="s">
        <v>21</v>
      </c>
      <c r="S226" s="12" t="s">
        <v>21</v>
      </c>
      <c r="U226" s="12">
        <v>225</v>
      </c>
    </row>
    <row r="227" spans="1:21" x14ac:dyDescent="0.25">
      <c r="A227" s="1">
        <v>715855155</v>
      </c>
      <c r="B227" s="15">
        <v>45859</v>
      </c>
      <c r="C227" s="1" t="s">
        <v>7</v>
      </c>
      <c r="D227" s="1">
        <v>715855155</v>
      </c>
      <c r="G227" s="1" t="s">
        <v>18</v>
      </c>
      <c r="H227" s="1">
        <v>130416815</v>
      </c>
      <c r="I227" s="1">
        <v>0</v>
      </c>
      <c r="J227" s="12" t="s">
        <v>19</v>
      </c>
      <c r="K227" s="12" t="s">
        <v>20</v>
      </c>
      <c r="L227" s="16" t="str">
        <f t="shared" si="1"/>
        <v>Captura de parcela rejeitada - Apólice  - 7-Outros</v>
      </c>
      <c r="M227" s="2" t="s">
        <v>210</v>
      </c>
      <c r="O227" s="3">
        <v>57</v>
      </c>
      <c r="P227" s="3">
        <v>5705</v>
      </c>
      <c r="Q227" s="2" t="str">
        <f>[1]TEXTO!$A$1&amp;[1]Rejeição!L227&amp;[1]TEXTO!$B$1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27" s="12" t="s">
        <v>21</v>
      </c>
      <c r="S227" s="12" t="s">
        <v>21</v>
      </c>
      <c r="U227" s="2">
        <v>226</v>
      </c>
    </row>
    <row r="228" spans="1:21" x14ac:dyDescent="0.25">
      <c r="A228" s="1">
        <v>716273903</v>
      </c>
      <c r="B228" s="15">
        <v>45859</v>
      </c>
      <c r="C228" s="1" t="s">
        <v>7</v>
      </c>
      <c r="D228" s="1">
        <v>716273903</v>
      </c>
      <c r="G228" s="1" t="s">
        <v>18</v>
      </c>
      <c r="H228" s="1">
        <v>130439331</v>
      </c>
      <c r="I228" s="1">
        <v>0</v>
      </c>
      <c r="J228" s="12" t="s">
        <v>19</v>
      </c>
      <c r="K228" s="12" t="s">
        <v>20</v>
      </c>
      <c r="L228" s="16" t="str">
        <f t="shared" si="1"/>
        <v>Captura de parcela rejeitada - Apólice  - 7-Outros</v>
      </c>
      <c r="M228" s="2" t="s">
        <v>189</v>
      </c>
      <c r="O228" s="3">
        <v>57</v>
      </c>
      <c r="P228" s="3">
        <v>5705</v>
      </c>
      <c r="Q228" s="2" t="str">
        <f>[1]TEXTO!$A$1&amp;[1]Rejeição!L228&amp;[1]TEXTO!$B$1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28" s="12" t="s">
        <v>21</v>
      </c>
      <c r="S228" s="12" t="s">
        <v>21</v>
      </c>
      <c r="U228" s="12">
        <v>227</v>
      </c>
    </row>
    <row r="229" spans="1:21" x14ac:dyDescent="0.25">
      <c r="A229" s="1">
        <v>716453737</v>
      </c>
      <c r="B229" s="15">
        <v>45859</v>
      </c>
      <c r="C229" s="1" t="s">
        <v>7</v>
      </c>
      <c r="D229" s="1">
        <v>716453737</v>
      </c>
      <c r="G229" s="1" t="s">
        <v>18</v>
      </c>
      <c r="H229" s="1">
        <v>130443073</v>
      </c>
      <c r="I229" s="1">
        <v>0</v>
      </c>
      <c r="J229" s="12" t="s">
        <v>19</v>
      </c>
      <c r="K229" s="12" t="s">
        <v>20</v>
      </c>
      <c r="L229" s="16" t="str">
        <f t="shared" si="1"/>
        <v>Captura de parcela rejeitada - Apólice  - 7-Outros</v>
      </c>
      <c r="M229" s="2" t="s">
        <v>344</v>
      </c>
      <c r="O229" s="3">
        <v>57</v>
      </c>
      <c r="P229" s="3">
        <v>5705</v>
      </c>
      <c r="Q229" s="2" t="str">
        <f>[1]TEXTO!$A$1&amp;[1]Rejeição!L229&amp;[1]TEXTO!$B$1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29" s="12" t="s">
        <v>21</v>
      </c>
      <c r="S229" s="12" t="s">
        <v>21</v>
      </c>
      <c r="U229" s="2">
        <v>228</v>
      </c>
    </row>
    <row r="230" spans="1:21" x14ac:dyDescent="0.25">
      <c r="A230" s="1">
        <v>737265433</v>
      </c>
      <c r="B230" s="15">
        <v>45859</v>
      </c>
      <c r="C230" s="1" t="s">
        <v>7</v>
      </c>
      <c r="D230" s="1">
        <v>737265433</v>
      </c>
      <c r="G230" s="1" t="s">
        <v>18</v>
      </c>
      <c r="H230" s="1">
        <v>130780607</v>
      </c>
      <c r="I230" s="1">
        <v>0</v>
      </c>
      <c r="J230" s="12" t="s">
        <v>19</v>
      </c>
      <c r="K230" s="12" t="s">
        <v>20</v>
      </c>
      <c r="L230" s="16" t="str">
        <f t="shared" si="1"/>
        <v>Captura de parcela rejeitada - Apólice  - 7-Outros</v>
      </c>
      <c r="M230" s="2" t="s">
        <v>345</v>
      </c>
      <c r="O230" s="3">
        <v>57</v>
      </c>
      <c r="P230" s="3">
        <v>5705</v>
      </c>
      <c r="Q230" s="2" t="str">
        <f>[1]TEXTO!$A$1&amp;[1]Rejeição!L230&amp;[1]TEXTO!$B$1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30" s="12" t="s">
        <v>21</v>
      </c>
      <c r="S230" s="12" t="s">
        <v>21</v>
      </c>
      <c r="U230" s="12">
        <v>229</v>
      </c>
    </row>
    <row r="231" spans="1:21" x14ac:dyDescent="0.25">
      <c r="A231" s="1">
        <v>737299036</v>
      </c>
      <c r="B231" s="15">
        <v>45859</v>
      </c>
      <c r="C231" s="1" t="s">
        <v>7</v>
      </c>
      <c r="D231" s="1">
        <v>737299036</v>
      </c>
      <c r="G231" s="1" t="s">
        <v>18</v>
      </c>
      <c r="H231" s="1">
        <v>130778239</v>
      </c>
      <c r="I231" s="1">
        <v>0</v>
      </c>
      <c r="J231" s="12" t="s">
        <v>19</v>
      </c>
      <c r="K231" s="12" t="s">
        <v>20</v>
      </c>
      <c r="L231" s="16" t="str">
        <f t="shared" si="1"/>
        <v>Captura de parcela rejeitada - Apólice  - 7-Outros</v>
      </c>
      <c r="M231" s="2" t="s">
        <v>346</v>
      </c>
      <c r="O231" s="3">
        <v>57</v>
      </c>
      <c r="P231" s="3">
        <v>5705</v>
      </c>
      <c r="Q231" s="2" t="str">
        <f>[1]TEXTO!$A$1&amp;[1]Rejeição!L231&amp;[1]TEXTO!$B$1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31" s="12" t="s">
        <v>21</v>
      </c>
      <c r="S231" s="12" t="s">
        <v>21</v>
      </c>
      <c r="U231" s="2">
        <v>230</v>
      </c>
    </row>
    <row r="232" spans="1:21" x14ac:dyDescent="0.25">
      <c r="A232" s="1">
        <v>739158610</v>
      </c>
      <c r="B232" s="15">
        <v>45859</v>
      </c>
      <c r="C232" s="1" t="s">
        <v>7</v>
      </c>
      <c r="D232" s="1">
        <v>739158610</v>
      </c>
      <c r="G232" s="1" t="s">
        <v>18</v>
      </c>
      <c r="H232" s="1">
        <v>130826195</v>
      </c>
      <c r="I232" s="1">
        <v>0</v>
      </c>
      <c r="J232" s="12" t="s">
        <v>19</v>
      </c>
      <c r="K232" s="12" t="s">
        <v>20</v>
      </c>
      <c r="L232" s="16" t="str">
        <f t="shared" si="1"/>
        <v>Captura de parcela rejeitada - Apólice  - 7-Outros</v>
      </c>
      <c r="M232" s="2" t="s">
        <v>318</v>
      </c>
      <c r="O232" s="3">
        <v>57</v>
      </c>
      <c r="P232" s="3">
        <v>5705</v>
      </c>
      <c r="Q232" s="2" t="str">
        <f>[1]TEXTO!$A$1&amp;[1]Rejeição!L232&amp;[1]TEXTO!$B$1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32" s="12" t="s">
        <v>21</v>
      </c>
      <c r="S232" s="12" t="s">
        <v>21</v>
      </c>
      <c r="U232" s="12">
        <v>231</v>
      </c>
    </row>
    <row r="233" spans="1:21" x14ac:dyDescent="0.25">
      <c r="A233" s="1">
        <v>739258246</v>
      </c>
      <c r="B233" s="15">
        <v>45859</v>
      </c>
      <c r="C233" s="1" t="s">
        <v>7</v>
      </c>
      <c r="D233" s="1">
        <v>739258246</v>
      </c>
      <c r="G233" s="1" t="s">
        <v>18</v>
      </c>
      <c r="H233" s="1">
        <v>130828825</v>
      </c>
      <c r="I233" s="1">
        <v>0</v>
      </c>
      <c r="J233" s="12" t="s">
        <v>19</v>
      </c>
      <c r="K233" s="12" t="s">
        <v>20</v>
      </c>
      <c r="L233" s="16" t="str">
        <f t="shared" si="1"/>
        <v>Captura de parcela rejeitada - Apólice  - 7-Outros</v>
      </c>
      <c r="M233" s="2" t="s">
        <v>171</v>
      </c>
      <c r="O233" s="3">
        <v>57</v>
      </c>
      <c r="P233" s="3">
        <v>5705</v>
      </c>
      <c r="Q233" s="2" t="str">
        <f>[1]TEXTO!$A$1&amp;[1]Rejeição!L233&amp;[1]TEXTO!$B$1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33" s="12" t="s">
        <v>21</v>
      </c>
      <c r="S233" s="12" t="s">
        <v>21</v>
      </c>
      <c r="U233" s="2">
        <v>232</v>
      </c>
    </row>
    <row r="234" spans="1:21" x14ac:dyDescent="0.25">
      <c r="A234" s="1">
        <v>760064851</v>
      </c>
      <c r="B234" s="15">
        <v>45859</v>
      </c>
      <c r="C234" s="1" t="s">
        <v>7</v>
      </c>
      <c r="D234" s="1">
        <v>760064851</v>
      </c>
      <c r="G234" s="1" t="s">
        <v>18</v>
      </c>
      <c r="H234" s="1">
        <v>131192061</v>
      </c>
      <c r="I234" s="1">
        <v>0</v>
      </c>
      <c r="J234" s="12" t="s">
        <v>19</v>
      </c>
      <c r="K234" s="12" t="s">
        <v>20</v>
      </c>
      <c r="L234" s="16" t="str">
        <f t="shared" si="1"/>
        <v>Captura de parcela rejeitada - Apólice  - 7-Outros</v>
      </c>
      <c r="M234" s="2" t="s">
        <v>185</v>
      </c>
      <c r="O234" s="3">
        <v>57</v>
      </c>
      <c r="P234" s="3">
        <v>5705</v>
      </c>
      <c r="Q234" s="2" t="str">
        <f>[1]TEXTO!$A$1&amp;[1]Rejeição!L234&amp;[1]TEXTO!$B$1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34" s="12" t="s">
        <v>21</v>
      </c>
      <c r="S234" s="12" t="s">
        <v>21</v>
      </c>
      <c r="U234" s="12">
        <v>233</v>
      </c>
    </row>
    <row r="235" spans="1:21" x14ac:dyDescent="0.25">
      <c r="A235" s="1">
        <v>760872980</v>
      </c>
      <c r="B235" s="15">
        <v>45859</v>
      </c>
      <c r="C235" s="1" t="s">
        <v>7</v>
      </c>
      <c r="D235" s="1">
        <v>760872980</v>
      </c>
      <c r="G235" s="1" t="s">
        <v>18</v>
      </c>
      <c r="H235" s="1">
        <v>131210836</v>
      </c>
      <c r="I235" s="1">
        <v>0</v>
      </c>
      <c r="J235" s="12" t="s">
        <v>19</v>
      </c>
      <c r="K235" s="12" t="s">
        <v>20</v>
      </c>
      <c r="L235" s="16" t="str">
        <f t="shared" si="1"/>
        <v>Captura de parcela rejeitada - Apólice  - 7-Outros</v>
      </c>
      <c r="M235" s="2" t="s">
        <v>347</v>
      </c>
      <c r="O235" s="3">
        <v>57</v>
      </c>
      <c r="P235" s="3">
        <v>5705</v>
      </c>
      <c r="Q235" s="2" t="str">
        <f>[1]TEXTO!$A$1&amp;[1]Rejeição!L235&amp;[1]TEXTO!$B$1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35" s="12" t="s">
        <v>21</v>
      </c>
      <c r="S235" s="12" t="s">
        <v>21</v>
      </c>
      <c r="U235" s="2">
        <v>234</v>
      </c>
    </row>
    <row r="236" spans="1:21" x14ac:dyDescent="0.25">
      <c r="A236" s="1">
        <v>761337835</v>
      </c>
      <c r="B236" s="15">
        <v>45859</v>
      </c>
      <c r="C236" s="1" t="s">
        <v>7</v>
      </c>
      <c r="D236" s="1">
        <v>761337835</v>
      </c>
      <c r="G236" s="1" t="s">
        <v>18</v>
      </c>
      <c r="H236" s="1">
        <v>131211106</v>
      </c>
      <c r="I236" s="1">
        <v>0</v>
      </c>
      <c r="J236" s="12" t="s">
        <v>19</v>
      </c>
      <c r="K236" s="12" t="s">
        <v>20</v>
      </c>
      <c r="L236" s="16" t="str">
        <f t="shared" si="1"/>
        <v>Captura de parcela rejeitada - Apólice  - 7-Outros</v>
      </c>
      <c r="M236" s="2" t="s">
        <v>184</v>
      </c>
      <c r="O236" s="3">
        <v>57</v>
      </c>
      <c r="P236" s="3">
        <v>5705</v>
      </c>
      <c r="Q236" s="2" t="str">
        <f>[1]TEXTO!$A$1&amp;[1]Rejeição!L236&amp;[1]TEXTO!$B$1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36" s="12" t="s">
        <v>21</v>
      </c>
      <c r="S236" s="12" t="s">
        <v>21</v>
      </c>
      <c r="U236" s="12">
        <v>235</v>
      </c>
    </row>
    <row r="237" spans="1:21" x14ac:dyDescent="0.25">
      <c r="A237" s="1">
        <v>761355100</v>
      </c>
      <c r="B237" s="15">
        <v>45859</v>
      </c>
      <c r="C237" s="1" t="s">
        <v>7</v>
      </c>
      <c r="D237" s="1">
        <v>761355100</v>
      </c>
      <c r="G237" s="1" t="s">
        <v>18</v>
      </c>
      <c r="H237" s="1">
        <v>131208623</v>
      </c>
      <c r="I237" s="1">
        <v>0</v>
      </c>
      <c r="J237" s="12" t="s">
        <v>19</v>
      </c>
      <c r="K237" s="12" t="s">
        <v>20</v>
      </c>
      <c r="L237" s="16" t="str">
        <f t="shared" si="1"/>
        <v>Captura de parcela rejeitada - Apólice  - 7-Outros</v>
      </c>
      <c r="M237" s="2" t="s">
        <v>348</v>
      </c>
      <c r="O237" s="3">
        <v>57</v>
      </c>
      <c r="P237" s="3">
        <v>5705</v>
      </c>
      <c r="Q237" s="2" t="str">
        <f>[1]TEXTO!$A$1&amp;[1]Rejeição!L237&amp;[1]TEXTO!$B$1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37" s="12" t="s">
        <v>21</v>
      </c>
      <c r="S237" s="12" t="s">
        <v>21</v>
      </c>
      <c r="U237" s="2">
        <v>236</v>
      </c>
    </row>
    <row r="238" spans="1:21" x14ac:dyDescent="0.25">
      <c r="A238" s="1">
        <v>761596570</v>
      </c>
      <c r="B238" s="15">
        <v>45859</v>
      </c>
      <c r="C238" s="1" t="s">
        <v>7</v>
      </c>
      <c r="D238" s="1">
        <v>761596570</v>
      </c>
      <c r="G238" s="1" t="s">
        <v>18</v>
      </c>
      <c r="H238" s="1">
        <v>131066425</v>
      </c>
      <c r="I238" s="1">
        <v>0</v>
      </c>
      <c r="J238" s="12" t="s">
        <v>19</v>
      </c>
      <c r="K238" s="12" t="s">
        <v>20</v>
      </c>
      <c r="L238" s="16" t="str">
        <f t="shared" si="1"/>
        <v>Captura de parcela rejeitada - Apólice  - 7-Outros</v>
      </c>
      <c r="M238" s="2" t="s">
        <v>349</v>
      </c>
      <c r="O238" s="3">
        <v>57</v>
      </c>
      <c r="P238" s="3">
        <v>5705</v>
      </c>
      <c r="Q238" s="2" t="str">
        <f>[1]TEXTO!$A$1&amp;[1]Rejeição!L238&amp;[1]TEXTO!$B$1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38" s="12" t="s">
        <v>21</v>
      </c>
      <c r="S238" s="12" t="s">
        <v>21</v>
      </c>
      <c r="U238" s="12">
        <v>237</v>
      </c>
    </row>
    <row r="239" spans="1:21" x14ac:dyDescent="0.25">
      <c r="A239" s="1">
        <v>761744717</v>
      </c>
      <c r="B239" s="15">
        <v>45859</v>
      </c>
      <c r="C239" s="1" t="s">
        <v>7</v>
      </c>
      <c r="D239" s="1">
        <v>761744717</v>
      </c>
      <c r="G239" s="1" t="s">
        <v>18</v>
      </c>
      <c r="H239" s="1">
        <v>131210022</v>
      </c>
      <c r="I239" s="1">
        <v>0</v>
      </c>
      <c r="J239" s="12" t="s">
        <v>19</v>
      </c>
      <c r="K239" s="12" t="s">
        <v>20</v>
      </c>
      <c r="L239" s="16" t="str">
        <f t="shared" si="1"/>
        <v>Captura de parcela rejeitada - Apólice  - 7-Outros</v>
      </c>
      <c r="M239" s="2" t="s">
        <v>350</v>
      </c>
      <c r="O239" s="3">
        <v>57</v>
      </c>
      <c r="P239" s="3">
        <v>5705</v>
      </c>
      <c r="Q239" s="2" t="str">
        <f>[1]TEXTO!$A$1&amp;[1]Rejeição!L239&amp;[1]TEXTO!$B$1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39" s="12" t="s">
        <v>21</v>
      </c>
      <c r="S239" s="12" t="s">
        <v>21</v>
      </c>
      <c r="U239" s="2">
        <v>238</v>
      </c>
    </row>
    <row r="240" spans="1:21" x14ac:dyDescent="0.25">
      <c r="A240" s="1">
        <v>762075673</v>
      </c>
      <c r="B240" s="15">
        <v>45859</v>
      </c>
      <c r="C240" s="1" t="s">
        <v>7</v>
      </c>
      <c r="D240" s="1">
        <v>762075673</v>
      </c>
      <c r="G240" s="1" t="s">
        <v>18</v>
      </c>
      <c r="H240" s="1">
        <v>131056007</v>
      </c>
      <c r="I240" s="1">
        <v>0</v>
      </c>
      <c r="J240" s="12" t="s">
        <v>19</v>
      </c>
      <c r="K240" s="12" t="s">
        <v>20</v>
      </c>
      <c r="L240" s="16" t="str">
        <f t="shared" si="1"/>
        <v>Captura de parcela rejeitada - Apólice  - 7-Outros</v>
      </c>
      <c r="M240" s="2" t="s">
        <v>351</v>
      </c>
      <c r="O240" s="3">
        <v>57</v>
      </c>
      <c r="P240" s="3">
        <v>5705</v>
      </c>
      <c r="Q240" s="2" t="str">
        <f>[1]TEXTO!$A$1&amp;[1]Rejeição!L240&amp;[1]TEXTO!$B$1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40" s="12" t="s">
        <v>21</v>
      </c>
      <c r="S240" s="12" t="s">
        <v>21</v>
      </c>
      <c r="U240" s="12">
        <v>239</v>
      </c>
    </row>
    <row r="241" spans="1:21" x14ac:dyDescent="0.25">
      <c r="A241" s="1">
        <v>778915441</v>
      </c>
      <c r="B241" s="15">
        <v>45859</v>
      </c>
      <c r="C241" s="1" t="s">
        <v>7</v>
      </c>
      <c r="D241" s="1">
        <v>778915441</v>
      </c>
      <c r="G241" s="1" t="s">
        <v>18</v>
      </c>
      <c r="H241" s="1">
        <v>131527053</v>
      </c>
      <c r="I241" s="1">
        <v>0</v>
      </c>
      <c r="J241" s="12" t="s">
        <v>19</v>
      </c>
      <c r="K241" s="12" t="s">
        <v>20</v>
      </c>
      <c r="L241" s="16" t="str">
        <f t="shared" si="1"/>
        <v>Captura de parcela rejeitada - Apólice  - 7-Outros</v>
      </c>
      <c r="M241" s="2" t="s">
        <v>352</v>
      </c>
      <c r="O241" s="3">
        <v>57</v>
      </c>
      <c r="P241" s="3">
        <v>5705</v>
      </c>
      <c r="Q241" s="2" t="str">
        <f>[1]TEXTO!$A$1&amp;[1]Rejeição!L241&amp;[1]TEXTO!$B$1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41" s="12" t="s">
        <v>21</v>
      </c>
      <c r="S241" s="12" t="s">
        <v>21</v>
      </c>
      <c r="U241" s="2">
        <v>240</v>
      </c>
    </row>
    <row r="242" spans="1:21" x14ac:dyDescent="0.25">
      <c r="A242" s="1">
        <v>782033777</v>
      </c>
      <c r="B242" s="15">
        <v>45859</v>
      </c>
      <c r="C242" s="1" t="s">
        <v>7</v>
      </c>
      <c r="D242" s="1">
        <v>782033777</v>
      </c>
      <c r="G242" s="1" t="s">
        <v>18</v>
      </c>
      <c r="H242" s="1">
        <v>131582063</v>
      </c>
      <c r="I242" s="1">
        <v>0</v>
      </c>
      <c r="J242" s="12" t="s">
        <v>19</v>
      </c>
      <c r="K242" s="12" t="s">
        <v>20</v>
      </c>
      <c r="L242" s="16" t="str">
        <f t="shared" si="1"/>
        <v>Captura de parcela rejeitada - Apólice  - 7-Outros</v>
      </c>
      <c r="M242" s="2" t="s">
        <v>353</v>
      </c>
      <c r="O242" s="3">
        <v>57</v>
      </c>
      <c r="P242" s="3">
        <v>5705</v>
      </c>
      <c r="Q242" s="2" t="str">
        <f>[1]TEXTO!$A$1&amp;[1]Rejeição!L242&amp;[1]TEXTO!$B$1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42" s="12" t="s">
        <v>21</v>
      </c>
      <c r="S242" s="12" t="s">
        <v>21</v>
      </c>
      <c r="U242" s="12">
        <v>241</v>
      </c>
    </row>
    <row r="243" spans="1:21" x14ac:dyDescent="0.25">
      <c r="A243" s="1">
        <v>783496247</v>
      </c>
      <c r="B243" s="15">
        <v>45859</v>
      </c>
      <c r="C243" s="1" t="s">
        <v>7</v>
      </c>
      <c r="D243" s="1">
        <v>783496247</v>
      </c>
      <c r="G243" s="1" t="s">
        <v>18</v>
      </c>
      <c r="H243" s="1">
        <v>131488096</v>
      </c>
      <c r="I243" s="1">
        <v>0</v>
      </c>
      <c r="J243" s="12" t="s">
        <v>19</v>
      </c>
      <c r="K243" s="12" t="s">
        <v>20</v>
      </c>
      <c r="L243" s="16" t="str">
        <f t="shared" si="1"/>
        <v>Captura de parcela rejeitada - Apólice  - 7-Outros</v>
      </c>
      <c r="M243" s="2" t="s">
        <v>354</v>
      </c>
      <c r="O243" s="3">
        <v>57</v>
      </c>
      <c r="P243" s="3">
        <v>5705</v>
      </c>
      <c r="Q243" s="2" t="str">
        <f>[1]TEXTO!$A$1&amp;[1]Rejeição!L243&amp;[1]TEXTO!$B$1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43" s="12" t="s">
        <v>21</v>
      </c>
      <c r="S243" s="12" t="s">
        <v>21</v>
      </c>
      <c r="U243" s="2">
        <v>242</v>
      </c>
    </row>
    <row r="244" spans="1:21" x14ac:dyDescent="0.25">
      <c r="A244" s="1">
        <v>805796855</v>
      </c>
      <c r="B244" s="15">
        <v>45859</v>
      </c>
      <c r="C244" s="1" t="s">
        <v>7</v>
      </c>
      <c r="D244" s="1">
        <v>805796855</v>
      </c>
      <c r="G244" s="1" t="s">
        <v>18</v>
      </c>
      <c r="H244" s="1">
        <v>131980181</v>
      </c>
      <c r="I244" s="1">
        <v>0</v>
      </c>
      <c r="J244" s="12" t="s">
        <v>19</v>
      </c>
      <c r="K244" s="12" t="s">
        <v>20</v>
      </c>
      <c r="L244" s="16" t="str">
        <f t="shared" si="1"/>
        <v>Captura de parcela rejeitada - Apólice  - 7-Outros</v>
      </c>
      <c r="M244" s="2" t="s">
        <v>355</v>
      </c>
      <c r="O244" s="3">
        <v>57</v>
      </c>
      <c r="P244" s="3">
        <v>5705</v>
      </c>
      <c r="Q244" s="2" t="str">
        <f>[1]TEXTO!$A$1&amp;[1]Rejeição!L244&amp;[1]TEXTO!$B$1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44" s="12" t="s">
        <v>21</v>
      </c>
      <c r="S244" s="12" t="s">
        <v>21</v>
      </c>
      <c r="U244" s="12">
        <v>243</v>
      </c>
    </row>
    <row r="245" spans="1:21" x14ac:dyDescent="0.25">
      <c r="A245" s="1">
        <v>807645605</v>
      </c>
      <c r="B245" s="15">
        <v>45859</v>
      </c>
      <c r="C245" s="1" t="s">
        <v>7</v>
      </c>
      <c r="D245" s="1">
        <v>807645605</v>
      </c>
      <c r="G245" s="1" t="s">
        <v>18</v>
      </c>
      <c r="H245" s="1">
        <v>132010712</v>
      </c>
      <c r="I245" s="1">
        <v>0</v>
      </c>
      <c r="J245" s="12" t="s">
        <v>19</v>
      </c>
      <c r="K245" s="12" t="s">
        <v>20</v>
      </c>
      <c r="L245" s="16" t="str">
        <f t="shared" si="1"/>
        <v>Captura de parcela rejeitada - Apólice  - 7-Outros</v>
      </c>
      <c r="M245" s="2" t="s">
        <v>356</v>
      </c>
      <c r="O245" s="3">
        <v>57</v>
      </c>
      <c r="P245" s="3">
        <v>5705</v>
      </c>
      <c r="Q245" s="2" t="str">
        <f>[1]TEXTO!$A$1&amp;[1]Rejeição!L245&amp;[1]TEXTO!$B$1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45" s="12" t="s">
        <v>21</v>
      </c>
      <c r="S245" s="12" t="s">
        <v>21</v>
      </c>
      <c r="U245" s="2">
        <v>244</v>
      </c>
    </row>
    <row r="246" spans="1:21" x14ac:dyDescent="0.25">
      <c r="A246" s="1">
        <v>808281897</v>
      </c>
      <c r="B246" s="15">
        <v>45859</v>
      </c>
      <c r="C246" s="1" t="s">
        <v>7</v>
      </c>
      <c r="D246" s="1">
        <v>808281897</v>
      </c>
      <c r="G246" s="1" t="s">
        <v>18</v>
      </c>
      <c r="H246" s="1">
        <v>132014947</v>
      </c>
      <c r="I246" s="1">
        <v>0</v>
      </c>
      <c r="J246" s="12" t="s">
        <v>19</v>
      </c>
      <c r="K246" s="12" t="s">
        <v>20</v>
      </c>
      <c r="L246" s="16" t="str">
        <f t="shared" si="1"/>
        <v>Captura de parcela rejeitada - Apólice  - 7-Outros</v>
      </c>
      <c r="M246" s="2" t="s">
        <v>184</v>
      </c>
      <c r="O246" s="3">
        <v>57</v>
      </c>
      <c r="P246" s="3">
        <v>5705</v>
      </c>
      <c r="Q246" s="2" t="str">
        <f>[1]TEXTO!$A$1&amp;[1]Rejeição!L246&amp;[1]TEXTO!$B$1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46" s="12" t="s">
        <v>21</v>
      </c>
      <c r="S246" s="12" t="s">
        <v>21</v>
      </c>
      <c r="U246" s="12">
        <v>245</v>
      </c>
    </row>
    <row r="247" spans="1:21" x14ac:dyDescent="0.25">
      <c r="A247" s="1">
        <v>808949915</v>
      </c>
      <c r="B247" s="15">
        <v>45859</v>
      </c>
      <c r="C247" s="1" t="s">
        <v>7</v>
      </c>
      <c r="D247" s="1">
        <v>808949915</v>
      </c>
      <c r="G247" s="1" t="s">
        <v>18</v>
      </c>
      <c r="H247" s="1">
        <v>132009788</v>
      </c>
      <c r="I247" s="1">
        <v>0</v>
      </c>
      <c r="J247" s="12" t="s">
        <v>19</v>
      </c>
      <c r="K247" s="12" t="s">
        <v>20</v>
      </c>
      <c r="L247" s="16" t="str">
        <f t="shared" si="1"/>
        <v>Captura de parcela rejeitada - Apólice  - 7-Outros</v>
      </c>
      <c r="M247" s="2" t="s">
        <v>357</v>
      </c>
      <c r="O247" s="3">
        <v>57</v>
      </c>
      <c r="P247" s="3">
        <v>5705</v>
      </c>
      <c r="Q247" s="2" t="str">
        <f>[1]TEXTO!$A$1&amp;[1]Rejeição!L247&amp;[1]TEXTO!$B$1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47" s="12" t="s">
        <v>21</v>
      </c>
      <c r="S247" s="12" t="s">
        <v>21</v>
      </c>
      <c r="U247" s="2">
        <v>246</v>
      </c>
    </row>
    <row r="248" spans="1:21" x14ac:dyDescent="0.25">
      <c r="A248" s="1">
        <v>809369402</v>
      </c>
      <c r="B248" s="15">
        <v>45859</v>
      </c>
      <c r="C248" s="1" t="s">
        <v>7</v>
      </c>
      <c r="D248" s="1">
        <v>809369402</v>
      </c>
      <c r="G248" s="1" t="s">
        <v>18</v>
      </c>
      <c r="H248" s="1">
        <v>132044482</v>
      </c>
      <c r="I248" s="1">
        <v>0</v>
      </c>
      <c r="J248" s="12" t="s">
        <v>19</v>
      </c>
      <c r="K248" s="12" t="s">
        <v>20</v>
      </c>
      <c r="L248" s="16" t="str">
        <f t="shared" si="1"/>
        <v>Captura de parcela rejeitada - Apólice  - 7-Outros</v>
      </c>
      <c r="M248" s="2" t="s">
        <v>358</v>
      </c>
      <c r="O248" s="3">
        <v>57</v>
      </c>
      <c r="P248" s="3">
        <v>5705</v>
      </c>
      <c r="Q248" s="2" t="str">
        <f>[1]TEXTO!$A$1&amp;[1]Rejeição!L248&amp;[1]TEXTO!$B$1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48" s="12" t="s">
        <v>21</v>
      </c>
      <c r="S248" s="12" t="s">
        <v>21</v>
      </c>
      <c r="U248" s="12">
        <v>247</v>
      </c>
    </row>
    <row r="249" spans="1:21" x14ac:dyDescent="0.25">
      <c r="A249" s="1">
        <v>828871826</v>
      </c>
      <c r="B249" s="15">
        <v>45859</v>
      </c>
      <c r="C249" s="1" t="s">
        <v>7</v>
      </c>
      <c r="D249" s="1">
        <v>828871826</v>
      </c>
      <c r="G249" s="1" t="s">
        <v>18</v>
      </c>
      <c r="H249" s="1">
        <v>132352203</v>
      </c>
      <c r="I249" s="1">
        <v>0</v>
      </c>
      <c r="J249" s="12" t="s">
        <v>19</v>
      </c>
      <c r="K249" s="12" t="s">
        <v>20</v>
      </c>
      <c r="L249" s="16" t="str">
        <f t="shared" si="1"/>
        <v>Captura de parcela rejeitada - Apólice  - 7-Outros</v>
      </c>
      <c r="M249" s="2" t="s">
        <v>184</v>
      </c>
      <c r="O249" s="3">
        <v>57</v>
      </c>
      <c r="P249" s="3">
        <v>5705</v>
      </c>
      <c r="Q249" s="2" t="str">
        <f>[1]TEXTO!$A$1&amp;[1]Rejeição!L249&amp;[1]TEXTO!$B$1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49" s="12" t="s">
        <v>21</v>
      </c>
      <c r="S249" s="12" t="s">
        <v>21</v>
      </c>
      <c r="U249" s="2">
        <v>248</v>
      </c>
    </row>
    <row r="250" spans="1:21" x14ac:dyDescent="0.25">
      <c r="A250" s="1">
        <v>830132423</v>
      </c>
      <c r="B250" s="15">
        <v>45859</v>
      </c>
      <c r="C250" s="1" t="s">
        <v>7</v>
      </c>
      <c r="D250" s="1">
        <v>830132423</v>
      </c>
      <c r="G250" s="1" t="s">
        <v>18</v>
      </c>
      <c r="H250" s="1">
        <v>132388158</v>
      </c>
      <c r="I250" s="1">
        <v>0</v>
      </c>
      <c r="J250" s="12" t="s">
        <v>19</v>
      </c>
      <c r="K250" s="12" t="s">
        <v>20</v>
      </c>
      <c r="L250" s="16" t="str">
        <f t="shared" ref="L250:L268" si="2">CONCATENATE("Captura de parcela rejeitada - Apólice ",E250," - ",K250)</f>
        <v>Captura de parcela rejeitada - Apólice  - 7-Outros</v>
      </c>
      <c r="M250" s="2" t="s">
        <v>359</v>
      </c>
      <c r="O250" s="3">
        <v>57</v>
      </c>
      <c r="P250" s="3">
        <v>5705</v>
      </c>
      <c r="Q250" s="2" t="str">
        <f>[1]TEXTO!$A$1&amp;[1]Rejeição!L250&amp;[1]TEXTO!$B$1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50" s="12" t="s">
        <v>21</v>
      </c>
      <c r="S250" s="12" t="s">
        <v>21</v>
      </c>
      <c r="U250" s="12">
        <v>249</v>
      </c>
    </row>
    <row r="251" spans="1:21" x14ac:dyDescent="0.25">
      <c r="A251" s="1">
        <v>855840041</v>
      </c>
      <c r="B251" s="15">
        <v>45859</v>
      </c>
      <c r="C251" s="1" t="s">
        <v>7</v>
      </c>
      <c r="D251" s="1">
        <v>855840041</v>
      </c>
      <c r="G251" s="1" t="s">
        <v>18</v>
      </c>
      <c r="H251" s="1">
        <v>132838311</v>
      </c>
      <c r="I251" s="1">
        <v>0</v>
      </c>
      <c r="J251" s="12" t="s">
        <v>19</v>
      </c>
      <c r="K251" s="12" t="s">
        <v>20</v>
      </c>
      <c r="L251" s="16" t="str">
        <f t="shared" si="2"/>
        <v>Captura de parcela rejeitada - Apólice  - 7-Outros</v>
      </c>
      <c r="M251" s="2" t="s">
        <v>360</v>
      </c>
      <c r="O251" s="3">
        <v>57</v>
      </c>
      <c r="P251" s="3">
        <v>5705</v>
      </c>
      <c r="Q251" s="2" t="str">
        <f>[1]TEXTO!$A$1&amp;[1]Rejeição!L251&amp;[1]TEXTO!$B$1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51" s="12" t="s">
        <v>21</v>
      </c>
      <c r="S251" s="12" t="s">
        <v>21</v>
      </c>
      <c r="U251" s="2">
        <v>250</v>
      </c>
    </row>
    <row r="252" spans="1:21" x14ac:dyDescent="0.25">
      <c r="A252" s="1">
        <v>690066158</v>
      </c>
      <c r="B252" s="15">
        <v>45859</v>
      </c>
      <c r="C252" s="1" t="s">
        <v>7</v>
      </c>
      <c r="D252" s="1">
        <v>690066158</v>
      </c>
      <c r="G252" s="1" t="s">
        <v>18</v>
      </c>
      <c r="H252" s="1">
        <v>129975727</v>
      </c>
      <c r="I252" s="1">
        <v>0</v>
      </c>
      <c r="J252" s="12" t="s">
        <v>19</v>
      </c>
      <c r="K252" s="12" t="s">
        <v>20</v>
      </c>
      <c r="L252" s="16" t="str">
        <f t="shared" si="2"/>
        <v>Captura de parcela rejeitada - Apólice  - 7-Outros</v>
      </c>
      <c r="M252" s="2" t="s">
        <v>361</v>
      </c>
      <c r="O252" s="3">
        <v>57</v>
      </c>
      <c r="P252" s="3">
        <v>5705</v>
      </c>
      <c r="Q252" s="2" t="str">
        <f>[1]TEXTO!$A$1&amp;[1]Rejeição!L252&amp;[1]TEXTO!$B$1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52" s="12" t="s">
        <v>21</v>
      </c>
      <c r="S252" s="12" t="s">
        <v>21</v>
      </c>
      <c r="U252" s="12">
        <v>251</v>
      </c>
    </row>
    <row r="253" spans="1:21" x14ac:dyDescent="0.25">
      <c r="A253" s="1">
        <v>690125764</v>
      </c>
      <c r="B253" s="15">
        <v>45859</v>
      </c>
      <c r="C253" s="1" t="s">
        <v>7</v>
      </c>
      <c r="D253" s="1">
        <v>690125764</v>
      </c>
      <c r="G253" s="1" t="s">
        <v>18</v>
      </c>
      <c r="H253" s="1">
        <v>129976711</v>
      </c>
      <c r="I253" s="1">
        <v>0</v>
      </c>
      <c r="J253" s="12" t="s">
        <v>19</v>
      </c>
      <c r="K253" s="12" t="s">
        <v>20</v>
      </c>
      <c r="L253" s="16" t="str">
        <f t="shared" si="2"/>
        <v>Captura de parcela rejeitada - Apólice  - 7-Outros</v>
      </c>
      <c r="M253" s="2" t="s">
        <v>362</v>
      </c>
      <c r="O253" s="3">
        <v>57</v>
      </c>
      <c r="P253" s="3">
        <v>5705</v>
      </c>
      <c r="Q253" s="2" t="str">
        <f>[1]TEXTO!$A$1&amp;[1]Rejeição!L253&amp;[1]TEXTO!$B$1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53" s="12" t="s">
        <v>21</v>
      </c>
      <c r="S253" s="12" t="s">
        <v>21</v>
      </c>
      <c r="U253" s="2">
        <v>252</v>
      </c>
    </row>
    <row r="254" spans="1:21" x14ac:dyDescent="0.25">
      <c r="A254" s="1">
        <v>715394460</v>
      </c>
      <c r="B254" s="15">
        <v>45859</v>
      </c>
      <c r="C254" s="1" t="s">
        <v>7</v>
      </c>
      <c r="D254" s="1">
        <v>715394460</v>
      </c>
      <c r="G254" s="1" t="s">
        <v>18</v>
      </c>
      <c r="H254" s="1">
        <v>130423476</v>
      </c>
      <c r="I254" s="1">
        <v>0</v>
      </c>
      <c r="J254" s="12" t="s">
        <v>19</v>
      </c>
      <c r="K254" s="12" t="s">
        <v>20</v>
      </c>
      <c r="L254" s="16" t="str">
        <f t="shared" si="2"/>
        <v>Captura de parcela rejeitada - Apólice  - 7-Outros</v>
      </c>
      <c r="M254" s="2" t="s">
        <v>363</v>
      </c>
      <c r="O254" s="3">
        <v>57</v>
      </c>
      <c r="P254" s="3">
        <v>5705</v>
      </c>
      <c r="Q254" s="2" t="str">
        <f>[1]TEXTO!$A$1&amp;[1]Rejeição!L254&amp;[1]TEXTO!$B$1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54" s="12" t="s">
        <v>21</v>
      </c>
      <c r="S254" s="12" t="s">
        <v>21</v>
      </c>
      <c r="U254" s="12">
        <v>253</v>
      </c>
    </row>
    <row r="255" spans="1:21" x14ac:dyDescent="0.25">
      <c r="A255" s="1">
        <v>738411796</v>
      </c>
      <c r="B255" s="15">
        <v>45859</v>
      </c>
      <c r="C255" s="1" t="s">
        <v>7</v>
      </c>
      <c r="D255" s="1">
        <v>738411796</v>
      </c>
      <c r="G255" s="1" t="s">
        <v>18</v>
      </c>
      <c r="H255" s="1">
        <v>130797364</v>
      </c>
      <c r="I255" s="1">
        <v>0</v>
      </c>
      <c r="J255" s="12" t="s">
        <v>19</v>
      </c>
      <c r="K255" s="12" t="s">
        <v>20</v>
      </c>
      <c r="L255" s="16" t="str">
        <f t="shared" si="2"/>
        <v>Captura de parcela rejeitada - Apólice  - 7-Outros</v>
      </c>
      <c r="M255" s="2" t="s">
        <v>317</v>
      </c>
      <c r="O255" s="3">
        <v>57</v>
      </c>
      <c r="P255" s="3">
        <v>5705</v>
      </c>
      <c r="Q255" s="2" t="str">
        <f>[1]TEXTO!$A$1&amp;[1]Rejeição!L255&amp;[1]TEXTO!$B$1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55" s="12" t="s">
        <v>21</v>
      </c>
      <c r="S255" s="12" t="s">
        <v>21</v>
      </c>
      <c r="U255" s="2">
        <v>254</v>
      </c>
    </row>
    <row r="256" spans="1:21" x14ac:dyDescent="0.25">
      <c r="A256" s="1">
        <v>759847076</v>
      </c>
      <c r="B256" s="15">
        <v>45859</v>
      </c>
      <c r="C256" s="1" t="s">
        <v>7</v>
      </c>
      <c r="D256" s="1">
        <v>759847076</v>
      </c>
      <c r="G256" s="1" t="s">
        <v>18</v>
      </c>
      <c r="H256" s="1">
        <v>131189861</v>
      </c>
      <c r="I256" s="1">
        <v>0</v>
      </c>
      <c r="J256" s="12" t="s">
        <v>19</v>
      </c>
      <c r="K256" s="12" t="s">
        <v>20</v>
      </c>
      <c r="L256" s="16" t="str">
        <f t="shared" si="2"/>
        <v>Captura de parcela rejeitada - Apólice  - 7-Outros</v>
      </c>
      <c r="M256" s="2" t="s">
        <v>364</v>
      </c>
      <c r="O256" s="3">
        <v>57</v>
      </c>
      <c r="P256" s="3">
        <v>5705</v>
      </c>
      <c r="Q256" s="2" t="str">
        <f>[1]TEXTO!$A$1&amp;[1]Rejeição!L256&amp;[1]TEXTO!$B$1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56" s="12" t="s">
        <v>21</v>
      </c>
      <c r="S256" s="12" t="s">
        <v>21</v>
      </c>
      <c r="U256" s="12">
        <v>255</v>
      </c>
    </row>
    <row r="257" spans="1:21" x14ac:dyDescent="0.25">
      <c r="A257" s="1">
        <v>779684798</v>
      </c>
      <c r="B257" s="15">
        <v>45859</v>
      </c>
      <c r="C257" s="1" t="s">
        <v>7</v>
      </c>
      <c r="D257" s="1">
        <v>779684798</v>
      </c>
      <c r="G257" s="1" t="s">
        <v>18</v>
      </c>
      <c r="H257" s="1">
        <v>131540191</v>
      </c>
      <c r="I257" s="1">
        <v>0</v>
      </c>
      <c r="J257" s="12" t="s">
        <v>19</v>
      </c>
      <c r="K257" s="12" t="s">
        <v>20</v>
      </c>
      <c r="L257" s="16" t="str">
        <f t="shared" si="2"/>
        <v>Captura de parcela rejeitada - Apólice  - 7-Outros</v>
      </c>
      <c r="M257" s="2" t="s">
        <v>365</v>
      </c>
      <c r="O257" s="3">
        <v>57</v>
      </c>
      <c r="P257" s="3">
        <v>5705</v>
      </c>
      <c r="Q257" s="2" t="str">
        <f>[1]TEXTO!$A$1&amp;[1]Rejeição!L257&amp;[1]TEXTO!$B$1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57" s="12" t="s">
        <v>21</v>
      </c>
      <c r="S257" s="12" t="s">
        <v>21</v>
      </c>
      <c r="U257" s="2">
        <v>256</v>
      </c>
    </row>
    <row r="258" spans="1:21" x14ac:dyDescent="0.25">
      <c r="A258" s="1">
        <v>779685456</v>
      </c>
      <c r="B258" s="15">
        <v>45859</v>
      </c>
      <c r="C258" s="1" t="s">
        <v>7</v>
      </c>
      <c r="D258" s="1">
        <v>779685456</v>
      </c>
      <c r="G258" s="1" t="s">
        <v>18</v>
      </c>
      <c r="H258" s="1">
        <v>131540179</v>
      </c>
      <c r="I258" s="1">
        <v>0</v>
      </c>
      <c r="J258" s="12" t="s">
        <v>19</v>
      </c>
      <c r="K258" s="12" t="s">
        <v>20</v>
      </c>
      <c r="L258" s="16" t="str">
        <f t="shared" si="2"/>
        <v>Captura de parcela rejeitada - Apólice  - 7-Outros</v>
      </c>
      <c r="M258" s="2" t="s">
        <v>366</v>
      </c>
      <c r="O258" s="3">
        <v>57</v>
      </c>
      <c r="P258" s="3">
        <v>5705</v>
      </c>
      <c r="Q258" s="2" t="str">
        <f>[1]TEXTO!$A$1&amp;[1]Rejeição!L258&amp;[1]TEXTO!$B$1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58" s="12" t="s">
        <v>21</v>
      </c>
      <c r="S258" s="12" t="s">
        <v>21</v>
      </c>
      <c r="U258" s="12">
        <v>257</v>
      </c>
    </row>
    <row r="259" spans="1:21" x14ac:dyDescent="0.25">
      <c r="A259" s="1">
        <v>779687403</v>
      </c>
      <c r="B259" s="15">
        <v>45859</v>
      </c>
      <c r="C259" s="1" t="s">
        <v>7</v>
      </c>
      <c r="D259" s="1">
        <v>779687403</v>
      </c>
      <c r="G259" s="1" t="s">
        <v>18</v>
      </c>
      <c r="H259" s="1">
        <v>131540113</v>
      </c>
      <c r="I259" s="1">
        <v>0</v>
      </c>
      <c r="J259" s="12" t="s">
        <v>19</v>
      </c>
      <c r="K259" s="12" t="s">
        <v>20</v>
      </c>
      <c r="L259" s="16" t="str">
        <f t="shared" si="2"/>
        <v>Captura de parcela rejeitada - Apólice  - 7-Outros</v>
      </c>
      <c r="M259" s="2" t="s">
        <v>367</v>
      </c>
      <c r="O259" s="3">
        <v>57</v>
      </c>
      <c r="P259" s="3">
        <v>5705</v>
      </c>
      <c r="Q259" s="2" t="str">
        <f>[1]TEXTO!$A$1&amp;[1]Rejeição!L259&amp;[1]TEXTO!$B$1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59" s="12" t="s">
        <v>21</v>
      </c>
      <c r="S259" s="12" t="s">
        <v>21</v>
      </c>
      <c r="U259" s="2">
        <v>258</v>
      </c>
    </row>
    <row r="260" spans="1:21" x14ac:dyDescent="0.25">
      <c r="A260" s="1">
        <v>779691710</v>
      </c>
      <c r="B260" s="15">
        <v>45859</v>
      </c>
      <c r="C260" s="1" t="s">
        <v>7</v>
      </c>
      <c r="D260" s="1">
        <v>779691710</v>
      </c>
      <c r="G260" s="1" t="s">
        <v>18</v>
      </c>
      <c r="H260" s="1">
        <v>131539946</v>
      </c>
      <c r="I260" s="1">
        <v>0</v>
      </c>
      <c r="J260" s="12" t="s">
        <v>19</v>
      </c>
      <c r="K260" s="12" t="s">
        <v>20</v>
      </c>
      <c r="L260" s="16" t="str">
        <f t="shared" si="2"/>
        <v>Captura de parcela rejeitada - Apólice  - 7-Outros</v>
      </c>
      <c r="M260" s="2" t="s">
        <v>368</v>
      </c>
      <c r="O260" s="3">
        <v>57</v>
      </c>
      <c r="P260" s="3">
        <v>5705</v>
      </c>
      <c r="Q260" s="2" t="str">
        <f>[1]TEXTO!$A$1&amp;[1]Rejeição!L260&amp;[1]TEXTO!$B$1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60" s="12" t="s">
        <v>21</v>
      </c>
      <c r="S260" s="12" t="s">
        <v>21</v>
      </c>
      <c r="U260" s="12">
        <v>259</v>
      </c>
    </row>
    <row r="261" spans="1:21" x14ac:dyDescent="0.25">
      <c r="A261" s="1">
        <v>779692106</v>
      </c>
      <c r="B261" s="15">
        <v>45859</v>
      </c>
      <c r="C261" s="1" t="s">
        <v>7</v>
      </c>
      <c r="D261" s="1">
        <v>779692106</v>
      </c>
      <c r="G261" s="1" t="s">
        <v>18</v>
      </c>
      <c r="H261" s="1">
        <v>131539944</v>
      </c>
      <c r="I261" s="1">
        <v>0</v>
      </c>
      <c r="J261" s="12" t="s">
        <v>19</v>
      </c>
      <c r="K261" s="12" t="s">
        <v>20</v>
      </c>
      <c r="L261" s="16" t="str">
        <f t="shared" si="2"/>
        <v>Captura de parcela rejeitada - Apólice  - 7-Outros</v>
      </c>
      <c r="M261" s="2" t="s">
        <v>369</v>
      </c>
      <c r="O261" s="3">
        <v>57</v>
      </c>
      <c r="P261" s="3">
        <v>5705</v>
      </c>
      <c r="Q261" s="2" t="str">
        <f>[1]TEXTO!$A$1&amp;[1]Rejeição!L261&amp;[1]TEXTO!$B$1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61" s="12" t="s">
        <v>21</v>
      </c>
      <c r="S261" s="12" t="s">
        <v>21</v>
      </c>
      <c r="U261" s="2">
        <v>260</v>
      </c>
    </row>
    <row r="262" spans="1:21" x14ac:dyDescent="0.25">
      <c r="A262" s="1">
        <v>780357962</v>
      </c>
      <c r="B262" s="15">
        <v>45859</v>
      </c>
      <c r="C262" s="1" t="s">
        <v>7</v>
      </c>
      <c r="D262" s="1">
        <v>780357962</v>
      </c>
      <c r="G262" s="1" t="s">
        <v>18</v>
      </c>
      <c r="H262" s="1">
        <v>131539943</v>
      </c>
      <c r="I262" s="1">
        <v>0</v>
      </c>
      <c r="J262" s="12" t="s">
        <v>19</v>
      </c>
      <c r="K262" s="12" t="s">
        <v>20</v>
      </c>
      <c r="L262" s="16" t="str">
        <f t="shared" si="2"/>
        <v>Captura de parcela rejeitada - Apólice  - 7-Outros</v>
      </c>
      <c r="M262" s="2" t="s">
        <v>175</v>
      </c>
      <c r="O262" s="3">
        <v>57</v>
      </c>
      <c r="P262" s="3">
        <v>5705</v>
      </c>
      <c r="Q262" s="2" t="str">
        <f>[1]TEXTO!$A$1&amp;[1]Rejeição!L262&amp;[1]TEXTO!$B$1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62" s="12" t="s">
        <v>21</v>
      </c>
      <c r="S262" s="12" t="s">
        <v>21</v>
      </c>
      <c r="U262" s="12">
        <v>261</v>
      </c>
    </row>
    <row r="263" spans="1:21" x14ac:dyDescent="0.25">
      <c r="A263" s="1">
        <v>783373164</v>
      </c>
      <c r="B263" s="15">
        <v>45859</v>
      </c>
      <c r="C263" s="1" t="s">
        <v>7</v>
      </c>
      <c r="D263" s="1">
        <v>783373164</v>
      </c>
      <c r="G263" s="1" t="s">
        <v>18</v>
      </c>
      <c r="H263" s="1">
        <v>131540124</v>
      </c>
      <c r="I263" s="1">
        <v>0</v>
      </c>
      <c r="J263" s="12" t="s">
        <v>19</v>
      </c>
      <c r="K263" s="12" t="s">
        <v>20</v>
      </c>
      <c r="L263" s="16" t="str">
        <f t="shared" si="2"/>
        <v>Captura de parcela rejeitada - Apólice  - 7-Outros</v>
      </c>
      <c r="M263" s="2" t="s">
        <v>370</v>
      </c>
      <c r="O263" s="3">
        <v>57</v>
      </c>
      <c r="P263" s="3">
        <v>5705</v>
      </c>
      <c r="Q263" s="2" t="str">
        <f>[1]TEXTO!$A$1&amp;[1]Rejeição!L263&amp;[1]TEXTO!$B$1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63" s="12" t="s">
        <v>21</v>
      </c>
      <c r="S263" s="12" t="s">
        <v>21</v>
      </c>
      <c r="U263" s="2">
        <v>262</v>
      </c>
    </row>
    <row r="264" spans="1:21" x14ac:dyDescent="0.25">
      <c r="A264" s="1">
        <v>666326222</v>
      </c>
      <c r="B264" s="15">
        <v>45859</v>
      </c>
      <c r="C264" s="1" t="s">
        <v>7</v>
      </c>
      <c r="D264" s="1">
        <v>666326222</v>
      </c>
      <c r="G264" s="1" t="s">
        <v>18</v>
      </c>
      <c r="H264" s="1">
        <v>129548423</v>
      </c>
      <c r="I264" s="1">
        <v>0</v>
      </c>
      <c r="J264" s="12" t="s">
        <v>19</v>
      </c>
      <c r="K264" s="12" t="s">
        <v>20</v>
      </c>
      <c r="L264" s="16" t="str">
        <f t="shared" si="2"/>
        <v>Captura de parcela rejeitada - Apólice  - 7-Outros</v>
      </c>
      <c r="M264" s="2" t="s">
        <v>371</v>
      </c>
      <c r="O264" s="3">
        <v>57</v>
      </c>
      <c r="P264" s="3">
        <v>5705</v>
      </c>
      <c r="Q264" s="2" t="str">
        <f>[1]TEXTO!$A$1&amp;[1]Rejeição!L264&amp;[1]TEXTO!$B$1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64" s="12" t="s">
        <v>21</v>
      </c>
      <c r="S264" s="12" t="s">
        <v>21</v>
      </c>
      <c r="U264" s="12">
        <v>263</v>
      </c>
    </row>
    <row r="265" spans="1:21" x14ac:dyDescent="0.25">
      <c r="A265" s="1">
        <v>693480505</v>
      </c>
      <c r="B265" s="15">
        <v>45859</v>
      </c>
      <c r="C265" s="1" t="s">
        <v>7</v>
      </c>
      <c r="D265" s="1">
        <v>693480505</v>
      </c>
      <c r="G265" s="1" t="s">
        <v>18</v>
      </c>
      <c r="H265" s="1">
        <v>130029976</v>
      </c>
      <c r="I265" s="1">
        <v>0</v>
      </c>
      <c r="J265" s="12" t="s">
        <v>19</v>
      </c>
      <c r="K265" s="12" t="s">
        <v>20</v>
      </c>
      <c r="L265" s="16" t="str">
        <f t="shared" si="2"/>
        <v>Captura de parcela rejeitada - Apólice  - 7-Outros</v>
      </c>
      <c r="M265" s="2" t="s">
        <v>372</v>
      </c>
      <c r="O265" s="3">
        <v>57</v>
      </c>
      <c r="P265" s="3">
        <v>5705</v>
      </c>
      <c r="Q265" s="2" t="str">
        <f>[1]TEXTO!$A$1&amp;[1]Rejeição!L265&amp;[1]TEXTO!$B$1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65" s="12" t="s">
        <v>21</v>
      </c>
      <c r="S265" s="12" t="s">
        <v>21</v>
      </c>
      <c r="U265" s="2">
        <v>264</v>
      </c>
    </row>
    <row r="266" spans="1:21" x14ac:dyDescent="0.25">
      <c r="A266" s="1">
        <v>715398453</v>
      </c>
      <c r="B266" s="15">
        <v>45859</v>
      </c>
      <c r="C266" s="1" t="s">
        <v>7</v>
      </c>
      <c r="D266" s="1">
        <v>715398453</v>
      </c>
      <c r="G266" s="1" t="s">
        <v>18</v>
      </c>
      <c r="H266" s="1">
        <v>130423280</v>
      </c>
      <c r="I266" s="1">
        <v>0</v>
      </c>
      <c r="J266" s="12" t="s">
        <v>19</v>
      </c>
      <c r="K266" s="12" t="s">
        <v>20</v>
      </c>
      <c r="L266" s="16" t="str">
        <f t="shared" si="2"/>
        <v>Captura de parcela rejeitada - Apólice  - 7-Outros</v>
      </c>
      <c r="M266" s="2" t="s">
        <v>175</v>
      </c>
      <c r="O266" s="3">
        <v>57</v>
      </c>
      <c r="P266" s="3">
        <v>5705</v>
      </c>
      <c r="Q266" s="2" t="str">
        <f>[1]TEXTO!$A$1&amp;[1]Rejeição!L266&amp;[1]TEXTO!$B$1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66" s="12" t="s">
        <v>21</v>
      </c>
      <c r="S266" s="12" t="s">
        <v>21</v>
      </c>
      <c r="U266" s="12">
        <v>265</v>
      </c>
    </row>
    <row r="267" spans="1:21" x14ac:dyDescent="0.25">
      <c r="A267" s="1">
        <v>779686777</v>
      </c>
      <c r="B267" s="15">
        <v>45859</v>
      </c>
      <c r="C267" s="1" t="s">
        <v>7</v>
      </c>
      <c r="D267" s="1">
        <v>779686777</v>
      </c>
      <c r="G267" s="1" t="s">
        <v>18</v>
      </c>
      <c r="H267" s="1">
        <v>131540125</v>
      </c>
      <c r="I267" s="1">
        <v>0</v>
      </c>
      <c r="J267" s="12" t="s">
        <v>19</v>
      </c>
      <c r="K267" s="12" t="s">
        <v>20</v>
      </c>
      <c r="L267" s="16" t="str">
        <f t="shared" si="2"/>
        <v>Captura de parcela rejeitada - Apólice  - 7-Outros</v>
      </c>
      <c r="M267" s="2" t="s">
        <v>373</v>
      </c>
      <c r="O267" s="3">
        <v>57</v>
      </c>
      <c r="P267" s="3">
        <v>5705</v>
      </c>
      <c r="Q267" s="2" t="str">
        <f>[1]TEXTO!$A$1&amp;[1]Rejeição!L267&amp;[1]TEXTO!$B$1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67" s="12" t="s">
        <v>21</v>
      </c>
      <c r="S267" s="12" t="s">
        <v>21</v>
      </c>
      <c r="U267" s="2">
        <v>266</v>
      </c>
    </row>
    <row r="268" spans="1:21" x14ac:dyDescent="0.25">
      <c r="A268" s="1">
        <v>779688997</v>
      </c>
      <c r="B268" s="15">
        <v>45859</v>
      </c>
      <c r="C268" s="1" t="s">
        <v>7</v>
      </c>
      <c r="D268" s="1">
        <v>779688997</v>
      </c>
      <c r="G268" s="1" t="s">
        <v>18</v>
      </c>
      <c r="H268" s="1">
        <v>131540077</v>
      </c>
      <c r="I268" s="1">
        <v>0</v>
      </c>
      <c r="J268" s="12" t="s">
        <v>19</v>
      </c>
      <c r="K268" s="12" t="s">
        <v>20</v>
      </c>
      <c r="L268" s="16" t="str">
        <f t="shared" si="2"/>
        <v>Captura de parcela rejeitada - Apólice  - 7-Outros</v>
      </c>
      <c r="M268" s="2" t="s">
        <v>374</v>
      </c>
      <c r="O268" s="3">
        <v>57</v>
      </c>
      <c r="P268" s="3">
        <v>5705</v>
      </c>
      <c r="Q268" s="2" t="str">
        <f>[1]TEXTO!$A$1&amp;[1]Rejeição!L268&amp;[1]TEXTO!$B$1</f>
        <v>Prezado(a), 
Identificamos uma falha na tentativa de captura da parcela 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v>
      </c>
      <c r="R268" s="12" t="s">
        <v>21</v>
      </c>
      <c r="S268" s="12" t="s">
        <v>21</v>
      </c>
      <c r="U268" s="12">
        <v>267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>
        <v>128922475</v>
      </c>
      <c r="B2">
        <v>5705</v>
      </c>
      <c r="C2" t="s">
        <v>35</v>
      </c>
      <c r="D2" t="s">
        <v>36</v>
      </c>
      <c r="E2" s="20">
        <v>45812</v>
      </c>
    </row>
    <row r="3" spans="1:5" x14ac:dyDescent="0.25">
      <c r="A3">
        <v>128998967</v>
      </c>
      <c r="B3">
        <v>5705</v>
      </c>
      <c r="C3" t="s">
        <v>35</v>
      </c>
      <c r="D3" t="s">
        <v>36</v>
      </c>
      <c r="E3" s="20">
        <v>45812</v>
      </c>
    </row>
    <row r="4" spans="1:5" x14ac:dyDescent="0.25">
      <c r="A4">
        <v>129064609</v>
      </c>
      <c r="B4">
        <v>5705</v>
      </c>
      <c r="C4" t="s">
        <v>35</v>
      </c>
      <c r="D4" t="s">
        <v>36</v>
      </c>
      <c r="E4" s="20">
        <v>45812</v>
      </c>
    </row>
    <row r="5" spans="1:5" x14ac:dyDescent="0.25">
      <c r="A5">
        <v>129134133</v>
      </c>
      <c r="B5">
        <v>5705</v>
      </c>
      <c r="C5" t="s">
        <v>35</v>
      </c>
      <c r="D5" t="s">
        <v>36</v>
      </c>
      <c r="E5" s="20">
        <v>45812</v>
      </c>
    </row>
    <row r="6" spans="1:5" x14ac:dyDescent="0.25">
      <c r="A6">
        <v>129142868</v>
      </c>
      <c r="B6">
        <v>5705</v>
      </c>
      <c r="C6" t="s">
        <v>35</v>
      </c>
      <c r="D6" t="s">
        <v>36</v>
      </c>
      <c r="E6" s="20">
        <v>45812</v>
      </c>
    </row>
    <row r="7" spans="1:5" x14ac:dyDescent="0.25">
      <c r="A7">
        <v>129144984</v>
      </c>
      <c r="B7">
        <v>5705</v>
      </c>
      <c r="C7" t="s">
        <v>35</v>
      </c>
      <c r="D7" t="s">
        <v>36</v>
      </c>
      <c r="E7" s="20">
        <v>45812</v>
      </c>
    </row>
    <row r="8" spans="1:5" x14ac:dyDescent="0.25">
      <c r="A8">
        <v>129145543</v>
      </c>
      <c r="B8">
        <v>5705</v>
      </c>
      <c r="C8" t="s">
        <v>35</v>
      </c>
      <c r="D8" t="s">
        <v>36</v>
      </c>
      <c r="E8" s="20">
        <v>45812</v>
      </c>
    </row>
    <row r="9" spans="1:5" x14ac:dyDescent="0.25">
      <c r="A9">
        <v>129148480</v>
      </c>
      <c r="B9">
        <v>5705</v>
      </c>
      <c r="C9" t="s">
        <v>35</v>
      </c>
      <c r="D9" t="s">
        <v>36</v>
      </c>
      <c r="E9" s="20">
        <v>45812</v>
      </c>
    </row>
    <row r="10" spans="1:5" x14ac:dyDescent="0.25">
      <c r="A10">
        <v>129154680</v>
      </c>
      <c r="B10">
        <v>5705</v>
      </c>
      <c r="C10" t="s">
        <v>35</v>
      </c>
      <c r="D10" t="s">
        <v>36</v>
      </c>
      <c r="E10" s="20">
        <v>45812</v>
      </c>
    </row>
    <row r="11" spans="1:5" x14ac:dyDescent="0.25">
      <c r="A11">
        <v>129160105</v>
      </c>
      <c r="B11">
        <v>5705</v>
      </c>
      <c r="C11" t="s">
        <v>35</v>
      </c>
      <c r="D11" t="s">
        <v>36</v>
      </c>
      <c r="E11" s="20">
        <v>45812</v>
      </c>
    </row>
    <row r="12" spans="1:5" x14ac:dyDescent="0.25">
      <c r="A12">
        <v>129364094</v>
      </c>
      <c r="B12">
        <v>5705</v>
      </c>
      <c r="C12" t="s">
        <v>35</v>
      </c>
      <c r="D12" t="s">
        <v>36</v>
      </c>
      <c r="E12" s="20">
        <v>45812</v>
      </c>
    </row>
    <row r="13" spans="1:5" x14ac:dyDescent="0.25">
      <c r="A13">
        <v>129441284</v>
      </c>
      <c r="B13">
        <v>5705</v>
      </c>
      <c r="C13" t="s">
        <v>35</v>
      </c>
      <c r="D13" t="s">
        <v>36</v>
      </c>
      <c r="E13" s="20">
        <v>45812</v>
      </c>
    </row>
    <row r="14" spans="1:5" x14ac:dyDescent="0.25">
      <c r="A14">
        <v>129548423</v>
      </c>
      <c r="B14">
        <v>5705</v>
      </c>
      <c r="C14" t="s">
        <v>35</v>
      </c>
      <c r="D14" t="s">
        <v>36</v>
      </c>
      <c r="E14" s="20">
        <v>45812</v>
      </c>
    </row>
    <row r="15" spans="1:5" x14ac:dyDescent="0.25">
      <c r="A15">
        <v>129557568</v>
      </c>
      <c r="B15">
        <v>5705</v>
      </c>
      <c r="C15" t="s">
        <v>35</v>
      </c>
      <c r="D15" t="s">
        <v>36</v>
      </c>
      <c r="E15" s="20">
        <v>45812</v>
      </c>
    </row>
    <row r="16" spans="1:5" x14ac:dyDescent="0.25">
      <c r="A16">
        <v>129568043</v>
      </c>
      <c r="B16">
        <v>5705</v>
      </c>
      <c r="C16" t="s">
        <v>35</v>
      </c>
      <c r="D16" t="s">
        <v>36</v>
      </c>
      <c r="E16" s="20">
        <v>45812</v>
      </c>
    </row>
    <row r="17" spans="1:5" x14ac:dyDescent="0.25">
      <c r="A17">
        <v>129599207</v>
      </c>
      <c r="B17">
        <v>5705</v>
      </c>
      <c r="C17" t="s">
        <v>35</v>
      </c>
      <c r="D17" t="s">
        <v>36</v>
      </c>
      <c r="E17" s="20">
        <v>45812</v>
      </c>
    </row>
    <row r="18" spans="1:5" x14ac:dyDescent="0.25">
      <c r="A18">
        <v>129974061</v>
      </c>
      <c r="B18">
        <v>5705</v>
      </c>
      <c r="C18" t="s">
        <v>35</v>
      </c>
      <c r="D18" t="s">
        <v>36</v>
      </c>
      <c r="E18" s="20">
        <v>45812</v>
      </c>
    </row>
    <row r="19" spans="1:5" x14ac:dyDescent="0.25">
      <c r="A19">
        <v>129974097</v>
      </c>
      <c r="B19">
        <v>5705</v>
      </c>
      <c r="C19" t="s">
        <v>35</v>
      </c>
      <c r="D19" t="s">
        <v>36</v>
      </c>
      <c r="E19" s="20">
        <v>45812</v>
      </c>
    </row>
    <row r="20" spans="1:5" x14ac:dyDescent="0.25">
      <c r="A20">
        <v>129975239</v>
      </c>
      <c r="B20">
        <v>5705</v>
      </c>
      <c r="C20" t="s">
        <v>35</v>
      </c>
      <c r="D20" t="s">
        <v>36</v>
      </c>
      <c r="E20" s="20">
        <v>45812</v>
      </c>
    </row>
    <row r="21" spans="1:5" x14ac:dyDescent="0.25">
      <c r="A21">
        <v>129975739</v>
      </c>
      <c r="B21">
        <v>5705</v>
      </c>
      <c r="C21" t="s">
        <v>35</v>
      </c>
      <c r="D21" t="s">
        <v>36</v>
      </c>
      <c r="E21" s="20">
        <v>45812</v>
      </c>
    </row>
    <row r="22" spans="1:5" x14ac:dyDescent="0.25">
      <c r="A22">
        <v>129975769</v>
      </c>
      <c r="B22">
        <v>5705</v>
      </c>
      <c r="C22" t="s">
        <v>35</v>
      </c>
      <c r="D22" t="s">
        <v>36</v>
      </c>
      <c r="E22" s="20">
        <v>45812</v>
      </c>
    </row>
    <row r="23" spans="1:5" x14ac:dyDescent="0.25">
      <c r="A23">
        <v>129975849</v>
      </c>
      <c r="B23">
        <v>5705</v>
      </c>
      <c r="C23" t="s">
        <v>35</v>
      </c>
      <c r="D23" t="s">
        <v>36</v>
      </c>
      <c r="E23" s="20">
        <v>45812</v>
      </c>
    </row>
    <row r="24" spans="1:5" x14ac:dyDescent="0.25">
      <c r="A24">
        <v>129976221</v>
      </c>
      <c r="B24">
        <v>5705</v>
      </c>
      <c r="C24" t="s">
        <v>35</v>
      </c>
      <c r="D24" t="s">
        <v>36</v>
      </c>
      <c r="E24" s="20">
        <v>45812</v>
      </c>
    </row>
    <row r="25" spans="1:5" x14ac:dyDescent="0.25">
      <c r="A25">
        <v>129976306</v>
      </c>
      <c r="B25">
        <v>5705</v>
      </c>
      <c r="C25" t="s">
        <v>35</v>
      </c>
      <c r="D25" t="s">
        <v>36</v>
      </c>
      <c r="E25" s="20">
        <v>45812</v>
      </c>
    </row>
    <row r="26" spans="1:5" x14ac:dyDescent="0.25">
      <c r="A26">
        <v>129976805</v>
      </c>
      <c r="B26">
        <v>5705</v>
      </c>
      <c r="C26" t="s">
        <v>35</v>
      </c>
      <c r="D26" t="s">
        <v>36</v>
      </c>
      <c r="E26" s="20">
        <v>45812</v>
      </c>
    </row>
    <row r="27" spans="1:5" x14ac:dyDescent="0.25">
      <c r="A27">
        <v>129976822</v>
      </c>
      <c r="B27">
        <v>5705</v>
      </c>
      <c r="C27" t="s">
        <v>35</v>
      </c>
      <c r="D27" t="s">
        <v>36</v>
      </c>
      <c r="E27" s="20">
        <v>45812</v>
      </c>
    </row>
    <row r="28" spans="1:5" x14ac:dyDescent="0.25">
      <c r="A28">
        <v>129976877</v>
      </c>
      <c r="B28">
        <v>5705</v>
      </c>
      <c r="C28" t="s">
        <v>35</v>
      </c>
      <c r="D28" t="s">
        <v>36</v>
      </c>
      <c r="E28" s="20">
        <v>45812</v>
      </c>
    </row>
    <row r="29" spans="1:5" x14ac:dyDescent="0.25">
      <c r="A29">
        <v>129976898</v>
      </c>
      <c r="B29">
        <v>5705</v>
      </c>
      <c r="C29" t="s">
        <v>35</v>
      </c>
      <c r="D29" t="s">
        <v>36</v>
      </c>
      <c r="E29" s="20">
        <v>45812</v>
      </c>
    </row>
    <row r="30" spans="1:5" x14ac:dyDescent="0.25">
      <c r="A30">
        <v>129977079</v>
      </c>
      <c r="B30">
        <v>5705</v>
      </c>
      <c r="C30" t="s">
        <v>35</v>
      </c>
      <c r="D30" t="s">
        <v>36</v>
      </c>
      <c r="E30" s="20">
        <v>45812</v>
      </c>
    </row>
    <row r="31" spans="1:5" x14ac:dyDescent="0.25">
      <c r="A31">
        <v>129977128</v>
      </c>
      <c r="B31">
        <v>5705</v>
      </c>
      <c r="C31" t="s">
        <v>35</v>
      </c>
      <c r="D31" t="s">
        <v>36</v>
      </c>
      <c r="E31" s="20">
        <v>45812</v>
      </c>
    </row>
    <row r="32" spans="1:5" x14ac:dyDescent="0.25">
      <c r="A32">
        <v>129998580</v>
      </c>
      <c r="B32">
        <v>5705</v>
      </c>
      <c r="C32" t="s">
        <v>35</v>
      </c>
      <c r="D32" t="s">
        <v>36</v>
      </c>
      <c r="E32" s="20">
        <v>45812</v>
      </c>
    </row>
    <row r="33" spans="1:5" x14ac:dyDescent="0.25">
      <c r="A33">
        <v>130004318</v>
      </c>
      <c r="B33">
        <v>5705</v>
      </c>
      <c r="C33" t="s">
        <v>35</v>
      </c>
      <c r="D33" t="s">
        <v>36</v>
      </c>
      <c r="E33" s="20">
        <v>45812</v>
      </c>
    </row>
    <row r="34" spans="1:5" x14ac:dyDescent="0.25">
      <c r="A34">
        <v>130011908</v>
      </c>
      <c r="B34">
        <v>5705</v>
      </c>
      <c r="C34" t="s">
        <v>35</v>
      </c>
      <c r="D34" t="s">
        <v>36</v>
      </c>
      <c r="E34" s="20">
        <v>45812</v>
      </c>
    </row>
    <row r="35" spans="1:5" x14ac:dyDescent="0.25">
      <c r="A35">
        <v>130016037</v>
      </c>
      <c r="B35">
        <v>5705</v>
      </c>
      <c r="C35" t="s">
        <v>35</v>
      </c>
      <c r="D35" t="s">
        <v>36</v>
      </c>
      <c r="E35" s="20">
        <v>45812</v>
      </c>
    </row>
    <row r="36" spans="1:5" x14ac:dyDescent="0.25">
      <c r="A36">
        <v>130021579</v>
      </c>
      <c r="B36">
        <v>5705</v>
      </c>
      <c r="C36" t="s">
        <v>35</v>
      </c>
      <c r="D36" t="s">
        <v>36</v>
      </c>
      <c r="E36" s="20">
        <v>45812</v>
      </c>
    </row>
    <row r="37" spans="1:5" x14ac:dyDescent="0.25">
      <c r="A37">
        <v>130026730</v>
      </c>
      <c r="B37">
        <v>5705</v>
      </c>
      <c r="C37" t="s">
        <v>35</v>
      </c>
      <c r="D37" t="s">
        <v>36</v>
      </c>
      <c r="E37" s="20">
        <v>45812</v>
      </c>
    </row>
    <row r="38" spans="1:5" x14ac:dyDescent="0.25">
      <c r="A38">
        <v>130029349</v>
      </c>
      <c r="B38">
        <v>5705</v>
      </c>
      <c r="C38" t="s">
        <v>35</v>
      </c>
      <c r="D38" t="s">
        <v>36</v>
      </c>
      <c r="E38" s="20">
        <v>45812</v>
      </c>
    </row>
    <row r="39" spans="1:5" x14ac:dyDescent="0.25">
      <c r="A39">
        <v>130029976</v>
      </c>
      <c r="B39">
        <v>5705</v>
      </c>
      <c r="C39" t="s">
        <v>35</v>
      </c>
      <c r="D39" t="s">
        <v>36</v>
      </c>
      <c r="E39" s="20">
        <v>45812</v>
      </c>
    </row>
    <row r="40" spans="1:5" x14ac:dyDescent="0.25">
      <c r="A40">
        <v>130030251</v>
      </c>
      <c r="B40">
        <v>5705</v>
      </c>
      <c r="C40" t="s">
        <v>35</v>
      </c>
      <c r="D40" t="s">
        <v>36</v>
      </c>
      <c r="E40" s="20">
        <v>45812</v>
      </c>
    </row>
    <row r="41" spans="1:5" x14ac:dyDescent="0.25">
      <c r="A41">
        <v>130033175</v>
      </c>
      <c r="B41">
        <v>5705</v>
      </c>
      <c r="C41" t="s">
        <v>35</v>
      </c>
      <c r="D41" t="s">
        <v>36</v>
      </c>
      <c r="E41" s="20">
        <v>45812</v>
      </c>
    </row>
    <row r="42" spans="1:5" x14ac:dyDescent="0.25">
      <c r="A42">
        <v>130033353</v>
      </c>
      <c r="B42">
        <v>5705</v>
      </c>
      <c r="C42" t="s">
        <v>35</v>
      </c>
      <c r="D42" t="s">
        <v>36</v>
      </c>
      <c r="E42" s="20">
        <v>45812</v>
      </c>
    </row>
    <row r="43" spans="1:5" x14ac:dyDescent="0.25">
      <c r="A43">
        <v>130370444</v>
      </c>
      <c r="B43">
        <v>5705</v>
      </c>
      <c r="C43" t="s">
        <v>35</v>
      </c>
      <c r="D43" t="s">
        <v>36</v>
      </c>
      <c r="E43" s="20">
        <v>45812</v>
      </c>
    </row>
    <row r="44" spans="1:5" x14ac:dyDescent="0.25">
      <c r="A44">
        <v>130381891</v>
      </c>
      <c r="B44">
        <v>5705</v>
      </c>
      <c r="C44" t="s">
        <v>35</v>
      </c>
      <c r="D44" t="s">
        <v>36</v>
      </c>
      <c r="E44" s="20">
        <v>45812</v>
      </c>
    </row>
    <row r="45" spans="1:5" x14ac:dyDescent="0.25">
      <c r="A45">
        <v>130394687</v>
      </c>
      <c r="B45">
        <v>5705</v>
      </c>
      <c r="C45" t="s">
        <v>35</v>
      </c>
      <c r="D45" t="s">
        <v>36</v>
      </c>
      <c r="E45" s="20">
        <v>45812</v>
      </c>
    </row>
    <row r="46" spans="1:5" x14ac:dyDescent="0.25">
      <c r="A46">
        <v>130396757</v>
      </c>
      <c r="B46">
        <v>5705</v>
      </c>
      <c r="C46" t="s">
        <v>35</v>
      </c>
      <c r="D46" t="s">
        <v>36</v>
      </c>
      <c r="E46" s="20">
        <v>45812</v>
      </c>
    </row>
    <row r="47" spans="1:5" x14ac:dyDescent="0.25">
      <c r="A47">
        <v>130405533</v>
      </c>
      <c r="B47">
        <v>5705</v>
      </c>
      <c r="C47" t="s">
        <v>35</v>
      </c>
      <c r="D47" t="s">
        <v>36</v>
      </c>
      <c r="E47" s="20">
        <v>45812</v>
      </c>
    </row>
    <row r="48" spans="1:5" x14ac:dyDescent="0.25">
      <c r="A48">
        <v>130407494</v>
      </c>
      <c r="B48">
        <v>5705</v>
      </c>
      <c r="C48" t="s">
        <v>35</v>
      </c>
      <c r="D48" t="s">
        <v>36</v>
      </c>
      <c r="E48" s="20">
        <v>45812</v>
      </c>
    </row>
    <row r="49" spans="1:5" x14ac:dyDescent="0.25">
      <c r="A49">
        <v>130410391</v>
      </c>
      <c r="B49">
        <v>5705</v>
      </c>
      <c r="C49" t="s">
        <v>35</v>
      </c>
      <c r="D49" t="s">
        <v>36</v>
      </c>
      <c r="E49" s="20">
        <v>45812</v>
      </c>
    </row>
    <row r="50" spans="1:5" x14ac:dyDescent="0.25">
      <c r="A50">
        <v>130419144</v>
      </c>
      <c r="B50">
        <v>5705</v>
      </c>
      <c r="C50" t="s">
        <v>35</v>
      </c>
      <c r="D50" t="s">
        <v>36</v>
      </c>
      <c r="E50" s="20">
        <v>45812</v>
      </c>
    </row>
    <row r="51" spans="1:5" x14ac:dyDescent="0.25">
      <c r="A51">
        <v>130423280</v>
      </c>
      <c r="B51">
        <v>5705</v>
      </c>
      <c r="C51" t="s">
        <v>35</v>
      </c>
      <c r="D51" t="s">
        <v>36</v>
      </c>
      <c r="E51" s="20">
        <v>45812</v>
      </c>
    </row>
    <row r="52" spans="1:5" x14ac:dyDescent="0.25">
      <c r="A52">
        <v>130423906</v>
      </c>
      <c r="B52">
        <v>5705</v>
      </c>
      <c r="C52" t="s">
        <v>35</v>
      </c>
      <c r="D52" t="s">
        <v>36</v>
      </c>
      <c r="E52" s="20">
        <v>45812</v>
      </c>
    </row>
    <row r="53" spans="1:5" x14ac:dyDescent="0.25">
      <c r="A53">
        <v>130424233</v>
      </c>
      <c r="B53">
        <v>5705</v>
      </c>
      <c r="C53" t="s">
        <v>35</v>
      </c>
      <c r="D53" t="s">
        <v>36</v>
      </c>
      <c r="E53" s="20">
        <v>45812</v>
      </c>
    </row>
    <row r="54" spans="1:5" x14ac:dyDescent="0.25">
      <c r="A54">
        <v>130424524</v>
      </c>
      <c r="B54">
        <v>5705</v>
      </c>
      <c r="C54" t="s">
        <v>35</v>
      </c>
      <c r="D54" t="s">
        <v>36</v>
      </c>
      <c r="E54" s="20">
        <v>45812</v>
      </c>
    </row>
    <row r="55" spans="1:5" x14ac:dyDescent="0.25">
      <c r="A55">
        <v>130434836</v>
      </c>
      <c r="B55">
        <v>5705</v>
      </c>
      <c r="C55" t="s">
        <v>35</v>
      </c>
      <c r="D55" t="s">
        <v>36</v>
      </c>
      <c r="E55" s="20">
        <v>45812</v>
      </c>
    </row>
    <row r="56" spans="1:5" x14ac:dyDescent="0.25">
      <c r="A56">
        <v>130779350</v>
      </c>
      <c r="B56">
        <v>5705</v>
      </c>
      <c r="C56" t="s">
        <v>35</v>
      </c>
      <c r="D56" t="s">
        <v>36</v>
      </c>
      <c r="E56" s="20">
        <v>45812</v>
      </c>
    </row>
    <row r="57" spans="1:5" x14ac:dyDescent="0.25">
      <c r="A57">
        <v>130781514</v>
      </c>
      <c r="B57">
        <v>5705</v>
      </c>
      <c r="C57" t="s">
        <v>35</v>
      </c>
      <c r="D57" t="s">
        <v>36</v>
      </c>
      <c r="E57" s="20">
        <v>45812</v>
      </c>
    </row>
    <row r="58" spans="1:5" x14ac:dyDescent="0.25">
      <c r="A58">
        <v>130782231</v>
      </c>
      <c r="B58">
        <v>5705</v>
      </c>
      <c r="C58" t="s">
        <v>35</v>
      </c>
      <c r="D58" t="s">
        <v>36</v>
      </c>
      <c r="E58" s="20">
        <v>45812</v>
      </c>
    </row>
    <row r="59" spans="1:5" x14ac:dyDescent="0.25">
      <c r="A59">
        <v>130786713</v>
      </c>
      <c r="B59">
        <v>5705</v>
      </c>
      <c r="C59" t="s">
        <v>35</v>
      </c>
      <c r="D59" t="s">
        <v>36</v>
      </c>
      <c r="E59" s="20">
        <v>45812</v>
      </c>
    </row>
    <row r="60" spans="1:5" x14ac:dyDescent="0.25">
      <c r="A60">
        <v>130791936</v>
      </c>
      <c r="B60">
        <v>5705</v>
      </c>
      <c r="C60" t="s">
        <v>35</v>
      </c>
      <c r="D60" t="s">
        <v>36</v>
      </c>
      <c r="E60" s="20">
        <v>45812</v>
      </c>
    </row>
    <row r="61" spans="1:5" x14ac:dyDescent="0.25">
      <c r="A61">
        <v>130793142</v>
      </c>
      <c r="B61">
        <v>5705</v>
      </c>
      <c r="C61" t="s">
        <v>35</v>
      </c>
      <c r="D61" t="s">
        <v>36</v>
      </c>
      <c r="E61" s="20">
        <v>45812</v>
      </c>
    </row>
    <row r="62" spans="1:5" x14ac:dyDescent="0.25">
      <c r="A62">
        <v>130808065</v>
      </c>
      <c r="B62">
        <v>5705</v>
      </c>
      <c r="C62" t="s">
        <v>35</v>
      </c>
      <c r="D62" t="s">
        <v>36</v>
      </c>
      <c r="E62" s="20">
        <v>45812</v>
      </c>
    </row>
    <row r="63" spans="1:5" x14ac:dyDescent="0.25">
      <c r="A63">
        <v>131113655</v>
      </c>
      <c r="B63">
        <v>5705</v>
      </c>
      <c r="C63" t="s">
        <v>35</v>
      </c>
      <c r="D63" t="s">
        <v>36</v>
      </c>
      <c r="E63" s="20">
        <v>45812</v>
      </c>
    </row>
    <row r="64" spans="1:5" x14ac:dyDescent="0.25">
      <c r="A64">
        <v>131128302</v>
      </c>
      <c r="B64">
        <v>5705</v>
      </c>
      <c r="C64" t="s">
        <v>35</v>
      </c>
      <c r="D64" t="s">
        <v>36</v>
      </c>
      <c r="E64" s="20">
        <v>45812</v>
      </c>
    </row>
    <row r="65" spans="1:5" x14ac:dyDescent="0.25">
      <c r="A65">
        <v>131133804</v>
      </c>
      <c r="B65">
        <v>5705</v>
      </c>
      <c r="C65" t="s">
        <v>35</v>
      </c>
      <c r="D65" t="s">
        <v>36</v>
      </c>
      <c r="E65" s="20">
        <v>45812</v>
      </c>
    </row>
    <row r="66" spans="1:5" x14ac:dyDescent="0.25">
      <c r="A66">
        <v>131167490</v>
      </c>
      <c r="B66">
        <v>5705</v>
      </c>
      <c r="C66" t="s">
        <v>35</v>
      </c>
      <c r="D66" t="s">
        <v>36</v>
      </c>
      <c r="E66" s="20">
        <v>45812</v>
      </c>
    </row>
    <row r="67" spans="1:5" x14ac:dyDescent="0.25">
      <c r="A67">
        <v>131168164</v>
      </c>
      <c r="B67">
        <v>5705</v>
      </c>
      <c r="C67" t="s">
        <v>35</v>
      </c>
      <c r="D67" t="s">
        <v>36</v>
      </c>
      <c r="E67" s="20">
        <v>45812</v>
      </c>
    </row>
    <row r="68" spans="1:5" x14ac:dyDescent="0.25">
      <c r="A68">
        <v>131192175</v>
      </c>
      <c r="B68">
        <v>5705</v>
      </c>
      <c r="C68" t="s">
        <v>35</v>
      </c>
      <c r="D68" t="s">
        <v>36</v>
      </c>
      <c r="E68" s="20">
        <v>45812</v>
      </c>
    </row>
    <row r="69" spans="1:5" x14ac:dyDescent="0.25">
      <c r="A69">
        <v>131208427</v>
      </c>
      <c r="B69">
        <v>5705</v>
      </c>
      <c r="C69" t="s">
        <v>35</v>
      </c>
      <c r="D69" t="s">
        <v>36</v>
      </c>
      <c r="E69" s="20">
        <v>45812</v>
      </c>
    </row>
    <row r="70" spans="1:5" x14ac:dyDescent="0.25">
      <c r="A70">
        <v>131539948</v>
      </c>
      <c r="B70">
        <v>5705</v>
      </c>
      <c r="C70" t="s">
        <v>35</v>
      </c>
      <c r="D70" t="s">
        <v>36</v>
      </c>
      <c r="E70" s="20">
        <v>45812</v>
      </c>
    </row>
    <row r="71" spans="1:5" x14ac:dyDescent="0.25">
      <c r="A71">
        <v>131539964</v>
      </c>
      <c r="B71">
        <v>5705</v>
      </c>
      <c r="C71" t="s">
        <v>35</v>
      </c>
      <c r="D71" t="s">
        <v>36</v>
      </c>
      <c r="E71" s="20">
        <v>45812</v>
      </c>
    </row>
    <row r="72" spans="1:5" x14ac:dyDescent="0.25">
      <c r="A72">
        <v>131539989</v>
      </c>
      <c r="B72">
        <v>5705</v>
      </c>
      <c r="C72" t="s">
        <v>35</v>
      </c>
      <c r="D72" t="s">
        <v>36</v>
      </c>
      <c r="E72" s="20">
        <v>45812</v>
      </c>
    </row>
    <row r="73" spans="1:5" x14ac:dyDescent="0.25">
      <c r="A73">
        <v>131540077</v>
      </c>
      <c r="B73">
        <v>5705</v>
      </c>
      <c r="C73" t="s">
        <v>35</v>
      </c>
      <c r="D73" t="s">
        <v>36</v>
      </c>
      <c r="E73" s="20">
        <v>45812</v>
      </c>
    </row>
    <row r="74" spans="1:5" x14ac:dyDescent="0.25">
      <c r="A74">
        <v>131540125</v>
      </c>
      <c r="B74">
        <v>5705</v>
      </c>
      <c r="C74" t="s">
        <v>35</v>
      </c>
      <c r="D74" t="s">
        <v>36</v>
      </c>
      <c r="E74" s="20">
        <v>45812</v>
      </c>
    </row>
    <row r="75" spans="1:5" x14ac:dyDescent="0.25">
      <c r="A75">
        <v>131540180</v>
      </c>
      <c r="B75">
        <v>5705</v>
      </c>
      <c r="C75" t="s">
        <v>35</v>
      </c>
      <c r="D75" t="s">
        <v>36</v>
      </c>
      <c r="E75" s="20">
        <v>45812</v>
      </c>
    </row>
    <row r="76" spans="1:5" x14ac:dyDescent="0.25">
      <c r="A76">
        <v>131540187</v>
      </c>
      <c r="B76">
        <v>5705</v>
      </c>
      <c r="C76" t="s">
        <v>35</v>
      </c>
      <c r="D76" t="s">
        <v>36</v>
      </c>
      <c r="E76" s="20">
        <v>45812</v>
      </c>
    </row>
    <row r="77" spans="1:5" x14ac:dyDescent="0.25">
      <c r="A77">
        <v>131540275</v>
      </c>
      <c r="B77">
        <v>5705</v>
      </c>
      <c r="C77" t="s">
        <v>35</v>
      </c>
      <c r="D77" t="s">
        <v>36</v>
      </c>
      <c r="E77" s="20">
        <v>45812</v>
      </c>
    </row>
    <row r="78" spans="1:5" x14ac:dyDescent="0.25">
      <c r="A78">
        <v>131543643</v>
      </c>
      <c r="B78">
        <v>5705</v>
      </c>
      <c r="C78" t="s">
        <v>35</v>
      </c>
      <c r="D78" t="s">
        <v>36</v>
      </c>
      <c r="E78" s="20">
        <v>45812</v>
      </c>
    </row>
    <row r="79" spans="1:5" x14ac:dyDescent="0.25">
      <c r="A79">
        <v>131554131</v>
      </c>
      <c r="B79">
        <v>5705</v>
      </c>
      <c r="C79" t="s">
        <v>35</v>
      </c>
      <c r="D79" t="s">
        <v>36</v>
      </c>
      <c r="E79" s="20">
        <v>45812</v>
      </c>
    </row>
    <row r="80" spans="1:5" x14ac:dyDescent="0.25">
      <c r="A80">
        <v>131591448</v>
      </c>
      <c r="B80">
        <v>5705</v>
      </c>
      <c r="C80" t="s">
        <v>35</v>
      </c>
      <c r="D80" t="s">
        <v>36</v>
      </c>
      <c r="E80" s="20">
        <v>45812</v>
      </c>
    </row>
    <row r="81" spans="1:5" x14ac:dyDescent="0.25">
      <c r="A81">
        <v>131686266</v>
      </c>
      <c r="B81">
        <v>5705</v>
      </c>
      <c r="C81" t="s">
        <v>35</v>
      </c>
      <c r="D81" t="s">
        <v>36</v>
      </c>
      <c r="E81" s="20">
        <v>45812</v>
      </c>
    </row>
    <row r="82" spans="1:5" x14ac:dyDescent="0.25">
      <c r="A82">
        <v>131879818</v>
      </c>
      <c r="B82">
        <v>5705</v>
      </c>
      <c r="C82" t="s">
        <v>35</v>
      </c>
      <c r="D82" t="s">
        <v>36</v>
      </c>
      <c r="E82" s="20">
        <v>45812</v>
      </c>
    </row>
    <row r="83" spans="1:5" x14ac:dyDescent="0.25">
      <c r="A83">
        <v>131880068</v>
      </c>
      <c r="B83">
        <v>5705</v>
      </c>
      <c r="C83" t="s">
        <v>35</v>
      </c>
      <c r="D83" t="s">
        <v>36</v>
      </c>
      <c r="E83" s="20">
        <v>45812</v>
      </c>
    </row>
    <row r="84" spans="1:5" x14ac:dyDescent="0.25">
      <c r="A84">
        <v>131906507</v>
      </c>
      <c r="B84">
        <v>5705</v>
      </c>
      <c r="C84" t="s">
        <v>35</v>
      </c>
      <c r="D84" t="s">
        <v>36</v>
      </c>
      <c r="E84" s="20">
        <v>45812</v>
      </c>
    </row>
    <row r="85" spans="1:5" x14ac:dyDescent="0.25">
      <c r="A85">
        <v>131957617</v>
      </c>
      <c r="B85">
        <v>5705</v>
      </c>
      <c r="C85" t="s">
        <v>35</v>
      </c>
      <c r="D85" t="s">
        <v>36</v>
      </c>
      <c r="E85" s="20">
        <v>45812</v>
      </c>
    </row>
    <row r="86" spans="1:5" x14ac:dyDescent="0.25">
      <c r="A86">
        <v>131977546</v>
      </c>
      <c r="B86">
        <v>5705</v>
      </c>
      <c r="C86" t="s">
        <v>35</v>
      </c>
      <c r="D86" t="s">
        <v>36</v>
      </c>
      <c r="E86" s="20">
        <v>45812</v>
      </c>
    </row>
    <row r="87" spans="1:5" x14ac:dyDescent="0.25">
      <c r="A87">
        <v>131978632</v>
      </c>
      <c r="B87">
        <v>5705</v>
      </c>
      <c r="C87" t="s">
        <v>35</v>
      </c>
      <c r="D87" t="s">
        <v>36</v>
      </c>
      <c r="E87" s="20">
        <v>45812</v>
      </c>
    </row>
    <row r="88" spans="1:5" x14ac:dyDescent="0.25">
      <c r="A88">
        <v>131994237</v>
      </c>
      <c r="B88">
        <v>5705</v>
      </c>
      <c r="C88" t="s">
        <v>35</v>
      </c>
      <c r="D88" t="s">
        <v>36</v>
      </c>
      <c r="E88" s="20">
        <v>45812</v>
      </c>
    </row>
    <row r="89" spans="1:5" x14ac:dyDescent="0.25">
      <c r="A89">
        <v>132003168</v>
      </c>
      <c r="B89">
        <v>5705</v>
      </c>
      <c r="C89" t="s">
        <v>35</v>
      </c>
      <c r="D89" t="s">
        <v>36</v>
      </c>
      <c r="E89" s="20">
        <v>45812</v>
      </c>
    </row>
    <row r="90" spans="1:5" x14ac:dyDescent="0.25">
      <c r="A90">
        <v>132011440</v>
      </c>
      <c r="B90">
        <v>5705</v>
      </c>
      <c r="C90" t="s">
        <v>35</v>
      </c>
      <c r="D90" t="s">
        <v>36</v>
      </c>
      <c r="E90" s="20">
        <v>45812</v>
      </c>
    </row>
    <row r="91" spans="1:5" x14ac:dyDescent="0.25">
      <c r="A91">
        <v>132011491</v>
      </c>
      <c r="B91">
        <v>5705</v>
      </c>
      <c r="C91" t="s">
        <v>35</v>
      </c>
      <c r="D91" t="s">
        <v>36</v>
      </c>
      <c r="E91" s="20">
        <v>45812</v>
      </c>
    </row>
    <row r="92" spans="1:5" x14ac:dyDescent="0.25">
      <c r="A92">
        <v>132302855</v>
      </c>
      <c r="B92">
        <v>5705</v>
      </c>
      <c r="C92" t="s">
        <v>35</v>
      </c>
      <c r="D92" t="s">
        <v>36</v>
      </c>
      <c r="E92" s="20">
        <v>45812</v>
      </c>
    </row>
    <row r="93" spans="1:5" x14ac:dyDescent="0.25">
      <c r="A93">
        <v>132336362</v>
      </c>
      <c r="B93">
        <v>5705</v>
      </c>
      <c r="C93" t="s">
        <v>35</v>
      </c>
      <c r="D93" t="s">
        <v>36</v>
      </c>
      <c r="E93" s="20">
        <v>45812</v>
      </c>
    </row>
    <row r="94" spans="1:5" x14ac:dyDescent="0.25">
      <c r="A94">
        <v>132355010</v>
      </c>
      <c r="B94">
        <v>5705</v>
      </c>
      <c r="C94" t="s">
        <v>35</v>
      </c>
      <c r="D94" t="s">
        <v>36</v>
      </c>
      <c r="E94" s="20">
        <v>45812</v>
      </c>
    </row>
    <row r="95" spans="1:5" x14ac:dyDescent="0.25">
      <c r="A95">
        <v>132360626</v>
      </c>
      <c r="B95">
        <v>5705</v>
      </c>
      <c r="C95" t="s">
        <v>35</v>
      </c>
      <c r="D95" t="s">
        <v>36</v>
      </c>
      <c r="E95" s="20">
        <v>45812</v>
      </c>
    </row>
    <row r="96" spans="1:5" x14ac:dyDescent="0.25">
      <c r="A96">
        <v>132365359</v>
      </c>
      <c r="B96">
        <v>5705</v>
      </c>
      <c r="C96" t="s">
        <v>35</v>
      </c>
      <c r="D96" t="s">
        <v>36</v>
      </c>
      <c r="E96" s="20">
        <v>45812</v>
      </c>
    </row>
    <row r="97" spans="1:5" x14ac:dyDescent="0.25">
      <c r="A97">
        <v>132369208</v>
      </c>
      <c r="B97">
        <v>5705</v>
      </c>
      <c r="C97" t="s">
        <v>35</v>
      </c>
      <c r="D97" t="s">
        <v>36</v>
      </c>
      <c r="E97" s="20">
        <v>45812</v>
      </c>
    </row>
    <row r="98" spans="1:5" x14ac:dyDescent="0.25">
      <c r="A98">
        <v>132382372</v>
      </c>
      <c r="B98">
        <v>5705</v>
      </c>
      <c r="C98" t="s">
        <v>35</v>
      </c>
      <c r="D98" t="s">
        <v>36</v>
      </c>
      <c r="E98" s="20">
        <v>45812</v>
      </c>
    </row>
    <row r="99" spans="1:5" x14ac:dyDescent="0.25">
      <c r="E99" s="20"/>
    </row>
    <row r="100" spans="1:5" x14ac:dyDescent="0.25">
      <c r="E100" s="20"/>
    </row>
    <row r="101" spans="1:5" x14ac:dyDescent="0.25">
      <c r="E101" s="20"/>
    </row>
    <row r="102" spans="1:5" x14ac:dyDescent="0.25">
      <c r="E102" s="20"/>
    </row>
    <row r="103" spans="1:5" x14ac:dyDescent="0.25">
      <c r="E103" s="20"/>
    </row>
    <row r="104" spans="1:5" x14ac:dyDescent="0.25">
      <c r="E104" s="20"/>
    </row>
    <row r="105" spans="1:5" x14ac:dyDescent="0.25">
      <c r="E105" s="20"/>
    </row>
    <row r="106" spans="1:5" x14ac:dyDescent="0.25">
      <c r="E106" s="20"/>
    </row>
    <row r="107" spans="1:5" x14ac:dyDescent="0.25">
      <c r="E107" s="20"/>
    </row>
    <row r="108" spans="1:5" x14ac:dyDescent="0.25">
      <c r="E108" s="20"/>
    </row>
    <row r="109" spans="1:5" x14ac:dyDescent="0.25">
      <c r="E109" s="20"/>
    </row>
    <row r="110" spans="1:5" x14ac:dyDescent="0.25">
      <c r="E110" s="20"/>
    </row>
    <row r="111" spans="1:5" x14ac:dyDescent="0.25">
      <c r="E111" s="20"/>
    </row>
    <row r="112" spans="1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E150"/>
  <sheetViews>
    <sheetView workbookViewId="0">
      <selection activeCell="D123" sqref="D123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31</v>
      </c>
      <c r="C1" s="24" t="s">
        <v>32</v>
      </c>
      <c r="D1" s="24" t="s">
        <v>33</v>
      </c>
      <c r="E1" s="24" t="s">
        <v>34</v>
      </c>
    </row>
    <row r="2" spans="1:5" hidden="1" x14ac:dyDescent="0.25">
      <c r="A2" s="25">
        <v>129134133</v>
      </c>
      <c r="B2" s="21" t="e">
        <f>_xlfn.XLOOKUP(A2,Planilha1!H:H,Planilha1!D:D)</f>
        <v>#N/A</v>
      </c>
    </row>
    <row r="3" spans="1:5" hidden="1" x14ac:dyDescent="0.25">
      <c r="A3" s="25">
        <v>129160105</v>
      </c>
      <c r="B3" s="21" t="e">
        <f>_xlfn.XLOOKUP(A3,Planilha1!H:H,Planilha1!D:D)</f>
        <v>#N/A</v>
      </c>
    </row>
    <row r="4" spans="1:5" hidden="1" x14ac:dyDescent="0.25">
      <c r="A4" s="25">
        <v>129148480</v>
      </c>
      <c r="B4" s="21" t="e">
        <f>_xlfn.XLOOKUP(A4,Planilha1!H:H,Planilha1!D:D)</f>
        <v>#N/A</v>
      </c>
    </row>
    <row r="5" spans="1:5" hidden="1" x14ac:dyDescent="0.25">
      <c r="A5" s="25">
        <v>129145543</v>
      </c>
      <c r="B5" s="21" t="e">
        <f>_xlfn.XLOOKUP(A5,Planilha1!H:H,Planilha1!D:D)</f>
        <v>#N/A</v>
      </c>
    </row>
    <row r="6" spans="1:5" hidden="1" x14ac:dyDescent="0.25">
      <c r="A6" s="25">
        <v>128998967</v>
      </c>
      <c r="B6" s="21" t="e">
        <f>_xlfn.XLOOKUP(A6,Planilha1!H:H,Planilha1!D:D)</f>
        <v>#N/A</v>
      </c>
    </row>
    <row r="7" spans="1:5" hidden="1" x14ac:dyDescent="0.25">
      <c r="A7" s="25">
        <v>129441284</v>
      </c>
      <c r="B7" s="21" t="e">
        <f>_xlfn.XLOOKUP(A7,Planilha1!H:H,Planilha1!D:D)</f>
        <v>#N/A</v>
      </c>
    </row>
    <row r="8" spans="1:5" hidden="1" x14ac:dyDescent="0.25">
      <c r="A8" s="25">
        <v>129599207</v>
      </c>
      <c r="B8" s="21" t="e">
        <f>_xlfn.XLOOKUP(A8,Planilha1!H:H,Planilha1!D:D)</f>
        <v>#N/A</v>
      </c>
    </row>
    <row r="9" spans="1:5" x14ac:dyDescent="0.25">
      <c r="A9" s="25">
        <v>129834862</v>
      </c>
      <c r="B9" s="21" t="e">
        <f>_xlfn.XLOOKUP(A9,Planilha1!H:H,Planilha1!D:D)</f>
        <v>#N/A</v>
      </c>
      <c r="C9" s="21" t="e">
        <v>#N/A</v>
      </c>
      <c r="D9" s="21" t="s">
        <v>37</v>
      </c>
    </row>
    <row r="10" spans="1:5" hidden="1" x14ac:dyDescent="0.25">
      <c r="A10" s="25">
        <v>129998580</v>
      </c>
      <c r="B10" s="21" t="e">
        <f>_xlfn.XLOOKUP(A10,Planilha1!H:H,Planilha1!D:D)</f>
        <v>#N/A</v>
      </c>
    </row>
    <row r="11" spans="1:5" hidden="1" x14ac:dyDescent="0.25">
      <c r="A11" s="25">
        <v>130011908</v>
      </c>
      <c r="B11" s="21" t="e">
        <f>_xlfn.XLOOKUP(A11,Planilha1!H:H,Planilha1!D:D)</f>
        <v>#N/A</v>
      </c>
    </row>
    <row r="12" spans="1:5" hidden="1" x14ac:dyDescent="0.25">
      <c r="A12" s="25">
        <v>130021579</v>
      </c>
      <c r="B12" s="21" t="e">
        <f>_xlfn.XLOOKUP(A12,Planilha1!H:H,Planilha1!D:D)</f>
        <v>#N/A</v>
      </c>
    </row>
    <row r="13" spans="1:5" hidden="1" x14ac:dyDescent="0.25">
      <c r="A13" s="25">
        <v>130026730</v>
      </c>
      <c r="B13" s="21" t="e">
        <f>_xlfn.XLOOKUP(A13,Planilha1!H:H,Planilha1!D:D)</f>
        <v>#N/A</v>
      </c>
    </row>
    <row r="14" spans="1:5" hidden="1" x14ac:dyDescent="0.25">
      <c r="A14" s="25">
        <v>130394687</v>
      </c>
      <c r="B14" s="21" t="e">
        <f>_xlfn.XLOOKUP(A14,Planilha1!H:H,Planilha1!D:D)</f>
        <v>#N/A</v>
      </c>
    </row>
    <row r="15" spans="1:5" hidden="1" x14ac:dyDescent="0.25">
      <c r="A15" s="25">
        <v>130381891</v>
      </c>
      <c r="B15" s="21" t="e">
        <f>_xlfn.XLOOKUP(A15,Planilha1!H:H,Planilha1!D:D)</f>
        <v>#N/A</v>
      </c>
    </row>
    <row r="16" spans="1:5" hidden="1" x14ac:dyDescent="0.25">
      <c r="A16" s="25">
        <v>130424524</v>
      </c>
      <c r="B16" s="21" t="e">
        <f>_xlfn.XLOOKUP(A16,Planilha1!H:H,Planilha1!D:D)</f>
        <v>#N/A</v>
      </c>
    </row>
    <row r="17" spans="1:2" hidden="1" x14ac:dyDescent="0.25">
      <c r="A17" s="25">
        <v>130434836</v>
      </c>
      <c r="B17" s="21" t="e">
        <f>_xlfn.XLOOKUP(A17,Planilha1!H:H,Planilha1!D:D)</f>
        <v>#N/A</v>
      </c>
    </row>
    <row r="18" spans="1:2" hidden="1" x14ac:dyDescent="0.25">
      <c r="A18" s="25">
        <v>130410391</v>
      </c>
      <c r="B18" s="21" t="e">
        <f>_xlfn.XLOOKUP(A18,Planilha1!H:H,Planilha1!D:D)</f>
        <v>#N/A</v>
      </c>
    </row>
    <row r="19" spans="1:2" hidden="1" x14ac:dyDescent="0.25">
      <c r="A19" s="25">
        <v>130405533</v>
      </c>
      <c r="B19" s="21" t="e">
        <f>_xlfn.XLOOKUP(A19,Planilha1!H:H,Planilha1!D:D)</f>
        <v>#N/A</v>
      </c>
    </row>
    <row r="20" spans="1:2" hidden="1" x14ac:dyDescent="0.25">
      <c r="A20" s="25">
        <v>130782231</v>
      </c>
      <c r="B20" s="21" t="e">
        <f>_xlfn.XLOOKUP(A20,Planilha1!H:H,Planilha1!D:D)</f>
        <v>#N/A</v>
      </c>
    </row>
    <row r="21" spans="1:2" hidden="1" x14ac:dyDescent="0.25">
      <c r="A21" s="25">
        <v>130781514</v>
      </c>
      <c r="B21" s="21" t="e">
        <f>_xlfn.XLOOKUP(A21,Planilha1!H:H,Planilha1!D:D)</f>
        <v>#N/A</v>
      </c>
    </row>
    <row r="22" spans="1:2" hidden="1" x14ac:dyDescent="0.25">
      <c r="A22" s="25">
        <v>130791936</v>
      </c>
      <c r="B22" s="21" t="e">
        <f>_xlfn.XLOOKUP(A22,Planilha1!H:H,Planilha1!D:D)</f>
        <v>#N/A</v>
      </c>
    </row>
    <row r="23" spans="1:2" hidden="1" x14ac:dyDescent="0.25">
      <c r="A23" s="25">
        <v>130808065</v>
      </c>
      <c r="B23" s="21" t="e">
        <f>_xlfn.XLOOKUP(A23,Planilha1!H:H,Planilha1!D:D)</f>
        <v>#N/A</v>
      </c>
    </row>
    <row r="24" spans="1:2" hidden="1" x14ac:dyDescent="0.25">
      <c r="A24" s="25">
        <v>131128302</v>
      </c>
      <c r="B24" s="21" t="e">
        <f>_xlfn.XLOOKUP(A24,Planilha1!H:H,Planilha1!D:D)</f>
        <v>#N/A</v>
      </c>
    </row>
    <row r="25" spans="1:2" hidden="1" x14ac:dyDescent="0.25">
      <c r="A25" s="25">
        <v>131133804</v>
      </c>
      <c r="B25" s="21" t="e">
        <f>_xlfn.XLOOKUP(A25,Planilha1!H:H,Planilha1!D:D)</f>
        <v>#N/A</v>
      </c>
    </row>
    <row r="26" spans="1:2" hidden="1" x14ac:dyDescent="0.25">
      <c r="A26" s="25">
        <v>129364094</v>
      </c>
      <c r="B26" s="21" t="e">
        <f>_xlfn.XLOOKUP(A26,Planilha1!H:H,Planilha1!D:D)</f>
        <v>#N/A</v>
      </c>
    </row>
    <row r="27" spans="1:2" hidden="1" x14ac:dyDescent="0.25">
      <c r="A27" s="25">
        <v>131168164</v>
      </c>
      <c r="B27" s="21" t="e">
        <f>_xlfn.XLOOKUP(A27,Planilha1!H:H,Planilha1!D:D)</f>
        <v>#N/A</v>
      </c>
    </row>
    <row r="28" spans="1:2" hidden="1" x14ac:dyDescent="0.25">
      <c r="A28" s="25">
        <v>131208427</v>
      </c>
      <c r="B28" s="21" t="e">
        <f>_xlfn.XLOOKUP(A28,Planilha1!H:H,Planilha1!D:D)</f>
        <v>#N/A</v>
      </c>
    </row>
    <row r="29" spans="1:2" hidden="1" x14ac:dyDescent="0.25">
      <c r="A29" s="25">
        <v>131192175</v>
      </c>
      <c r="B29" s="21" t="e">
        <f>_xlfn.XLOOKUP(A29,Planilha1!H:H,Planilha1!D:D)</f>
        <v>#N/A</v>
      </c>
    </row>
    <row r="30" spans="1:2" hidden="1" x14ac:dyDescent="0.25">
      <c r="A30" s="25">
        <v>131543643</v>
      </c>
      <c r="B30" s="21" t="e">
        <f>_xlfn.XLOOKUP(A30,Planilha1!H:H,Planilha1!D:D)</f>
        <v>#N/A</v>
      </c>
    </row>
    <row r="31" spans="1:2" hidden="1" x14ac:dyDescent="0.25">
      <c r="A31" s="25">
        <v>131554131</v>
      </c>
      <c r="B31" s="21" t="e">
        <f>_xlfn.XLOOKUP(A31,Planilha1!H:H,Planilha1!D:D)</f>
        <v>#N/A</v>
      </c>
    </row>
    <row r="32" spans="1:2" hidden="1" x14ac:dyDescent="0.25">
      <c r="A32" s="25">
        <v>131591448</v>
      </c>
      <c r="B32" s="21" t="e">
        <f>_xlfn.XLOOKUP(A32,Planilha1!H:H,Planilha1!D:D)</f>
        <v>#N/A</v>
      </c>
    </row>
    <row r="33" spans="1:4" hidden="1" x14ac:dyDescent="0.25">
      <c r="A33" s="25">
        <v>131686266</v>
      </c>
      <c r="B33" s="21" t="e">
        <f>_xlfn.XLOOKUP(A33,Planilha1!H:H,Planilha1!D:D)</f>
        <v>#N/A</v>
      </c>
    </row>
    <row r="34" spans="1:4" hidden="1" x14ac:dyDescent="0.25">
      <c r="A34" s="25">
        <v>131879818</v>
      </c>
      <c r="B34" s="21" t="e">
        <f>_xlfn.XLOOKUP(A34,Planilha1!H:H,Planilha1!D:D)</f>
        <v>#N/A</v>
      </c>
    </row>
    <row r="35" spans="1:4" hidden="1" x14ac:dyDescent="0.25">
      <c r="A35" s="25">
        <v>131880068</v>
      </c>
      <c r="B35" s="21" t="e">
        <f>_xlfn.XLOOKUP(A35,Planilha1!H:H,Planilha1!D:D)</f>
        <v>#N/A</v>
      </c>
    </row>
    <row r="36" spans="1:4" hidden="1" x14ac:dyDescent="0.25">
      <c r="A36" s="25">
        <v>131977546</v>
      </c>
      <c r="B36" s="21" t="e">
        <f>_xlfn.XLOOKUP(A36,Planilha1!H:H,Planilha1!D:D)</f>
        <v>#N/A</v>
      </c>
    </row>
    <row r="37" spans="1:4" hidden="1" x14ac:dyDescent="0.25">
      <c r="A37" s="25">
        <v>132011491</v>
      </c>
      <c r="B37" s="21" t="e">
        <f>_xlfn.XLOOKUP(A37,Planilha1!H:H,Planilha1!D:D)</f>
        <v>#N/A</v>
      </c>
    </row>
    <row r="38" spans="1:4" hidden="1" x14ac:dyDescent="0.25">
      <c r="A38" s="25">
        <v>132011440</v>
      </c>
      <c r="B38" s="21" t="e">
        <f>_xlfn.XLOOKUP(A38,Planilha1!H:H,Planilha1!D:D)</f>
        <v>#N/A</v>
      </c>
    </row>
    <row r="39" spans="1:4" hidden="1" x14ac:dyDescent="0.25">
      <c r="A39" s="25">
        <v>132336362</v>
      </c>
      <c r="B39" s="21" t="e">
        <f>_xlfn.XLOOKUP(A39,Planilha1!H:H,Planilha1!D:D)</f>
        <v>#N/A</v>
      </c>
    </row>
    <row r="40" spans="1:4" hidden="1" x14ac:dyDescent="0.25">
      <c r="A40" s="25">
        <v>132369208</v>
      </c>
      <c r="B40" s="21" t="e">
        <f>_xlfn.XLOOKUP(A40,Planilha1!H:H,Planilha1!D:D)</f>
        <v>#N/A</v>
      </c>
    </row>
    <row r="41" spans="1:4" hidden="1" x14ac:dyDescent="0.25">
      <c r="A41" s="25">
        <v>132382372</v>
      </c>
      <c r="B41" s="21" t="e">
        <f>_xlfn.XLOOKUP(A41,Planilha1!H:H,Planilha1!D:D)</f>
        <v>#N/A</v>
      </c>
    </row>
    <row r="42" spans="1:4" hidden="1" x14ac:dyDescent="0.25">
      <c r="A42" s="25">
        <v>128922475</v>
      </c>
      <c r="B42" s="21" t="e">
        <f>_xlfn.XLOOKUP(A42,Planilha1!H:H,Planilha1!D:D)</f>
        <v>#N/A</v>
      </c>
    </row>
    <row r="43" spans="1:4" x14ac:dyDescent="0.25">
      <c r="A43" s="25">
        <v>129012469</v>
      </c>
      <c r="B43" s="21" t="e">
        <f>_xlfn.XLOOKUP(A43,Planilha1!H:H,Planilha1!D:D)</f>
        <v>#N/A</v>
      </c>
      <c r="C43" s="21" t="e">
        <v>#N/A</v>
      </c>
      <c r="D43" s="21" t="s">
        <v>37</v>
      </c>
    </row>
    <row r="44" spans="1:4" hidden="1" x14ac:dyDescent="0.25">
      <c r="A44" s="25">
        <v>129142868</v>
      </c>
      <c r="B44" s="21" t="e">
        <f>_xlfn.XLOOKUP(A44,Planilha1!H:H,Planilha1!D:D)</f>
        <v>#N/A</v>
      </c>
    </row>
    <row r="45" spans="1:4" hidden="1" x14ac:dyDescent="0.25">
      <c r="A45" s="25">
        <v>129144984</v>
      </c>
      <c r="B45" s="21" t="e">
        <f>_xlfn.XLOOKUP(A45,Planilha1!H:H,Planilha1!D:D)</f>
        <v>#N/A</v>
      </c>
    </row>
    <row r="46" spans="1:4" hidden="1" x14ac:dyDescent="0.25">
      <c r="A46" s="25">
        <v>129154680</v>
      </c>
      <c r="B46" s="21" t="e">
        <f>_xlfn.XLOOKUP(A46,Planilha1!H:H,Planilha1!D:D)</f>
        <v>#N/A</v>
      </c>
    </row>
    <row r="47" spans="1:4" x14ac:dyDescent="0.25">
      <c r="A47" s="25">
        <v>129116738</v>
      </c>
      <c r="B47" s="21" t="e">
        <f>_xlfn.XLOOKUP(A47,Planilha1!H:H,Planilha1!D:D)</f>
        <v>#N/A</v>
      </c>
      <c r="C47" s="21" t="e">
        <v>#N/A</v>
      </c>
      <c r="D47" s="21" t="s">
        <v>37</v>
      </c>
    </row>
    <row r="48" spans="1:4" x14ac:dyDescent="0.25">
      <c r="A48" s="25">
        <v>129351255</v>
      </c>
      <c r="B48" s="21" t="e">
        <f>_xlfn.XLOOKUP(A48,Planilha1!H:H,Planilha1!D:D)</f>
        <v>#N/A</v>
      </c>
      <c r="C48" s="21" t="e">
        <v>#N/A</v>
      </c>
      <c r="D48" s="21" t="s">
        <v>37</v>
      </c>
    </row>
    <row r="49" spans="1:4" hidden="1" x14ac:dyDescent="0.25">
      <c r="A49" s="25">
        <v>129548423</v>
      </c>
      <c r="B49" s="21">
        <f>_xlfn.XLOOKUP(A49,Planilha1!H:H,Planilha1!D:D)</f>
        <v>666326222</v>
      </c>
    </row>
    <row r="50" spans="1:4" hidden="1" x14ac:dyDescent="0.25">
      <c r="A50" s="25">
        <v>129568043</v>
      </c>
      <c r="B50" s="21" t="e">
        <f>_xlfn.XLOOKUP(A50,Planilha1!H:H,Planilha1!D:D)</f>
        <v>#N/A</v>
      </c>
    </row>
    <row r="51" spans="1:4" hidden="1" x14ac:dyDescent="0.25">
      <c r="A51" s="25">
        <v>129557568</v>
      </c>
      <c r="B51" s="21" t="e">
        <f>_xlfn.XLOOKUP(A51,Planilha1!H:H,Planilha1!D:D)</f>
        <v>#N/A</v>
      </c>
    </row>
    <row r="52" spans="1:4" x14ac:dyDescent="0.25">
      <c r="A52" s="25">
        <v>129599644</v>
      </c>
      <c r="B52" s="21" t="e">
        <f>_xlfn.XLOOKUP(A52,Planilha1!H:H,Planilha1!D:D)</f>
        <v>#N/A</v>
      </c>
      <c r="C52" s="21" t="e">
        <v>#N/A</v>
      </c>
      <c r="D52" s="21" t="s">
        <v>37</v>
      </c>
    </row>
    <row r="53" spans="1:4" x14ac:dyDescent="0.25">
      <c r="A53" s="25">
        <v>129536777</v>
      </c>
      <c r="B53" s="21" t="e">
        <f>_xlfn.XLOOKUP(A53,Planilha1!H:H,Planilha1!D:D)</f>
        <v>#N/A</v>
      </c>
      <c r="C53" s="21" t="e">
        <v>#N/A</v>
      </c>
      <c r="D53" s="21" t="s">
        <v>37</v>
      </c>
    </row>
    <row r="54" spans="1:4" hidden="1" x14ac:dyDescent="0.25">
      <c r="A54" s="25">
        <v>130033175</v>
      </c>
      <c r="B54" s="21" t="e">
        <f>_xlfn.XLOOKUP(A54,Planilha1!H:H,Planilha1!D:D)</f>
        <v>#N/A</v>
      </c>
    </row>
    <row r="55" spans="1:4" hidden="1" x14ac:dyDescent="0.25">
      <c r="A55" s="25">
        <v>130033353</v>
      </c>
      <c r="B55" s="21" t="e">
        <f>_xlfn.XLOOKUP(A55,Planilha1!H:H,Planilha1!D:D)</f>
        <v>#N/A</v>
      </c>
    </row>
    <row r="56" spans="1:4" hidden="1" x14ac:dyDescent="0.25">
      <c r="A56" s="25">
        <v>130030251</v>
      </c>
      <c r="B56" s="21" t="e">
        <f>_xlfn.XLOOKUP(A56,Planilha1!H:H,Planilha1!D:D)</f>
        <v>#N/A</v>
      </c>
    </row>
    <row r="57" spans="1:4" hidden="1" x14ac:dyDescent="0.25">
      <c r="A57" s="25">
        <v>130029976</v>
      </c>
      <c r="B57" s="21">
        <f>_xlfn.XLOOKUP(A57,Planilha1!H:H,Planilha1!D:D)</f>
        <v>693480505</v>
      </c>
    </row>
    <row r="58" spans="1:4" hidden="1" x14ac:dyDescent="0.25">
      <c r="A58" s="25">
        <v>130029349</v>
      </c>
      <c r="B58" s="21" t="e">
        <f>_xlfn.XLOOKUP(A58,Planilha1!H:H,Planilha1!D:D)</f>
        <v>#N/A</v>
      </c>
    </row>
    <row r="59" spans="1:4" hidden="1" x14ac:dyDescent="0.25">
      <c r="A59" s="25">
        <v>130016037</v>
      </c>
      <c r="B59" s="21" t="e">
        <f>_xlfn.XLOOKUP(A59,Planilha1!H:H,Planilha1!D:D)</f>
        <v>#N/A</v>
      </c>
    </row>
    <row r="60" spans="1:4" x14ac:dyDescent="0.25">
      <c r="A60" s="25">
        <v>130388789</v>
      </c>
      <c r="B60" s="21" t="e">
        <f>_xlfn.XLOOKUP(A60,Planilha1!H:H,Planilha1!D:D)</f>
        <v>#N/A</v>
      </c>
      <c r="C60" s="21" t="e">
        <v>#N/A</v>
      </c>
      <c r="D60" s="21" t="s">
        <v>37</v>
      </c>
    </row>
    <row r="61" spans="1:4" hidden="1" x14ac:dyDescent="0.25">
      <c r="A61" s="25">
        <v>130396757</v>
      </c>
      <c r="B61" s="21" t="e">
        <f>_xlfn.XLOOKUP(A61,Planilha1!H:H,Planilha1!D:D)</f>
        <v>#N/A</v>
      </c>
    </row>
    <row r="62" spans="1:4" hidden="1" x14ac:dyDescent="0.25">
      <c r="A62" s="25">
        <v>130407494</v>
      </c>
      <c r="B62" s="21" t="e">
        <f>_xlfn.XLOOKUP(A62,Planilha1!H:H,Planilha1!D:D)</f>
        <v>#N/A</v>
      </c>
    </row>
    <row r="63" spans="1:4" x14ac:dyDescent="0.25">
      <c r="A63" s="25">
        <v>130397687</v>
      </c>
      <c r="B63" s="21" t="e">
        <f>_xlfn.XLOOKUP(A63,Planilha1!H:H,Planilha1!D:D)</f>
        <v>#N/A</v>
      </c>
      <c r="C63" s="21" t="e">
        <v>#N/A</v>
      </c>
      <c r="D63" s="21" t="s">
        <v>37</v>
      </c>
    </row>
    <row r="64" spans="1:4" hidden="1" x14ac:dyDescent="0.25">
      <c r="A64" s="25">
        <v>130370444</v>
      </c>
      <c r="B64" s="21" t="e">
        <f>_xlfn.XLOOKUP(A64,Planilha1!H:H,Planilha1!D:D)</f>
        <v>#N/A</v>
      </c>
    </row>
    <row r="65" spans="1:4" hidden="1" x14ac:dyDescent="0.25">
      <c r="A65" s="25">
        <v>130419144</v>
      </c>
      <c r="B65" s="21" t="e">
        <f>_xlfn.XLOOKUP(A65,Planilha1!H:H,Planilha1!D:D)</f>
        <v>#N/A</v>
      </c>
    </row>
    <row r="66" spans="1:4" hidden="1" x14ac:dyDescent="0.25">
      <c r="A66" s="25">
        <v>130423280</v>
      </c>
      <c r="B66" s="21">
        <f>_xlfn.XLOOKUP(A66,Planilha1!H:H,Planilha1!D:D)</f>
        <v>715398453</v>
      </c>
    </row>
    <row r="67" spans="1:4" hidden="1" x14ac:dyDescent="0.25">
      <c r="A67" s="25">
        <v>130424233</v>
      </c>
      <c r="B67" s="21" t="e">
        <f>_xlfn.XLOOKUP(A67,Planilha1!H:H,Planilha1!D:D)</f>
        <v>#N/A</v>
      </c>
    </row>
    <row r="68" spans="1:4" hidden="1" x14ac:dyDescent="0.25">
      <c r="A68" s="25">
        <v>130786713</v>
      </c>
      <c r="B68" s="21" t="e">
        <f>_xlfn.XLOOKUP(A68,Planilha1!H:H,Planilha1!D:D)</f>
        <v>#N/A</v>
      </c>
    </row>
    <row r="69" spans="1:4" hidden="1" x14ac:dyDescent="0.25">
      <c r="A69" s="25">
        <v>130793142</v>
      </c>
      <c r="B69" s="21" t="e">
        <f>_xlfn.XLOOKUP(A69,Planilha1!H:H,Planilha1!D:D)</f>
        <v>#N/A</v>
      </c>
    </row>
    <row r="70" spans="1:4" x14ac:dyDescent="0.25">
      <c r="A70" s="25">
        <v>130795444</v>
      </c>
      <c r="B70" s="21" t="e">
        <f>_xlfn.XLOOKUP(A70,Planilha1!H:H,Planilha1!D:D)</f>
        <v>#N/A</v>
      </c>
      <c r="C70" s="21" t="e">
        <v>#N/A</v>
      </c>
      <c r="D70" s="21" t="s">
        <v>37</v>
      </c>
    </row>
    <row r="71" spans="1:4" hidden="1" x14ac:dyDescent="0.25">
      <c r="A71" s="25">
        <v>129064609</v>
      </c>
      <c r="B71" s="21" t="e">
        <f>_xlfn.XLOOKUP(A71,Planilha1!H:H,Planilha1!D:D)</f>
        <v>#N/A</v>
      </c>
    </row>
    <row r="72" spans="1:4" hidden="1" x14ac:dyDescent="0.25">
      <c r="A72" s="25">
        <v>131113655</v>
      </c>
      <c r="B72" s="21" t="e">
        <f>_xlfn.XLOOKUP(A72,Planilha1!H:H,Planilha1!D:D)</f>
        <v>#N/A</v>
      </c>
    </row>
    <row r="73" spans="1:4" hidden="1" x14ac:dyDescent="0.25">
      <c r="A73" s="25">
        <v>131167490</v>
      </c>
      <c r="B73" s="21" t="e">
        <f>_xlfn.XLOOKUP(A73,Planilha1!H:H,Planilha1!D:D)</f>
        <v>#N/A</v>
      </c>
    </row>
    <row r="74" spans="1:4" hidden="1" x14ac:dyDescent="0.25">
      <c r="A74" s="25">
        <v>131540125</v>
      </c>
      <c r="B74" s="21">
        <f>_xlfn.XLOOKUP(A74,Planilha1!H:H,Planilha1!D:D)</f>
        <v>779686777</v>
      </c>
    </row>
    <row r="75" spans="1:4" hidden="1" x14ac:dyDescent="0.25">
      <c r="A75" s="25">
        <v>131540077</v>
      </c>
      <c r="B75" s="21">
        <f>_xlfn.XLOOKUP(A75,Planilha1!H:H,Planilha1!D:D)</f>
        <v>779688997</v>
      </c>
    </row>
    <row r="76" spans="1:4" hidden="1" x14ac:dyDescent="0.25">
      <c r="A76" s="25">
        <v>131540187</v>
      </c>
      <c r="B76" s="21" t="e">
        <f>_xlfn.XLOOKUP(A76,Planilha1!H:H,Planilha1!D:D)</f>
        <v>#N/A</v>
      </c>
    </row>
    <row r="77" spans="1:4" hidden="1" x14ac:dyDescent="0.25">
      <c r="A77" s="25">
        <v>131539989</v>
      </c>
      <c r="B77" s="21" t="e">
        <f>_xlfn.XLOOKUP(A77,Planilha1!H:H,Planilha1!D:D)</f>
        <v>#N/A</v>
      </c>
    </row>
    <row r="78" spans="1:4" hidden="1" x14ac:dyDescent="0.25">
      <c r="A78" s="25">
        <v>131906507</v>
      </c>
      <c r="B78" s="21" t="e">
        <f>_xlfn.XLOOKUP(A78,Planilha1!H:H,Planilha1!D:D)</f>
        <v>#N/A</v>
      </c>
    </row>
    <row r="79" spans="1:4" x14ac:dyDescent="0.25">
      <c r="A79" s="25">
        <v>131921807</v>
      </c>
      <c r="B79" s="21" t="e">
        <f>_xlfn.XLOOKUP(A79,Planilha1!H:H,Planilha1!D:D)</f>
        <v>#N/A</v>
      </c>
      <c r="C79" s="21" t="e">
        <v>#N/A</v>
      </c>
      <c r="D79" s="21" t="s">
        <v>37</v>
      </c>
    </row>
    <row r="80" spans="1:4" hidden="1" x14ac:dyDescent="0.25">
      <c r="A80" s="25">
        <v>131978632</v>
      </c>
      <c r="B80" s="21" t="e">
        <f>_xlfn.XLOOKUP(A80,Planilha1!H:H,Planilha1!D:D)</f>
        <v>#N/A</v>
      </c>
    </row>
    <row r="81" spans="1:2" hidden="1" x14ac:dyDescent="0.25">
      <c r="A81" s="25">
        <v>131994237</v>
      </c>
      <c r="B81" s="21" t="e">
        <f>_xlfn.XLOOKUP(A81,Planilha1!H:H,Planilha1!D:D)</f>
        <v>#N/A</v>
      </c>
    </row>
    <row r="82" spans="1:2" hidden="1" x14ac:dyDescent="0.25">
      <c r="A82" s="25">
        <v>131957617</v>
      </c>
      <c r="B82" s="21" t="e">
        <f>_xlfn.XLOOKUP(A82,Planilha1!H:H,Planilha1!D:D)</f>
        <v>#N/A</v>
      </c>
    </row>
    <row r="83" spans="1:2" hidden="1" x14ac:dyDescent="0.25">
      <c r="A83" s="25">
        <v>132003168</v>
      </c>
      <c r="B83" s="21" t="e">
        <f>_xlfn.XLOOKUP(A83,Planilha1!H:H,Planilha1!D:D)</f>
        <v>#N/A</v>
      </c>
    </row>
    <row r="84" spans="1:2" hidden="1" x14ac:dyDescent="0.25">
      <c r="A84" s="25">
        <v>132302855</v>
      </c>
      <c r="B84" s="21" t="e">
        <f>_xlfn.XLOOKUP(A84,Planilha1!H:H,Planilha1!D:D)</f>
        <v>#N/A</v>
      </c>
    </row>
    <row r="85" spans="1:2" hidden="1" x14ac:dyDescent="0.25">
      <c r="A85" s="25">
        <v>132365359</v>
      </c>
      <c r="B85" s="21" t="e">
        <f>_xlfn.XLOOKUP(A85,Planilha1!H:H,Planilha1!D:D)</f>
        <v>#N/A</v>
      </c>
    </row>
    <row r="86" spans="1:2" hidden="1" x14ac:dyDescent="0.25">
      <c r="A86" s="25">
        <v>132360626</v>
      </c>
      <c r="B86" s="21" t="e">
        <f>_xlfn.XLOOKUP(A86,Planilha1!H:H,Planilha1!D:D)</f>
        <v>#N/A</v>
      </c>
    </row>
    <row r="87" spans="1:2" hidden="1" x14ac:dyDescent="0.25">
      <c r="A87" s="25">
        <v>130423906</v>
      </c>
      <c r="B87" s="21" t="e">
        <f>_xlfn.XLOOKUP(A87,Planilha1!H:H,Planilha1!D:D)</f>
        <v>#N/A</v>
      </c>
    </row>
    <row r="88" spans="1:2" hidden="1" x14ac:dyDescent="0.25">
      <c r="A88" s="25">
        <v>132355010</v>
      </c>
      <c r="B88" s="21" t="e">
        <f>_xlfn.XLOOKUP(A88,Planilha1!H:H,Planilha1!D:D)</f>
        <v>#N/A</v>
      </c>
    </row>
    <row r="89" spans="1:2" hidden="1" x14ac:dyDescent="0.25">
      <c r="A89" s="25">
        <v>129974061</v>
      </c>
      <c r="B89" s="21" t="e">
        <f>_xlfn.XLOOKUP(A89,Planilha1!H:H,Planilha1!D:D)</f>
        <v>#N/A</v>
      </c>
    </row>
    <row r="90" spans="1:2" hidden="1" x14ac:dyDescent="0.25">
      <c r="A90" s="25">
        <v>129976822</v>
      </c>
      <c r="B90" s="21" t="e">
        <f>_xlfn.XLOOKUP(A90,Planilha1!H:H,Planilha1!D:D)</f>
        <v>#N/A</v>
      </c>
    </row>
    <row r="91" spans="1:2" hidden="1" x14ac:dyDescent="0.25">
      <c r="A91" s="25">
        <v>130004318</v>
      </c>
      <c r="B91" s="21" t="e">
        <f>_xlfn.XLOOKUP(A91,Planilha1!H:H,Planilha1!D:D)</f>
        <v>#N/A</v>
      </c>
    </row>
    <row r="92" spans="1:2" hidden="1" x14ac:dyDescent="0.25">
      <c r="A92" s="25">
        <v>129977128</v>
      </c>
      <c r="B92" s="21" t="e">
        <f>_xlfn.XLOOKUP(A92,Planilha1!H:H,Planilha1!D:D)</f>
        <v>#N/A</v>
      </c>
    </row>
    <row r="93" spans="1:2" hidden="1" x14ac:dyDescent="0.25">
      <c r="A93" s="25">
        <v>129975849</v>
      </c>
      <c r="B93" s="21" t="e">
        <f>_xlfn.XLOOKUP(A93,Planilha1!H:H,Planilha1!D:D)</f>
        <v>#N/A</v>
      </c>
    </row>
    <row r="94" spans="1:2" hidden="1" x14ac:dyDescent="0.25">
      <c r="A94" s="25">
        <v>131540275</v>
      </c>
      <c r="B94" s="21" t="e">
        <f>_xlfn.XLOOKUP(A94,Planilha1!H:H,Planilha1!D:D)</f>
        <v>#N/A</v>
      </c>
    </row>
    <row r="95" spans="1:2" hidden="1" x14ac:dyDescent="0.25">
      <c r="A95" s="25">
        <v>131539964</v>
      </c>
      <c r="B95" s="21" t="e">
        <f>_xlfn.XLOOKUP(A95,Planilha1!H:H,Planilha1!D:D)</f>
        <v>#N/A</v>
      </c>
    </row>
    <row r="96" spans="1:2" hidden="1" x14ac:dyDescent="0.25">
      <c r="A96" s="25">
        <v>131539948</v>
      </c>
      <c r="B96" s="21" t="e">
        <f>_xlfn.XLOOKUP(A96,Planilha1!H:H,Planilha1!D:D)</f>
        <v>#N/A</v>
      </c>
    </row>
    <row r="97" spans="1:4" hidden="1" x14ac:dyDescent="0.25">
      <c r="A97" s="25">
        <v>131540180</v>
      </c>
      <c r="B97" s="21" t="e">
        <f>_xlfn.XLOOKUP(A97,Planilha1!H:H,Planilha1!D:D)</f>
        <v>#N/A</v>
      </c>
    </row>
    <row r="98" spans="1:4" hidden="1" x14ac:dyDescent="0.25">
      <c r="A98" s="25">
        <v>129974097</v>
      </c>
      <c r="B98" s="21" t="e">
        <f>_xlfn.XLOOKUP(A98,Planilha1!H:H,Planilha1!D:D)</f>
        <v>#N/A</v>
      </c>
    </row>
    <row r="99" spans="1:4" hidden="1" x14ac:dyDescent="0.25">
      <c r="A99" s="25">
        <v>129975739</v>
      </c>
      <c r="B99" s="21" t="e">
        <f>_xlfn.XLOOKUP(A99,Planilha1!H:H,Planilha1!D:D)</f>
        <v>#N/A</v>
      </c>
    </row>
    <row r="100" spans="1:4" hidden="1" x14ac:dyDescent="0.25">
      <c r="A100" s="25">
        <v>129976306</v>
      </c>
      <c r="B100" s="21" t="e">
        <f>_xlfn.XLOOKUP(A100,Planilha1!H:H,Planilha1!D:D)</f>
        <v>#N/A</v>
      </c>
    </row>
    <row r="101" spans="1:4" hidden="1" x14ac:dyDescent="0.25">
      <c r="A101" s="25">
        <v>129975769</v>
      </c>
      <c r="B101" s="21" t="e">
        <f>_xlfn.XLOOKUP(A101,Planilha1!H:H,Planilha1!D:D)</f>
        <v>#N/A</v>
      </c>
    </row>
    <row r="102" spans="1:4" hidden="1" x14ac:dyDescent="0.25">
      <c r="A102" s="25">
        <v>130779350</v>
      </c>
      <c r="B102" s="21" t="e">
        <f>_xlfn.XLOOKUP(A102,Planilha1!H:H,Planilha1!D:D)</f>
        <v>#N/A</v>
      </c>
    </row>
    <row r="103" spans="1:4" hidden="1" x14ac:dyDescent="0.25">
      <c r="A103" s="25">
        <v>129975239</v>
      </c>
      <c r="B103" s="21" t="e">
        <f>_xlfn.XLOOKUP(A103,Planilha1!H:H,Planilha1!D:D)</f>
        <v>#N/A</v>
      </c>
    </row>
    <row r="104" spans="1:4" hidden="1" x14ac:dyDescent="0.25">
      <c r="A104" s="25">
        <v>129976898</v>
      </c>
      <c r="B104" s="21" t="e">
        <f>_xlfn.XLOOKUP(A104,Planilha1!H:H,Planilha1!D:D)</f>
        <v>#N/A</v>
      </c>
    </row>
    <row r="105" spans="1:4" hidden="1" x14ac:dyDescent="0.25">
      <c r="A105" s="25">
        <v>129977079</v>
      </c>
      <c r="B105" s="21" t="e">
        <f>_xlfn.XLOOKUP(A105,Planilha1!H:H,Planilha1!D:D)</f>
        <v>#N/A</v>
      </c>
    </row>
    <row r="106" spans="1:4" hidden="1" x14ac:dyDescent="0.25">
      <c r="A106" s="25">
        <v>129976805</v>
      </c>
      <c r="B106" s="21" t="e">
        <f>_xlfn.XLOOKUP(A106,Planilha1!H:H,Planilha1!D:D)</f>
        <v>#N/A</v>
      </c>
    </row>
    <row r="107" spans="1:4" hidden="1" x14ac:dyDescent="0.25">
      <c r="A107" s="25">
        <v>129976877</v>
      </c>
      <c r="B107" s="21" t="e">
        <f>_xlfn.XLOOKUP(A107,Planilha1!H:H,Planilha1!D:D)</f>
        <v>#N/A</v>
      </c>
    </row>
    <row r="108" spans="1:4" hidden="1" x14ac:dyDescent="0.25">
      <c r="A108" s="25">
        <v>129976221</v>
      </c>
      <c r="B108" s="21" t="e">
        <f>_xlfn.XLOOKUP(A108,Planilha1!H:H,Planilha1!D:D)</f>
        <v>#N/A</v>
      </c>
    </row>
    <row r="109" spans="1:4" x14ac:dyDescent="0.25">
      <c r="A109" s="25">
        <v>129976180</v>
      </c>
      <c r="B109" s="21" t="e">
        <f>_xlfn.XLOOKUP(A109,Planilha1!H:H,Planilha1!D:D)</f>
        <v>#N/A</v>
      </c>
      <c r="C109" s="21" t="e">
        <v>#N/A</v>
      </c>
      <c r="D109" s="21" t="s">
        <v>37</v>
      </c>
    </row>
    <row r="110" spans="1:4" x14ac:dyDescent="0.25">
      <c r="A110" s="25">
        <v>129976117</v>
      </c>
      <c r="B110" s="21" t="e">
        <f>_xlfn.XLOOKUP(A110,Planilha1!H:H,Planilha1!D:D)</f>
        <v>#N/A</v>
      </c>
      <c r="C110" s="21" t="e">
        <v>#N/A</v>
      </c>
      <c r="D110" s="21" t="s">
        <v>37</v>
      </c>
    </row>
    <row r="111" spans="1:4" x14ac:dyDescent="0.25">
      <c r="A111" s="25">
        <v>129975885</v>
      </c>
      <c r="B111" s="21" t="e">
        <f>_xlfn.XLOOKUP(A111,Planilha1!H:H,Planilha1!D:D)</f>
        <v>#N/A</v>
      </c>
      <c r="C111" s="21" t="e">
        <v>#N/A</v>
      </c>
      <c r="D111" s="21" t="s">
        <v>37</v>
      </c>
    </row>
    <row r="112" spans="1:4" x14ac:dyDescent="0.25">
      <c r="A112" s="25">
        <v>129975742</v>
      </c>
      <c r="B112" s="21" t="e">
        <f>_xlfn.XLOOKUP(A112,Planilha1!H:H,Planilha1!D:D)</f>
        <v>#N/A</v>
      </c>
      <c r="C112" s="21" t="e">
        <v>#N/A</v>
      </c>
      <c r="D112" s="21" t="s">
        <v>37</v>
      </c>
    </row>
    <row r="113" spans="1:4" x14ac:dyDescent="0.25">
      <c r="A113" s="25">
        <v>129975718</v>
      </c>
      <c r="B113" s="21" t="e">
        <f>_xlfn.XLOOKUP(A113,Planilha1!H:H,Planilha1!D:D)</f>
        <v>#N/A</v>
      </c>
      <c r="C113" s="21" t="e">
        <v>#N/A</v>
      </c>
      <c r="D113" s="21" t="s">
        <v>37</v>
      </c>
    </row>
    <row r="114" spans="1:4" x14ac:dyDescent="0.25">
      <c r="A114" s="25">
        <v>129975626</v>
      </c>
      <c r="B114" s="21" t="e">
        <f>_xlfn.XLOOKUP(A114,Planilha1!H:H,Planilha1!D:D)</f>
        <v>#N/A</v>
      </c>
      <c r="C114" s="21" t="e">
        <v>#N/A</v>
      </c>
      <c r="D114" s="21" t="s">
        <v>37</v>
      </c>
    </row>
    <row r="115" spans="1:4" x14ac:dyDescent="0.25">
      <c r="A115" s="25">
        <v>129975222</v>
      </c>
      <c r="B115" s="21" t="e">
        <f>_xlfn.XLOOKUP(A115,Planilha1!H:H,Planilha1!D:D)</f>
        <v>#N/A</v>
      </c>
      <c r="C115" s="21" t="e">
        <v>#N/A</v>
      </c>
      <c r="D115" s="21" t="s">
        <v>37</v>
      </c>
    </row>
    <row r="116" spans="1:4" x14ac:dyDescent="0.25">
      <c r="A116" s="25">
        <v>129975217</v>
      </c>
      <c r="B116" s="21" t="e">
        <f>_xlfn.XLOOKUP(A116,Planilha1!H:H,Planilha1!D:D)</f>
        <v>#N/A</v>
      </c>
      <c r="C116" s="21" t="e">
        <v>#N/A</v>
      </c>
      <c r="D116" s="21" t="s">
        <v>37</v>
      </c>
    </row>
    <row r="117" spans="1:4" x14ac:dyDescent="0.25">
      <c r="A117" s="25">
        <v>129973592</v>
      </c>
      <c r="B117" s="21" t="e">
        <f>_xlfn.XLOOKUP(A117,Planilha1!H:H,Planilha1!D:D)</f>
        <v>#N/A</v>
      </c>
      <c r="C117" s="21" t="e">
        <v>#N/A</v>
      </c>
      <c r="D117" s="21" t="s">
        <v>37</v>
      </c>
    </row>
    <row r="118" spans="1:4" x14ac:dyDescent="0.25">
      <c r="A118" s="25">
        <v>129975722</v>
      </c>
      <c r="B118" s="21" t="e">
        <f>_xlfn.XLOOKUP(A118,Planilha1!H:H,Planilha1!D:D)</f>
        <v>#N/A</v>
      </c>
      <c r="C118" s="21" t="e">
        <v>#N/A</v>
      </c>
      <c r="D118" s="21" t="s">
        <v>37</v>
      </c>
    </row>
    <row r="119" spans="1:4" x14ac:dyDescent="0.25">
      <c r="A119" s="25">
        <v>130320202</v>
      </c>
      <c r="B119" s="21" t="e">
        <f>_xlfn.XLOOKUP(A119,Planilha1!H:H,Planilha1!D:D)</f>
        <v>#N/A</v>
      </c>
      <c r="C119" s="21" t="e">
        <v>#N/A</v>
      </c>
      <c r="D119" s="21" t="s">
        <v>37</v>
      </c>
    </row>
    <row r="120" spans="1:4" x14ac:dyDescent="0.25">
      <c r="A120" s="25">
        <v>130779360</v>
      </c>
      <c r="B120" s="21" t="e">
        <f>_xlfn.XLOOKUP(A120,Planilha1!H:H,Planilha1!D:D)</f>
        <v>#N/A</v>
      </c>
      <c r="C120" s="21" t="e">
        <v>#N/A</v>
      </c>
      <c r="D120" s="21" t="s">
        <v>37</v>
      </c>
    </row>
    <row r="121" spans="1:4" x14ac:dyDescent="0.25">
      <c r="A121" s="25">
        <v>130779291</v>
      </c>
      <c r="B121" s="21" t="e">
        <f>_xlfn.XLOOKUP(A121,Planilha1!H:H,Planilha1!D:D)</f>
        <v>#N/A</v>
      </c>
      <c r="C121" s="21" t="e">
        <v>#N/A</v>
      </c>
      <c r="D121" s="21" t="s">
        <v>37</v>
      </c>
    </row>
    <row r="122" spans="1:4" x14ac:dyDescent="0.25">
      <c r="A122" s="25">
        <v>131164742</v>
      </c>
      <c r="B122" s="21" t="e">
        <f>_xlfn.XLOOKUP(A122,Planilha1!H:H,Planilha1!D:D)</f>
        <v>#N/A</v>
      </c>
      <c r="C122" s="21" t="e">
        <v>#N/A</v>
      </c>
      <c r="D122" s="21" t="s">
        <v>37</v>
      </c>
    </row>
    <row r="123" spans="1:4" x14ac:dyDescent="0.25">
      <c r="A123" s="25">
        <v>129904238</v>
      </c>
      <c r="B123" s="21" t="e">
        <f>_xlfn.XLOOKUP(A123,Planilha1!H:H,Planilha1!D:D)</f>
        <v>#N/A</v>
      </c>
      <c r="C123" s="21" t="e">
        <v>#N/A</v>
      </c>
      <c r="D123" s="21" t="s">
        <v>37</v>
      </c>
    </row>
    <row r="124" spans="1:4" hidden="1" x14ac:dyDescent="0.25">
      <c r="A124" s="25"/>
      <c r="B124" s="21" t="e">
        <f>_xlfn.XLOOKUP(A124,Planilha1!H:H,Planilha1!D:D)</f>
        <v>#N/A</v>
      </c>
    </row>
    <row r="125" spans="1:4" hidden="1" x14ac:dyDescent="0.25">
      <c r="A125" s="25"/>
      <c r="B125" s="21" t="e">
        <f>_xlfn.XLOOKUP(A125,Planilha1!H:H,Planilha1!D:D)</f>
        <v>#N/A</v>
      </c>
    </row>
    <row r="126" spans="1:4" hidden="1" x14ac:dyDescent="0.25">
      <c r="A126" s="25"/>
      <c r="B126" s="21" t="e">
        <f>_xlfn.XLOOKUP(A126,Planilha1!H:H,Planilha1!D:D)</f>
        <v>#N/A</v>
      </c>
    </row>
    <row r="127" spans="1:4" hidden="1" x14ac:dyDescent="0.25">
      <c r="A127" s="25"/>
      <c r="B127" s="21" t="e">
        <f>_xlfn.XLOOKUP(A127,Planilha1!H:H,Planilha1!D:D)</f>
        <v>#N/A</v>
      </c>
    </row>
    <row r="128" spans="1:4" hidden="1" x14ac:dyDescent="0.25">
      <c r="A128" s="25"/>
      <c r="B128" s="21" t="e">
        <f>_xlfn.XLOOKUP(A128,Planilha1!H:H,Planilha1!D:D)</f>
        <v>#N/A</v>
      </c>
    </row>
    <row r="129" spans="1:2" hidden="1" x14ac:dyDescent="0.25">
      <c r="A129" s="25"/>
      <c r="B129" s="21" t="e">
        <f>_xlfn.XLOOKUP(A129,Planilha1!H:H,Planilha1!D:D)</f>
        <v>#N/A</v>
      </c>
    </row>
    <row r="130" spans="1:2" hidden="1" x14ac:dyDescent="0.25">
      <c r="A130" s="25"/>
      <c r="B130" s="21" t="e">
        <f>_xlfn.XLOOKUP(A130,Planilha1!H:H,Planilha1!D:D)</f>
        <v>#N/A</v>
      </c>
    </row>
    <row r="131" spans="1:2" hidden="1" x14ac:dyDescent="0.25">
      <c r="A131" s="25"/>
      <c r="B131" s="21" t="e">
        <f>_xlfn.XLOOKUP(A131,Planilha1!H:H,Planilha1!D:D)</f>
        <v>#N/A</v>
      </c>
    </row>
    <row r="132" spans="1:2" hidden="1" x14ac:dyDescent="0.25">
      <c r="A132" s="25"/>
      <c r="B132" s="21" t="e">
        <f>_xlfn.XLOOKUP(A132,Planilha1!H:H,Planilha1!D:D)</f>
        <v>#N/A</v>
      </c>
    </row>
    <row r="133" spans="1:2" hidden="1" x14ac:dyDescent="0.25">
      <c r="A133" s="25"/>
      <c r="B133" s="21" t="e">
        <f>_xlfn.XLOOKUP(A133,Planilha1!H:H,Planilha1!D:D)</f>
        <v>#N/A</v>
      </c>
    </row>
    <row r="134" spans="1:2" hidden="1" x14ac:dyDescent="0.25">
      <c r="A134" s="25"/>
      <c r="B134" s="21" t="e">
        <f>_xlfn.XLOOKUP(A134,Planilha1!H:H,Planilha1!D:D)</f>
        <v>#N/A</v>
      </c>
    </row>
    <row r="135" spans="1:2" hidden="1" x14ac:dyDescent="0.25">
      <c r="A135" s="25"/>
      <c r="B135" s="21" t="e">
        <f>_xlfn.XLOOKUP(A135,Planilha1!H:H,Planilha1!D:D)</f>
        <v>#N/A</v>
      </c>
    </row>
    <row r="136" spans="1:2" hidden="1" x14ac:dyDescent="0.25">
      <c r="A136" s="25"/>
      <c r="B136" s="21" t="e">
        <f>_xlfn.XLOOKUP(A136,Planilha1!H:H,Planilha1!D:D)</f>
        <v>#N/A</v>
      </c>
    </row>
    <row r="137" spans="1:2" hidden="1" x14ac:dyDescent="0.25">
      <c r="A137" s="25"/>
      <c r="B137" s="21" t="e">
        <f>_xlfn.XLOOKUP(A137,Planilha1!H:H,Planilha1!D:D)</f>
        <v>#N/A</v>
      </c>
    </row>
    <row r="138" spans="1:2" hidden="1" x14ac:dyDescent="0.25">
      <c r="A138" s="25"/>
      <c r="B138" s="21" t="e">
        <f>_xlfn.XLOOKUP(A138,Planilha1!H:H,Planilha1!D:D)</f>
        <v>#N/A</v>
      </c>
    </row>
    <row r="139" spans="1:2" hidden="1" x14ac:dyDescent="0.25">
      <c r="A139" s="25"/>
      <c r="B139" s="21" t="e">
        <f>_xlfn.XLOOKUP(A139,Planilha1!H:H,Planilha1!D:D)</f>
        <v>#N/A</v>
      </c>
    </row>
    <row r="140" spans="1:2" hidden="1" x14ac:dyDescent="0.25">
      <c r="A140" s="25"/>
      <c r="B140" s="21" t="e">
        <f>_xlfn.XLOOKUP(A140,Planilha1!H:H,Planilha1!D:D)</f>
        <v>#N/A</v>
      </c>
    </row>
    <row r="141" spans="1:2" hidden="1" x14ac:dyDescent="0.25">
      <c r="A141" s="25"/>
      <c r="B141" s="21" t="e">
        <f>_xlfn.XLOOKUP(A141,Planilha1!H:H,Planilha1!D:D)</f>
        <v>#N/A</v>
      </c>
    </row>
    <row r="142" spans="1:2" hidden="1" x14ac:dyDescent="0.25">
      <c r="A142" s="25"/>
      <c r="B142" s="21" t="e">
        <f>_xlfn.XLOOKUP(A142,Planilha1!H:H,Planilha1!D:D)</f>
        <v>#N/A</v>
      </c>
    </row>
    <row r="143" spans="1:2" hidden="1" x14ac:dyDescent="0.25">
      <c r="A143" s="25"/>
      <c r="B143" s="21" t="e">
        <f>_xlfn.XLOOKUP(A143,Planilha1!H:H,Planilha1!D:D)</f>
        <v>#N/A</v>
      </c>
    </row>
    <row r="144" spans="1:2" hidden="1" x14ac:dyDescent="0.25">
      <c r="A144" s="25"/>
      <c r="B144" s="21" t="e">
        <f>_xlfn.XLOOKUP(A144,Planilha1!H:H,Planilha1!D:D)</f>
        <v>#N/A</v>
      </c>
    </row>
    <row r="145" spans="1:2" hidden="1" x14ac:dyDescent="0.25">
      <c r="A145" s="25"/>
      <c r="B145" s="21" t="e">
        <f>_xlfn.XLOOKUP(A145,Planilha1!H:H,Planilha1!D:D)</f>
        <v>#N/A</v>
      </c>
    </row>
    <row r="146" spans="1:2" hidden="1" x14ac:dyDescent="0.25">
      <c r="A146" s="25"/>
      <c r="B146" s="21" t="e">
        <f>_xlfn.XLOOKUP(A146,Planilha1!H:H,Planilha1!D:D)</f>
        <v>#N/A</v>
      </c>
    </row>
    <row r="147" spans="1:2" hidden="1" x14ac:dyDescent="0.25">
      <c r="A147" s="25"/>
      <c r="B147" s="21" t="e">
        <f>_xlfn.XLOOKUP(A147,Planilha1!H:H,Planilha1!D:D)</f>
        <v>#N/A</v>
      </c>
    </row>
    <row r="148" spans="1:2" hidden="1" x14ac:dyDescent="0.25">
      <c r="A148" s="25"/>
      <c r="B148" s="21" t="e">
        <f>_xlfn.XLOOKUP(A148,Planilha1!H:H,Planilha1!D:D)</f>
        <v>#N/A</v>
      </c>
    </row>
    <row r="149" spans="1:2" hidden="1" x14ac:dyDescent="0.25">
      <c r="A149" s="25"/>
      <c r="B149" s="21" t="e">
        <f>_xlfn.XLOOKUP(A149,Planilha1!H:H,Planilha1!D:D)</f>
        <v>#N/A</v>
      </c>
    </row>
    <row r="150" spans="1:2" hidden="1" x14ac:dyDescent="0.25">
      <c r="A150" s="25"/>
      <c r="B150" s="21" t="e">
        <f>_xlfn.XLOOKUP(A150,Planilha1!H:H,Planilha1!D:D)</f>
        <v>#N/A</v>
      </c>
    </row>
  </sheetData>
  <autoFilter ref="A1:E150" xr:uid="{BD5FAE7C-E080-4E2F-866F-03AD4D15B6B3}">
    <filterColumn colId="2">
      <customFilters>
        <customFilter operator="notEqual" val=" "/>
      </custom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QAFFA7D2F2TC-2102087286-489426</_dlc_DocId>
    <_dlc_DocIdUrl xmlns="01f4fd7c-51c3-4ad2-ae58-e5034556b4ea">
      <Url>https://allianzms.sharepoint.com/teams/BR0010-4356589/_layouts/15/DocIdRedir.aspx?ID=QAFFA7D2F2TC-2102087286-489426</Url>
      <Description>QAFFA7D2F2TC-2102087286-489426</Description>
    </_dlc_DocIdUrl>
  </documentManagement>
</p:properties>
</file>

<file path=customXml/itemProps1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2BFAD3-0D20-4F56-B0CA-1F4F48B38EA5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6c6725-5210-4d6a-93cc-4cf85111ac5e"/>
    <ds:schemaRef ds:uri="01f4fd7c-51c3-4ad2-ae58-e5034556b4e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2025-07-09T15:23:34Z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-1683902247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- 04 a 08/07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f82f3598-b517-4ef7-a282-697785595a37</vt:lpwstr>
  </property>
  <property fmtid="{D5CDD505-2E9C-101B-9397-08002B2CF9AE}" pid="23" name="_PreviousAdHocReviewCycleID">
    <vt:i4>-464715573</vt:i4>
  </property>
</Properties>
</file>