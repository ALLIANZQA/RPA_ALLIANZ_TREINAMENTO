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110" documentId="8_{DE50A158-1A3B-4999-AFBC-BDAF9F7311A2}" xr6:coauthVersionLast="47" xr6:coauthVersionMax="47" xr10:uidLastSave="{E0CE7557-1A4E-42A5-97CF-C19FDAB32F20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" i="1" l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2" i="3"/>
</calcChain>
</file>

<file path=xl/sharedStrings.xml><?xml version="1.0" encoding="utf-8"?>
<sst xmlns="http://schemas.openxmlformats.org/spreadsheetml/2006/main" count="634" uniqueCount="89">
  <si>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</si>
  <si>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</si>
  <si>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</si>
  <si>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</si>
  <si>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</si>
  <si>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</si>
  <si>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</si>
  <si>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</si>
  <si>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</si>
  <si>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</si>
  <si>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</si>
  <si>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</si>
  <si>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</si>
  <si>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</si>
  <si>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</si>
  <si>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</si>
  <si>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</si>
  <si>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</si>
  <si>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</si>
  <si>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</si>
  <si>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</si>
  <si>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</si>
  <si>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</si>
  <si>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</si>
  <si>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</si>
  <si>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</si>
  <si>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</si>
  <si>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</si>
  <si>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</si>
  <si>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</si>
  <si>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</si>
  <si>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</si>
  <si>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</si>
  <si>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</si>
  <si>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</si>
  <si>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</si>
  <si>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</si>
  <si>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</si>
  <si>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</si>
  <si>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</si>
  <si>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</si>
  <si>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</si>
  <si>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</si>
  <si>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Ação</t>
  </si>
  <si>
    <t>Proatividade manual Robô</t>
  </si>
  <si>
    <t>BE53725</t>
  </si>
  <si>
    <t>Cobrado</t>
  </si>
  <si>
    <t>pendencia@seguralta.com.br</t>
  </si>
  <si>
    <t>corretora@sicredi.com.br</t>
  </si>
  <si>
    <t>elittecorretora@elittecorretora.com.br</t>
  </si>
  <si>
    <t>albertoseguros@albertoseguros.com.br</t>
  </si>
  <si>
    <t>premiumcorretora@outlook.com</t>
  </si>
  <si>
    <t>seguronovo@coligadaseguros.com</t>
  </si>
  <si>
    <t>comercial@serraleoaseguros.com.br</t>
  </si>
  <si>
    <t>felipenetto@hotmail.com</t>
  </si>
  <si>
    <t>spnorte@spnorteriopreto.com.br</t>
  </si>
  <si>
    <t>barizon@barizoncorretora.com.br</t>
  </si>
  <si>
    <t>ermes.augusto@terra.com.br</t>
  </si>
  <si>
    <t>totalcorretora.jaru@gmail.com</t>
  </si>
  <si>
    <t>enge.seguros@gmail.com</t>
  </si>
  <si>
    <t>abens@abensseguros.com.br</t>
  </si>
  <si>
    <t>adm@pattini.com.br</t>
  </si>
  <si>
    <t>gustavo@rinaldiseguros.com</t>
  </si>
  <si>
    <t>david3023@hotmail.com</t>
  </si>
  <si>
    <t>keila.castro@rodonavesseguros.com.br</t>
  </si>
  <si>
    <t>geopcelula1@brbseguros.com.br</t>
  </si>
  <si>
    <t>vanessa_ngcorreira@hotmail.com</t>
  </si>
  <si>
    <t>mpcorretora@globo.com</t>
  </si>
  <si>
    <t>reck@reckseguros.com.br</t>
  </si>
  <si>
    <t>irineujr@tarrafseguros.com.br</t>
  </si>
  <si>
    <t>andre.oliveira@braseg.com.br</t>
  </si>
  <si>
    <t>reinaldo.alves@carmais.com.br</t>
  </si>
  <si>
    <t>cardosobw@gmail.com</t>
  </si>
  <si>
    <t>emi1@decaseguros.com.br</t>
  </si>
  <si>
    <t>estacaodoseguros@estaseg.com.br</t>
  </si>
  <si>
    <t>gripp@grippseguros.com.br</t>
  </si>
  <si>
    <t>sustentavel.seguros@gmail.com</t>
  </si>
  <si>
    <t>cassiusbgb@gmail.com</t>
  </si>
  <si>
    <t>alessandra@vanzaira.com.br</t>
  </si>
  <si>
    <t>solaris@solariscorretora.com.br</t>
  </si>
  <si>
    <t>marcus@pcor.com.br</t>
  </si>
  <si>
    <t>adrianemoreira@terra.com.br</t>
  </si>
  <si>
    <t>tiago@redealves.com.br</t>
  </si>
  <si>
    <t>taciprado.n@hotmail.com</t>
  </si>
  <si>
    <t>contato@jeseguros.com.br</t>
  </si>
  <si>
    <t>bergel@bergelseguros.com.br</t>
  </si>
  <si>
    <t>prisminas@prisminas.com.br</t>
  </si>
  <si>
    <t>adm.protego@gmail.com</t>
  </si>
  <si>
    <t>danubia@corprev.com.br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</si>
</sst>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49"/>
  <sheetViews>
    <sheetView tabSelected="1" topLeftCell="H1" zoomScale="90" zoomScaleNormal="90" workbookViewId="0">
      <selection activeCell="U2" sqref="U2:U49"/>
    </sheetView>
  </sheetViews>
  <sheetFormatPr defaultColWidth="8.88671875" defaultRowHeight="13.2" x14ac:dyDescent="0.25"/>
  <cols>
    <col min="1" max="1" width="13.77734375" style="22" bestFit="1" customWidth="1"/>
    <col min="2" max="2" width="13.44140625" style="15" bestFit="1" customWidth="1"/>
    <col min="3" max="3" width="16.33203125" style="2" customWidth="1"/>
    <col min="4" max="4" width="13.33203125" style="1" customWidth="1"/>
    <col min="5" max="5" width="13.21875" style="2" customWidth="1"/>
    <col min="6" max="6" width="12.5546875" style="2" customWidth="1"/>
    <col min="7" max="7" width="12.5546875" style="1" customWidth="1"/>
    <col min="8" max="8" width="16.88671875" style="1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19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2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customWidth="1"/>
    <col min="22" max="16384" width="8.88671875" style="2"/>
  </cols>
  <sheetData>
    <row r="1" spans="1:21" ht="13.2" customHeight="1" x14ac:dyDescent="0.3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1">
        <v>660817556</v>
      </c>
      <c r="B2" s="15">
        <v>45845</v>
      </c>
      <c r="C2" s="1" t="s">
        <v>7</v>
      </c>
      <c r="D2" s="1">
        <v>660817556</v>
      </c>
      <c r="E2" s="1"/>
      <c r="F2" s="1"/>
      <c r="G2" s="1" t="s">
        <v>18</v>
      </c>
      <c r="H2" s="1">
        <v>129446313</v>
      </c>
      <c r="I2" s="1">
        <v>0</v>
      </c>
      <c r="J2" s="12" t="s">
        <v>19</v>
      </c>
      <c r="K2" s="12" t="s">
        <v>20</v>
      </c>
      <c r="L2" s="16" t="str">
        <f>CONCATENATE("Captura de parcela rejeitada - Apólice ",E2," - ",K2)</f>
        <v>Captura de parcela rejeitada - Apólice  - 7-Outros</v>
      </c>
      <c r="M2" s="19" t="s">
        <v>51</v>
      </c>
      <c r="N2" s="13"/>
      <c r="O2" s="3">
        <v>57</v>
      </c>
      <c r="P2" s="3">
        <v>5705</v>
      </c>
      <c r="Q2" s="17" t="s">
        <v>25</v>
      </c>
      <c r="R2" s="12" t="s">
        <v>21</v>
      </c>
      <c r="S2" s="12" t="s">
        <v>21</v>
      </c>
      <c r="U2" s="12">
        <v>1</v>
      </c>
    </row>
    <row r="3" spans="1:21" x14ac:dyDescent="0.25">
      <c r="A3" s="1">
        <v>660851019</v>
      </c>
      <c r="B3" s="15">
        <v>45845</v>
      </c>
      <c r="C3" s="1" t="s">
        <v>7</v>
      </c>
      <c r="D3" s="1">
        <v>660851019</v>
      </c>
      <c r="G3" s="1" t="s">
        <v>18</v>
      </c>
      <c r="H3" s="1">
        <v>129447202</v>
      </c>
      <c r="I3" s="1">
        <v>0</v>
      </c>
      <c r="J3" s="12" t="s">
        <v>19</v>
      </c>
      <c r="K3" s="12" t="s">
        <v>20</v>
      </c>
      <c r="L3" s="16" t="str">
        <f t="shared" ref="L3:L49" si="0">CONCATENATE("Captura de parcela rejeitada - Apólice ",E3," - ",K3)</f>
        <v>Captura de parcela rejeitada - Apólice  - 7-Outros</v>
      </c>
      <c r="M3" s="19" t="s">
        <v>52</v>
      </c>
      <c r="O3" s="3">
        <v>57</v>
      </c>
      <c r="P3" s="3">
        <v>5705</v>
      </c>
      <c r="Q3" s="12" t="s">
        <v>31</v>
      </c>
      <c r="R3" s="12" t="s">
        <v>21</v>
      </c>
      <c r="S3" s="12" t="s">
        <v>21</v>
      </c>
      <c r="U3" s="2">
        <v>2</v>
      </c>
    </row>
    <row r="4" spans="1:21" x14ac:dyDescent="0.25">
      <c r="A4" s="1">
        <v>661789002</v>
      </c>
      <c r="B4" s="15">
        <v>45845</v>
      </c>
      <c r="C4" s="1" t="s">
        <v>7</v>
      </c>
      <c r="D4" s="1">
        <v>661789002</v>
      </c>
      <c r="G4" s="1" t="s">
        <v>18</v>
      </c>
      <c r="H4" s="1">
        <v>129441341</v>
      </c>
      <c r="I4" s="1">
        <v>0</v>
      </c>
      <c r="J4" s="12" t="s">
        <v>19</v>
      </c>
      <c r="K4" s="12" t="s">
        <v>20</v>
      </c>
      <c r="L4" s="16" t="str">
        <f t="shared" si="0"/>
        <v>Captura de parcela rejeitada - Apólice  - 7-Outros</v>
      </c>
      <c r="M4" s="19" t="s">
        <v>53</v>
      </c>
      <c r="O4" s="3">
        <v>57</v>
      </c>
      <c r="P4" s="3">
        <v>5705</v>
      </c>
      <c r="Q4" s="12" t="s">
        <v>31</v>
      </c>
      <c r="R4" s="12" t="s">
        <v>21</v>
      </c>
      <c r="S4" s="12" t="s">
        <v>21</v>
      </c>
      <c r="U4" s="12">
        <v>3</v>
      </c>
    </row>
    <row r="5" spans="1:21" x14ac:dyDescent="0.25">
      <c r="A5" s="1">
        <v>661820591</v>
      </c>
      <c r="B5" s="15">
        <v>45845</v>
      </c>
      <c r="C5" s="1" t="s">
        <v>7</v>
      </c>
      <c r="D5" s="1">
        <v>661820591</v>
      </c>
      <c r="G5" s="1" t="s">
        <v>18</v>
      </c>
      <c r="H5" s="1">
        <v>129436967</v>
      </c>
      <c r="I5" s="1">
        <v>0</v>
      </c>
      <c r="J5" s="12" t="s">
        <v>19</v>
      </c>
      <c r="K5" s="12" t="s">
        <v>20</v>
      </c>
      <c r="L5" s="16" t="str">
        <f t="shared" si="0"/>
        <v>Captura de parcela rejeitada - Apólice  - 7-Outros</v>
      </c>
      <c r="M5" s="19" t="s">
        <v>54</v>
      </c>
      <c r="O5" s="3">
        <v>57</v>
      </c>
      <c r="P5" s="3">
        <v>5705</v>
      </c>
      <c r="Q5" s="12" t="s">
        <v>31</v>
      </c>
      <c r="R5" s="12" t="s">
        <v>21</v>
      </c>
      <c r="S5" s="12" t="s">
        <v>21</v>
      </c>
      <c r="U5" s="2">
        <v>4</v>
      </c>
    </row>
    <row r="6" spans="1:21" x14ac:dyDescent="0.25">
      <c r="A6" s="1">
        <v>661973259</v>
      </c>
      <c r="B6" s="15">
        <v>45845</v>
      </c>
      <c r="C6" s="1" t="s">
        <v>7</v>
      </c>
      <c r="D6" s="1">
        <v>661973259</v>
      </c>
      <c r="G6" s="1" t="s">
        <v>18</v>
      </c>
      <c r="H6" s="1">
        <v>129436051</v>
      </c>
      <c r="I6" s="1">
        <v>0</v>
      </c>
      <c r="J6" s="12" t="s">
        <v>19</v>
      </c>
      <c r="K6" s="12" t="s">
        <v>20</v>
      </c>
      <c r="L6" s="16" t="str">
        <f t="shared" si="0"/>
        <v>Captura de parcela rejeitada - Apólice  - 7-Outros</v>
      </c>
      <c r="M6" s="19" t="s">
        <v>49</v>
      </c>
      <c r="O6" s="3">
        <v>57</v>
      </c>
      <c r="P6" s="3">
        <v>5705</v>
      </c>
      <c r="Q6" s="12" t="s">
        <v>31</v>
      </c>
      <c r="R6" s="12" t="s">
        <v>21</v>
      </c>
      <c r="S6" s="12" t="s">
        <v>21</v>
      </c>
      <c r="U6" s="12">
        <v>5</v>
      </c>
    </row>
    <row r="7" spans="1:21" x14ac:dyDescent="0.25">
      <c r="A7" s="1">
        <v>662187560</v>
      </c>
      <c r="B7" s="15">
        <v>45845</v>
      </c>
      <c r="C7" s="1" t="s">
        <v>7</v>
      </c>
      <c r="D7" s="1">
        <v>662187560</v>
      </c>
      <c r="G7" s="1" t="s">
        <v>18</v>
      </c>
      <c r="H7" s="1">
        <v>129475697</v>
      </c>
      <c r="I7" s="1">
        <v>0</v>
      </c>
      <c r="J7" s="12" t="s">
        <v>19</v>
      </c>
      <c r="K7" s="12" t="s">
        <v>20</v>
      </c>
      <c r="L7" s="16" t="str">
        <f t="shared" si="0"/>
        <v>Captura de parcela rejeitada - Apólice  - 7-Outros</v>
      </c>
      <c r="M7" s="19" t="s">
        <v>41</v>
      </c>
      <c r="O7" s="3">
        <v>57</v>
      </c>
      <c r="P7" s="3">
        <v>5705</v>
      </c>
      <c r="Q7" s="12" t="s">
        <v>31</v>
      </c>
      <c r="R7" s="12" t="s">
        <v>21</v>
      </c>
      <c r="S7" s="12" t="s">
        <v>21</v>
      </c>
      <c r="U7" s="2">
        <v>6</v>
      </c>
    </row>
    <row r="8" spans="1:21" x14ac:dyDescent="0.25">
      <c r="A8" s="1">
        <v>677083598</v>
      </c>
      <c r="B8" s="15">
        <v>45845</v>
      </c>
      <c r="C8" s="1" t="s">
        <v>7</v>
      </c>
      <c r="D8" s="1">
        <v>677083598</v>
      </c>
      <c r="G8" s="1" t="s">
        <v>18</v>
      </c>
      <c r="H8" s="1">
        <v>129743570</v>
      </c>
      <c r="I8" s="1">
        <v>0</v>
      </c>
      <c r="J8" s="12" t="s">
        <v>19</v>
      </c>
      <c r="K8" s="12" t="s">
        <v>20</v>
      </c>
      <c r="L8" s="16" t="str">
        <f t="shared" si="0"/>
        <v>Captura de parcela rejeitada - Apólice  - 7-Outros</v>
      </c>
      <c r="M8" s="19" t="s">
        <v>55</v>
      </c>
      <c r="O8" s="3">
        <v>57</v>
      </c>
      <c r="P8" s="3">
        <v>5705</v>
      </c>
      <c r="Q8" s="12" t="s">
        <v>25</v>
      </c>
      <c r="R8" s="12" t="s">
        <v>21</v>
      </c>
      <c r="S8" s="12" t="s">
        <v>21</v>
      </c>
      <c r="U8" s="12">
        <v>7</v>
      </c>
    </row>
    <row r="9" spans="1:21" x14ac:dyDescent="0.25">
      <c r="A9" s="1">
        <v>685792107</v>
      </c>
      <c r="B9" s="15">
        <v>45845</v>
      </c>
      <c r="C9" s="1" t="s">
        <v>7</v>
      </c>
      <c r="D9" s="1">
        <v>685792107</v>
      </c>
      <c r="G9" s="1" t="s">
        <v>18</v>
      </c>
      <c r="H9" s="1">
        <v>129893305</v>
      </c>
      <c r="I9" s="1">
        <v>0</v>
      </c>
      <c r="J9" s="12" t="s">
        <v>19</v>
      </c>
      <c r="K9" s="12" t="s">
        <v>20</v>
      </c>
      <c r="L9" s="16" t="str">
        <f t="shared" si="0"/>
        <v>Captura de parcela rejeitada - Apólice  - 7-Outros</v>
      </c>
      <c r="M9" s="19" t="s">
        <v>56</v>
      </c>
      <c r="O9" s="3">
        <v>57</v>
      </c>
      <c r="P9" s="3">
        <v>5705</v>
      </c>
      <c r="Q9" s="12" t="s">
        <v>25</v>
      </c>
      <c r="R9" s="12" t="s">
        <v>21</v>
      </c>
      <c r="S9" s="12" t="s">
        <v>21</v>
      </c>
      <c r="U9" s="2">
        <v>8</v>
      </c>
    </row>
    <row r="10" spans="1:21" x14ac:dyDescent="0.25">
      <c r="A10" s="1">
        <v>685958286</v>
      </c>
      <c r="B10" s="15">
        <v>45845</v>
      </c>
      <c r="C10" s="1" t="s">
        <v>7</v>
      </c>
      <c r="D10" s="1">
        <v>685958286</v>
      </c>
      <c r="G10" s="1" t="s">
        <v>18</v>
      </c>
      <c r="H10" s="1">
        <v>129902634</v>
      </c>
      <c r="I10" s="1">
        <v>0</v>
      </c>
      <c r="J10" s="12" t="s">
        <v>19</v>
      </c>
      <c r="K10" s="12" t="s">
        <v>20</v>
      </c>
      <c r="L10" s="16" t="str">
        <f t="shared" si="0"/>
        <v>Captura de parcela rejeitada - Apólice  - 7-Outros</v>
      </c>
      <c r="M10" s="19" t="s">
        <v>41</v>
      </c>
      <c r="O10" s="3">
        <v>57</v>
      </c>
      <c r="P10" s="3">
        <v>5705</v>
      </c>
      <c r="Q10" s="12" t="s">
        <v>25</v>
      </c>
      <c r="R10" s="12" t="s">
        <v>21</v>
      </c>
      <c r="S10" s="12" t="s">
        <v>21</v>
      </c>
      <c r="U10" s="12">
        <v>9</v>
      </c>
    </row>
    <row r="11" spans="1:21" x14ac:dyDescent="0.25">
      <c r="A11" s="1">
        <v>685963104</v>
      </c>
      <c r="B11" s="15">
        <v>45845</v>
      </c>
      <c r="C11" s="1" t="s">
        <v>7</v>
      </c>
      <c r="D11" s="1">
        <v>685963104</v>
      </c>
      <c r="G11" s="1" t="s">
        <v>18</v>
      </c>
      <c r="H11" s="1">
        <v>129902440</v>
      </c>
      <c r="I11" s="1">
        <v>0</v>
      </c>
      <c r="J11" s="12" t="s">
        <v>19</v>
      </c>
      <c r="K11" s="12" t="s">
        <v>20</v>
      </c>
      <c r="L11" s="16" t="str">
        <f t="shared" si="0"/>
        <v>Captura de parcela rejeitada - Apólice  - 7-Outros</v>
      </c>
      <c r="M11" s="19" t="s">
        <v>41</v>
      </c>
      <c r="O11" s="3">
        <v>57</v>
      </c>
      <c r="P11" s="3">
        <v>5705</v>
      </c>
      <c r="Q11" s="12" t="s">
        <v>25</v>
      </c>
      <c r="R11" s="12" t="s">
        <v>21</v>
      </c>
      <c r="S11" s="12" t="s">
        <v>21</v>
      </c>
      <c r="U11" s="2">
        <v>10</v>
      </c>
    </row>
    <row r="12" spans="1:21" x14ac:dyDescent="0.25">
      <c r="A12" s="1">
        <v>686005236</v>
      </c>
      <c r="B12" s="15">
        <v>45845</v>
      </c>
      <c r="C12" s="1" t="s">
        <v>7</v>
      </c>
      <c r="D12" s="1">
        <v>686005236</v>
      </c>
      <c r="G12" s="1" t="s">
        <v>18</v>
      </c>
      <c r="H12" s="1">
        <v>129903625</v>
      </c>
      <c r="I12" s="1">
        <v>0</v>
      </c>
      <c r="J12" s="12" t="s">
        <v>19</v>
      </c>
      <c r="K12" s="12" t="s">
        <v>20</v>
      </c>
      <c r="L12" s="16" t="str">
        <f t="shared" si="0"/>
        <v>Captura de parcela rejeitada - Apólice  - 7-Outros</v>
      </c>
      <c r="M12" s="19" t="s">
        <v>57</v>
      </c>
      <c r="O12" s="3">
        <v>57</v>
      </c>
      <c r="P12" s="3">
        <v>5705</v>
      </c>
      <c r="Q12" s="12" t="s">
        <v>25</v>
      </c>
      <c r="R12" s="12" t="s">
        <v>21</v>
      </c>
      <c r="S12" s="12" t="s">
        <v>21</v>
      </c>
      <c r="U12" s="12">
        <v>11</v>
      </c>
    </row>
    <row r="13" spans="1:21" x14ac:dyDescent="0.25">
      <c r="A13" s="1">
        <v>686148945</v>
      </c>
      <c r="B13" s="15">
        <v>45845</v>
      </c>
      <c r="C13" s="1" t="s">
        <v>7</v>
      </c>
      <c r="D13" s="1">
        <v>686148945</v>
      </c>
      <c r="G13" s="1" t="s">
        <v>18</v>
      </c>
      <c r="H13" s="1">
        <v>129884007</v>
      </c>
      <c r="I13" s="1">
        <v>0</v>
      </c>
      <c r="J13" s="12" t="s">
        <v>19</v>
      </c>
      <c r="K13" s="12" t="s">
        <v>20</v>
      </c>
      <c r="L13" s="16" t="str">
        <f t="shared" si="0"/>
        <v>Captura de parcela rejeitada - Apólice  - 7-Outros</v>
      </c>
      <c r="M13" s="19" t="s">
        <v>58</v>
      </c>
      <c r="O13" s="3">
        <v>57</v>
      </c>
      <c r="P13" s="3">
        <v>5705</v>
      </c>
      <c r="Q13" s="12" t="s">
        <v>25</v>
      </c>
      <c r="R13" s="12" t="s">
        <v>21</v>
      </c>
      <c r="S13" s="12" t="s">
        <v>21</v>
      </c>
      <c r="U13" s="2">
        <v>12</v>
      </c>
    </row>
    <row r="14" spans="1:21" x14ac:dyDescent="0.25">
      <c r="A14" s="1">
        <v>686243555</v>
      </c>
      <c r="B14" s="15">
        <v>45845</v>
      </c>
      <c r="C14" s="1" t="s">
        <v>7</v>
      </c>
      <c r="D14" s="1">
        <v>686243555</v>
      </c>
      <c r="G14" s="1" t="s">
        <v>18</v>
      </c>
      <c r="H14" s="1">
        <v>129878166</v>
      </c>
      <c r="I14" s="1">
        <v>0</v>
      </c>
      <c r="J14" s="12" t="s">
        <v>19</v>
      </c>
      <c r="K14" s="12" t="s">
        <v>20</v>
      </c>
      <c r="L14" s="16" t="str">
        <f t="shared" si="0"/>
        <v>Captura de parcela rejeitada - Apólice  - 7-Outros</v>
      </c>
      <c r="M14" s="19" t="s">
        <v>59</v>
      </c>
      <c r="O14" s="3">
        <v>57</v>
      </c>
      <c r="P14" s="3">
        <v>5705</v>
      </c>
      <c r="Q14" s="12" t="s">
        <v>25</v>
      </c>
      <c r="R14" s="12" t="s">
        <v>21</v>
      </c>
      <c r="S14" s="12" t="s">
        <v>21</v>
      </c>
      <c r="U14" s="12">
        <v>13</v>
      </c>
    </row>
    <row r="15" spans="1:21" x14ac:dyDescent="0.25">
      <c r="A15" s="1">
        <v>686380373</v>
      </c>
      <c r="B15" s="15">
        <v>45845</v>
      </c>
      <c r="C15" s="1" t="s">
        <v>7</v>
      </c>
      <c r="D15" s="1">
        <v>686380373</v>
      </c>
      <c r="G15" s="1" t="s">
        <v>18</v>
      </c>
      <c r="H15" s="1">
        <v>129881892</v>
      </c>
      <c r="I15" s="1">
        <v>0</v>
      </c>
      <c r="J15" s="12" t="s">
        <v>19</v>
      </c>
      <c r="K15" s="12" t="s">
        <v>20</v>
      </c>
      <c r="L15" s="16" t="str">
        <f t="shared" si="0"/>
        <v>Captura de parcela rejeitada - Apólice  - 7-Outros</v>
      </c>
      <c r="M15" s="19" t="s">
        <v>60</v>
      </c>
      <c r="O15" s="3">
        <v>57</v>
      </c>
      <c r="P15" s="3">
        <v>5705</v>
      </c>
      <c r="Q15" s="12" t="s">
        <v>25</v>
      </c>
      <c r="R15" s="12" t="s">
        <v>21</v>
      </c>
      <c r="S15" s="12" t="s">
        <v>21</v>
      </c>
      <c r="U15" s="2">
        <v>14</v>
      </c>
    </row>
    <row r="16" spans="1:21" x14ac:dyDescent="0.25">
      <c r="A16" s="1">
        <v>686483516</v>
      </c>
      <c r="B16" s="15">
        <v>45845</v>
      </c>
      <c r="C16" s="1" t="s">
        <v>7</v>
      </c>
      <c r="D16" s="1">
        <v>686483516</v>
      </c>
      <c r="G16" s="1" t="s">
        <v>18</v>
      </c>
      <c r="H16" s="1">
        <v>129818764</v>
      </c>
      <c r="I16" s="1">
        <v>0</v>
      </c>
      <c r="J16" s="12" t="s">
        <v>19</v>
      </c>
      <c r="K16" s="12" t="s">
        <v>20</v>
      </c>
      <c r="L16" s="16" t="str">
        <f t="shared" si="0"/>
        <v>Captura de parcela rejeitada - Apólice  - 7-Outros</v>
      </c>
      <c r="M16" s="19" t="s">
        <v>61</v>
      </c>
      <c r="O16" s="3">
        <v>57</v>
      </c>
      <c r="P16" s="3">
        <v>5705</v>
      </c>
      <c r="Q16" s="12" t="s">
        <v>25</v>
      </c>
      <c r="R16" s="12" t="s">
        <v>21</v>
      </c>
      <c r="S16" s="12" t="s">
        <v>21</v>
      </c>
      <c r="U16" s="12">
        <v>15</v>
      </c>
    </row>
    <row r="17" spans="1:21" x14ac:dyDescent="0.25">
      <c r="A17" s="1">
        <v>686526181</v>
      </c>
      <c r="B17" s="15">
        <v>45845</v>
      </c>
      <c r="C17" s="1" t="s">
        <v>7</v>
      </c>
      <c r="D17" s="1">
        <v>686526181</v>
      </c>
      <c r="G17" s="1" t="s">
        <v>18</v>
      </c>
      <c r="H17" s="1">
        <v>129742606</v>
      </c>
      <c r="I17" s="1">
        <v>0</v>
      </c>
      <c r="J17" s="12" t="s">
        <v>19</v>
      </c>
      <c r="K17" s="12" t="s">
        <v>20</v>
      </c>
      <c r="L17" s="16" t="str">
        <f t="shared" si="0"/>
        <v>Captura de parcela rejeitada - Apólice  - 7-Outros</v>
      </c>
      <c r="M17" s="19" t="s">
        <v>47</v>
      </c>
      <c r="O17" s="3">
        <v>57</v>
      </c>
      <c r="P17" s="3">
        <v>5705</v>
      </c>
      <c r="Q17" s="12" t="s">
        <v>25</v>
      </c>
      <c r="R17" s="12" t="s">
        <v>21</v>
      </c>
      <c r="S17" s="12" t="s">
        <v>21</v>
      </c>
      <c r="U17" s="2">
        <v>16</v>
      </c>
    </row>
    <row r="18" spans="1:21" x14ac:dyDescent="0.25">
      <c r="A18" s="1">
        <v>705091696</v>
      </c>
      <c r="B18" s="15">
        <v>45845</v>
      </c>
      <c r="C18" s="1" t="s">
        <v>7</v>
      </c>
      <c r="D18" s="1">
        <v>705091696</v>
      </c>
      <c r="G18" s="1" t="s">
        <v>18</v>
      </c>
      <c r="H18" s="1">
        <v>130224010</v>
      </c>
      <c r="I18" s="1">
        <v>0</v>
      </c>
      <c r="J18" s="12" t="s">
        <v>19</v>
      </c>
      <c r="K18" s="12" t="s">
        <v>20</v>
      </c>
      <c r="L18" s="16" t="str">
        <f t="shared" si="0"/>
        <v>Captura de parcela rejeitada - Apólice  - 7-Outros</v>
      </c>
      <c r="M18" s="19" t="s">
        <v>48</v>
      </c>
      <c r="O18" s="3">
        <v>57</v>
      </c>
      <c r="P18" s="3">
        <v>5705</v>
      </c>
      <c r="Q18" s="12" t="s">
        <v>26</v>
      </c>
      <c r="R18" s="12" t="s">
        <v>21</v>
      </c>
      <c r="S18" s="12" t="s">
        <v>21</v>
      </c>
      <c r="U18" s="12">
        <v>17</v>
      </c>
    </row>
    <row r="19" spans="1:21" x14ac:dyDescent="0.25">
      <c r="A19" s="1">
        <v>706229980</v>
      </c>
      <c r="B19" s="15">
        <v>45845</v>
      </c>
      <c r="C19" s="1" t="s">
        <v>7</v>
      </c>
      <c r="D19" s="1">
        <v>706229980</v>
      </c>
      <c r="G19" s="1" t="s">
        <v>18</v>
      </c>
      <c r="H19" s="1">
        <v>130250907</v>
      </c>
      <c r="I19" s="1">
        <v>0</v>
      </c>
      <c r="J19" s="12" t="s">
        <v>19</v>
      </c>
      <c r="K19" s="12" t="s">
        <v>20</v>
      </c>
      <c r="L19" s="16" t="str">
        <f t="shared" si="0"/>
        <v>Captura de parcela rejeitada - Apólice  - 7-Outros</v>
      </c>
      <c r="M19" s="19" t="s">
        <v>62</v>
      </c>
      <c r="O19" s="3">
        <v>57</v>
      </c>
      <c r="P19" s="3">
        <v>5705</v>
      </c>
      <c r="Q19" s="12" t="s">
        <v>26</v>
      </c>
      <c r="R19" s="12" t="s">
        <v>21</v>
      </c>
      <c r="S19" s="12" t="s">
        <v>21</v>
      </c>
      <c r="U19" s="2">
        <v>18</v>
      </c>
    </row>
    <row r="20" spans="1:21" x14ac:dyDescent="0.25">
      <c r="A20" s="1">
        <v>707311357</v>
      </c>
      <c r="B20" s="15">
        <v>45845</v>
      </c>
      <c r="C20" s="1" t="s">
        <v>7</v>
      </c>
      <c r="D20" s="1">
        <v>707311357</v>
      </c>
      <c r="G20" s="1" t="s">
        <v>18</v>
      </c>
      <c r="H20" s="1">
        <v>130268929</v>
      </c>
      <c r="I20" s="1">
        <v>0</v>
      </c>
      <c r="J20" s="12" t="s">
        <v>19</v>
      </c>
      <c r="K20" s="12" t="s">
        <v>20</v>
      </c>
      <c r="L20" s="16" t="str">
        <f t="shared" si="0"/>
        <v>Captura de parcela rejeitada - Apólice  - 7-Outros</v>
      </c>
      <c r="M20" s="19" t="s">
        <v>50</v>
      </c>
      <c r="O20" s="3">
        <v>57</v>
      </c>
      <c r="P20" s="3">
        <v>5705</v>
      </c>
      <c r="Q20" s="12" t="s">
        <v>26</v>
      </c>
      <c r="R20" s="12" t="s">
        <v>21</v>
      </c>
      <c r="S20" s="12" t="s">
        <v>21</v>
      </c>
      <c r="U20" s="12">
        <v>19</v>
      </c>
    </row>
    <row r="21" spans="1:21" x14ac:dyDescent="0.25">
      <c r="A21" s="1">
        <v>707646380</v>
      </c>
      <c r="B21" s="15">
        <v>45845</v>
      </c>
      <c r="C21" s="1" t="s">
        <v>7</v>
      </c>
      <c r="D21" s="1">
        <v>707646380</v>
      </c>
      <c r="G21" s="1" t="s">
        <v>18</v>
      </c>
      <c r="H21" s="1">
        <v>130263037</v>
      </c>
      <c r="I21" s="1">
        <v>0</v>
      </c>
      <c r="J21" s="12" t="s">
        <v>19</v>
      </c>
      <c r="K21" s="12" t="s">
        <v>20</v>
      </c>
      <c r="L21" s="16" t="str">
        <f t="shared" si="0"/>
        <v>Captura de parcela rejeitada - Apólice  - 7-Outros</v>
      </c>
      <c r="M21" s="19" t="s">
        <v>63</v>
      </c>
      <c r="O21" s="3">
        <v>57</v>
      </c>
      <c r="P21" s="3">
        <v>5705</v>
      </c>
      <c r="Q21" s="12" t="s">
        <v>26</v>
      </c>
      <c r="R21" s="12" t="s">
        <v>21</v>
      </c>
      <c r="S21" s="12" t="s">
        <v>21</v>
      </c>
      <c r="U21" s="2">
        <v>20</v>
      </c>
    </row>
    <row r="22" spans="1:21" x14ac:dyDescent="0.25">
      <c r="A22" s="1">
        <v>708241686</v>
      </c>
      <c r="B22" s="15">
        <v>45845</v>
      </c>
      <c r="C22" s="1" t="s">
        <v>7</v>
      </c>
      <c r="D22" s="1">
        <v>708241686</v>
      </c>
      <c r="G22" s="1" t="s">
        <v>18</v>
      </c>
      <c r="H22" s="1">
        <v>130247331</v>
      </c>
      <c r="I22" s="1">
        <v>0</v>
      </c>
      <c r="J22" s="12" t="s">
        <v>19</v>
      </c>
      <c r="K22" s="12" t="s">
        <v>20</v>
      </c>
      <c r="L22" s="16" t="str">
        <f t="shared" si="0"/>
        <v>Captura de parcela rejeitada - Apólice  - 7-Outros</v>
      </c>
      <c r="M22" s="19" t="s">
        <v>64</v>
      </c>
      <c r="O22" s="3">
        <v>57</v>
      </c>
      <c r="P22" s="3">
        <v>5705</v>
      </c>
      <c r="Q22" s="12" t="s">
        <v>26</v>
      </c>
      <c r="R22" s="12" t="s">
        <v>21</v>
      </c>
      <c r="S22" s="12" t="s">
        <v>21</v>
      </c>
      <c r="U22" s="12">
        <v>21</v>
      </c>
    </row>
    <row r="23" spans="1:21" x14ac:dyDescent="0.25">
      <c r="A23" s="1">
        <v>733763738</v>
      </c>
      <c r="B23" s="15">
        <v>45845</v>
      </c>
      <c r="C23" s="1" t="s">
        <v>7</v>
      </c>
      <c r="D23" s="1">
        <v>733763738</v>
      </c>
      <c r="G23" s="1" t="s">
        <v>18</v>
      </c>
      <c r="H23" s="1">
        <v>130735729</v>
      </c>
      <c r="I23" s="1">
        <v>0</v>
      </c>
      <c r="J23" s="12" t="s">
        <v>19</v>
      </c>
      <c r="K23" s="12" t="s">
        <v>20</v>
      </c>
      <c r="L23" s="16" t="str">
        <f t="shared" si="0"/>
        <v>Captura de parcela rejeitada - Apólice  - 7-Outros</v>
      </c>
      <c r="M23" s="19" t="s">
        <v>65</v>
      </c>
      <c r="O23" s="3">
        <v>57</v>
      </c>
      <c r="P23" s="3">
        <v>5705</v>
      </c>
      <c r="Q23" s="12" t="s">
        <v>27</v>
      </c>
      <c r="R23" s="12" t="s">
        <v>21</v>
      </c>
      <c r="S23" s="12" t="s">
        <v>21</v>
      </c>
      <c r="U23" s="2">
        <v>22</v>
      </c>
    </row>
    <row r="24" spans="1:21" x14ac:dyDescent="0.25">
      <c r="A24" s="1">
        <v>733914018</v>
      </c>
      <c r="B24" s="15">
        <v>45845</v>
      </c>
      <c r="C24" s="1" t="s">
        <v>7</v>
      </c>
      <c r="D24" s="1">
        <v>733914018</v>
      </c>
      <c r="G24" s="1" t="s">
        <v>18</v>
      </c>
      <c r="H24" s="1">
        <v>130718348</v>
      </c>
      <c r="I24" s="1">
        <v>0</v>
      </c>
      <c r="J24" s="12" t="s">
        <v>19</v>
      </c>
      <c r="K24" s="12" t="s">
        <v>20</v>
      </c>
      <c r="L24" s="16" t="str">
        <f t="shared" si="0"/>
        <v>Captura de parcela rejeitada - Apólice  - 7-Outros</v>
      </c>
      <c r="M24" s="19" t="s">
        <v>48</v>
      </c>
      <c r="O24" s="3">
        <v>57</v>
      </c>
      <c r="P24" s="3">
        <v>5705</v>
      </c>
      <c r="Q24" s="12" t="s">
        <v>27</v>
      </c>
      <c r="R24" s="12" t="s">
        <v>21</v>
      </c>
      <c r="S24" s="12" t="s">
        <v>21</v>
      </c>
      <c r="U24" s="12">
        <v>23</v>
      </c>
    </row>
    <row r="25" spans="1:21" x14ac:dyDescent="0.25">
      <c r="A25" s="1">
        <v>733948727</v>
      </c>
      <c r="B25" s="15">
        <v>45845</v>
      </c>
      <c r="C25" s="1" t="s">
        <v>7</v>
      </c>
      <c r="D25" s="1">
        <v>733948727</v>
      </c>
      <c r="G25" s="1" t="s">
        <v>18</v>
      </c>
      <c r="H25" s="1">
        <v>130666604</v>
      </c>
      <c r="I25" s="1">
        <v>0</v>
      </c>
      <c r="J25" s="12" t="s">
        <v>19</v>
      </c>
      <c r="K25" s="12" t="s">
        <v>20</v>
      </c>
      <c r="L25" s="16" t="str">
        <f t="shared" si="0"/>
        <v>Captura de parcela rejeitada - Apólice  - 7-Outros</v>
      </c>
      <c r="M25" s="19" t="s">
        <v>66</v>
      </c>
      <c r="O25" s="3">
        <v>57</v>
      </c>
      <c r="P25" s="3">
        <v>5705</v>
      </c>
      <c r="Q25" s="12" t="s">
        <v>27</v>
      </c>
      <c r="R25" s="12" t="s">
        <v>21</v>
      </c>
      <c r="S25" s="12" t="s">
        <v>21</v>
      </c>
      <c r="U25" s="2">
        <v>24</v>
      </c>
    </row>
    <row r="26" spans="1:21" x14ac:dyDescent="0.25">
      <c r="A26" s="1">
        <v>751368972</v>
      </c>
      <c r="B26" s="15">
        <v>45845</v>
      </c>
      <c r="C26" s="1" t="s">
        <v>7</v>
      </c>
      <c r="D26" s="1">
        <v>751368972</v>
      </c>
      <c r="G26" s="1" t="s">
        <v>18</v>
      </c>
      <c r="H26" s="1">
        <v>131041313</v>
      </c>
      <c r="I26" s="1">
        <v>0</v>
      </c>
      <c r="J26" s="12" t="s">
        <v>19</v>
      </c>
      <c r="K26" s="12" t="s">
        <v>20</v>
      </c>
      <c r="L26" s="16" t="str">
        <f t="shared" si="0"/>
        <v>Captura de parcela rejeitada - Apólice  - 7-Outros</v>
      </c>
      <c r="M26" s="19" t="s">
        <v>67</v>
      </c>
      <c r="O26" s="3">
        <v>57</v>
      </c>
      <c r="P26" s="3">
        <v>5705</v>
      </c>
      <c r="Q26" s="12" t="s">
        <v>28</v>
      </c>
      <c r="R26" s="12" t="s">
        <v>21</v>
      </c>
      <c r="S26" s="12" t="s">
        <v>21</v>
      </c>
      <c r="U26" s="12">
        <v>25</v>
      </c>
    </row>
    <row r="27" spans="1:21" x14ac:dyDescent="0.25">
      <c r="A27" s="1">
        <v>752126692</v>
      </c>
      <c r="B27" s="15">
        <v>45845</v>
      </c>
      <c r="C27" s="1" t="s">
        <v>7</v>
      </c>
      <c r="D27" s="1">
        <v>752126692</v>
      </c>
      <c r="G27" s="1" t="s">
        <v>18</v>
      </c>
      <c r="H27" s="1">
        <v>131056844</v>
      </c>
      <c r="I27" s="1">
        <v>0</v>
      </c>
      <c r="J27" s="12" t="s">
        <v>19</v>
      </c>
      <c r="K27" s="12" t="s">
        <v>20</v>
      </c>
      <c r="L27" s="16" t="str">
        <f t="shared" si="0"/>
        <v>Captura de parcela rejeitada - Apólice  - 7-Outros</v>
      </c>
      <c r="M27" s="19" t="s">
        <v>68</v>
      </c>
      <c r="O27" s="3">
        <v>57</v>
      </c>
      <c r="P27" s="3">
        <v>5705</v>
      </c>
      <c r="Q27" s="12" t="s">
        <v>28</v>
      </c>
      <c r="R27" s="12" t="s">
        <v>21</v>
      </c>
      <c r="S27" s="12" t="s">
        <v>21</v>
      </c>
      <c r="U27" s="2">
        <v>26</v>
      </c>
    </row>
    <row r="28" spans="1:21" x14ac:dyDescent="0.25">
      <c r="A28" s="1">
        <v>753900228</v>
      </c>
      <c r="B28" s="15">
        <v>45845</v>
      </c>
      <c r="C28" s="1" t="s">
        <v>7</v>
      </c>
      <c r="D28" s="1">
        <v>753900228</v>
      </c>
      <c r="G28" s="1" t="s">
        <v>18</v>
      </c>
      <c r="H28" s="1">
        <v>131084987</v>
      </c>
      <c r="I28" s="1">
        <v>0</v>
      </c>
      <c r="J28" s="12" t="s">
        <v>19</v>
      </c>
      <c r="K28" s="12" t="s">
        <v>20</v>
      </c>
      <c r="L28" s="16" t="str">
        <f t="shared" si="0"/>
        <v>Captura de parcela rejeitada - Apólice  - 7-Outros</v>
      </c>
      <c r="M28" s="19" t="s">
        <v>69</v>
      </c>
      <c r="O28" s="3">
        <v>57</v>
      </c>
      <c r="P28" s="3">
        <v>5705</v>
      </c>
      <c r="Q28" s="12" t="s">
        <v>28</v>
      </c>
      <c r="R28" s="12" t="s">
        <v>21</v>
      </c>
      <c r="S28" s="12" t="s">
        <v>21</v>
      </c>
      <c r="U28" s="12">
        <v>27</v>
      </c>
    </row>
    <row r="29" spans="1:21" x14ac:dyDescent="0.25">
      <c r="A29" s="1">
        <v>754453458</v>
      </c>
      <c r="B29" s="15">
        <v>45845</v>
      </c>
      <c r="C29" s="1" t="s">
        <v>7</v>
      </c>
      <c r="D29" s="1">
        <v>754453458</v>
      </c>
      <c r="G29" s="1" t="s">
        <v>18</v>
      </c>
      <c r="H29" s="1">
        <v>131065630</v>
      </c>
      <c r="I29" s="1">
        <v>0</v>
      </c>
      <c r="J29" s="12" t="s">
        <v>19</v>
      </c>
      <c r="K29" s="12" t="s">
        <v>20</v>
      </c>
      <c r="L29" s="16" t="str">
        <f t="shared" si="0"/>
        <v>Captura de parcela rejeitada - Apólice  - 7-Outros</v>
      </c>
      <c r="M29" s="19" t="s">
        <v>70</v>
      </c>
      <c r="O29" s="3">
        <v>57</v>
      </c>
      <c r="P29" s="3">
        <v>5705</v>
      </c>
      <c r="Q29" s="12" t="s">
        <v>28</v>
      </c>
      <c r="R29" s="12" t="s">
        <v>21</v>
      </c>
      <c r="S29" s="12" t="s">
        <v>21</v>
      </c>
      <c r="U29" s="2">
        <v>28</v>
      </c>
    </row>
    <row r="30" spans="1:21" x14ac:dyDescent="0.25">
      <c r="A30" s="1">
        <v>754608499</v>
      </c>
      <c r="B30" s="15">
        <v>45845</v>
      </c>
      <c r="C30" s="1" t="s">
        <v>7</v>
      </c>
      <c r="D30" s="1">
        <v>754608499</v>
      </c>
      <c r="G30" s="1" t="s">
        <v>18</v>
      </c>
      <c r="H30" s="1">
        <v>130923899</v>
      </c>
      <c r="I30" s="1">
        <v>0</v>
      </c>
      <c r="J30" s="12" t="s">
        <v>19</v>
      </c>
      <c r="K30" s="12" t="s">
        <v>20</v>
      </c>
      <c r="L30" s="16" t="str">
        <f t="shared" si="0"/>
        <v>Captura de parcela rejeitada - Apólice  - 7-Outros</v>
      </c>
      <c r="M30" s="19" t="s">
        <v>71</v>
      </c>
      <c r="O30" s="3">
        <v>57</v>
      </c>
      <c r="P30" s="3">
        <v>5705</v>
      </c>
      <c r="Q30" s="12" t="s">
        <v>28</v>
      </c>
      <c r="R30" s="12" t="s">
        <v>21</v>
      </c>
      <c r="S30" s="12" t="s">
        <v>21</v>
      </c>
      <c r="U30" s="12">
        <v>29</v>
      </c>
    </row>
    <row r="31" spans="1:21" x14ac:dyDescent="0.25">
      <c r="A31" s="1">
        <v>754626467</v>
      </c>
      <c r="B31" s="15">
        <v>45845</v>
      </c>
      <c r="C31" s="1" t="s">
        <v>7</v>
      </c>
      <c r="D31" s="1">
        <v>754626467</v>
      </c>
      <c r="G31" s="1" t="s">
        <v>18</v>
      </c>
      <c r="H31" s="1">
        <v>131103328</v>
      </c>
      <c r="I31" s="1">
        <v>0</v>
      </c>
      <c r="J31" s="12" t="s">
        <v>19</v>
      </c>
      <c r="K31" s="12" t="s">
        <v>20</v>
      </c>
      <c r="L31" s="16" t="str">
        <f t="shared" si="0"/>
        <v>Captura de parcela rejeitada - Apólice  - 7-Outros</v>
      </c>
      <c r="M31" s="19" t="s">
        <v>72</v>
      </c>
      <c r="O31" s="3">
        <v>57</v>
      </c>
      <c r="P31" s="3">
        <v>5705</v>
      </c>
      <c r="Q31" s="12" t="s">
        <v>28</v>
      </c>
      <c r="R31" s="12" t="s">
        <v>21</v>
      </c>
      <c r="S31" s="12" t="s">
        <v>21</v>
      </c>
      <c r="U31" s="2">
        <v>30</v>
      </c>
    </row>
    <row r="32" spans="1:21" x14ac:dyDescent="0.25">
      <c r="A32" s="1">
        <v>775267200</v>
      </c>
      <c r="B32" s="15">
        <v>45845</v>
      </c>
      <c r="C32" s="1" t="s">
        <v>7</v>
      </c>
      <c r="D32" s="1">
        <v>775267200</v>
      </c>
      <c r="G32" s="1" t="s">
        <v>18</v>
      </c>
      <c r="H32" s="1">
        <v>131466470</v>
      </c>
      <c r="I32" s="1">
        <v>0</v>
      </c>
      <c r="J32" s="12" t="s">
        <v>19</v>
      </c>
      <c r="K32" s="12" t="s">
        <v>20</v>
      </c>
      <c r="L32" s="16" t="str">
        <f t="shared" si="0"/>
        <v>Captura de parcela rejeitada - Apólice  - 7-Outros</v>
      </c>
      <c r="M32" s="19" t="s">
        <v>73</v>
      </c>
      <c r="O32" s="3">
        <v>57</v>
      </c>
      <c r="P32" s="3">
        <v>5705</v>
      </c>
      <c r="Q32" s="12" t="s">
        <v>29</v>
      </c>
      <c r="R32" s="12" t="s">
        <v>21</v>
      </c>
      <c r="S32" s="12" t="s">
        <v>21</v>
      </c>
      <c r="U32" s="12">
        <v>31</v>
      </c>
    </row>
    <row r="33" spans="1:21" x14ac:dyDescent="0.25">
      <c r="A33" s="1">
        <v>776934964</v>
      </c>
      <c r="B33" s="15">
        <v>45845</v>
      </c>
      <c r="C33" s="1" t="s">
        <v>7</v>
      </c>
      <c r="D33" s="1">
        <v>776934964</v>
      </c>
      <c r="G33" s="1" t="s">
        <v>18</v>
      </c>
      <c r="H33" s="1">
        <v>131491633</v>
      </c>
      <c r="I33" s="1">
        <v>0</v>
      </c>
      <c r="J33" s="12" t="s">
        <v>19</v>
      </c>
      <c r="K33" s="12" t="s">
        <v>20</v>
      </c>
      <c r="L33" s="16" t="str">
        <f t="shared" si="0"/>
        <v>Captura de parcela rejeitada - Apólice  - 7-Outros</v>
      </c>
      <c r="M33" s="19" t="s">
        <v>41</v>
      </c>
      <c r="O33" s="3">
        <v>57</v>
      </c>
      <c r="P33" s="3">
        <v>5705</v>
      </c>
      <c r="Q33" s="12" t="s">
        <v>29</v>
      </c>
      <c r="R33" s="12" t="s">
        <v>21</v>
      </c>
      <c r="S33" s="12" t="s">
        <v>21</v>
      </c>
      <c r="U33" s="2">
        <v>32</v>
      </c>
    </row>
    <row r="34" spans="1:21" x14ac:dyDescent="0.25">
      <c r="A34" s="1">
        <v>777597596</v>
      </c>
      <c r="B34" s="15">
        <v>45845</v>
      </c>
      <c r="C34" s="1" t="s">
        <v>7</v>
      </c>
      <c r="D34" s="1">
        <v>777597596</v>
      </c>
      <c r="G34" s="1" t="s">
        <v>18</v>
      </c>
      <c r="H34" s="1">
        <v>131505052</v>
      </c>
      <c r="I34" s="1">
        <v>0</v>
      </c>
      <c r="J34" s="12" t="s">
        <v>19</v>
      </c>
      <c r="K34" s="12" t="s">
        <v>20</v>
      </c>
      <c r="L34" s="16" t="str">
        <f t="shared" si="0"/>
        <v>Captura de parcela rejeitada - Apólice  - 7-Outros</v>
      </c>
      <c r="M34" s="19" t="s">
        <v>74</v>
      </c>
      <c r="O34" s="3">
        <v>57</v>
      </c>
      <c r="P34" s="3">
        <v>5705</v>
      </c>
      <c r="Q34" s="12" t="s">
        <v>29</v>
      </c>
      <c r="R34" s="12" t="s">
        <v>21</v>
      </c>
      <c r="S34" s="12" t="s">
        <v>21</v>
      </c>
      <c r="U34" s="12">
        <v>33</v>
      </c>
    </row>
    <row r="35" spans="1:21" x14ac:dyDescent="0.25">
      <c r="A35" s="1">
        <v>777739859</v>
      </c>
      <c r="B35" s="15">
        <v>45845</v>
      </c>
      <c r="C35" s="1" t="s">
        <v>7</v>
      </c>
      <c r="D35" s="1">
        <v>777739859</v>
      </c>
      <c r="G35" s="1" t="s">
        <v>18</v>
      </c>
      <c r="H35" s="1">
        <v>131466076</v>
      </c>
      <c r="I35" s="1">
        <v>0</v>
      </c>
      <c r="J35" s="12" t="s">
        <v>19</v>
      </c>
      <c r="K35" s="12" t="s">
        <v>20</v>
      </c>
      <c r="L35" s="16" t="str">
        <f t="shared" si="0"/>
        <v>Captura de parcela rejeitada - Apólice  - 7-Outros</v>
      </c>
      <c r="M35" s="19" t="s">
        <v>75</v>
      </c>
      <c r="O35" s="3">
        <v>57</v>
      </c>
      <c r="P35" s="3">
        <v>5705</v>
      </c>
      <c r="Q35" s="12" t="s">
        <v>29</v>
      </c>
      <c r="R35" s="12" t="s">
        <v>21</v>
      </c>
      <c r="S35" s="12" t="s">
        <v>21</v>
      </c>
      <c r="U35" s="2">
        <v>34</v>
      </c>
    </row>
    <row r="36" spans="1:21" x14ac:dyDescent="0.25">
      <c r="A36" s="1">
        <v>789530122</v>
      </c>
      <c r="B36" s="15">
        <v>45845</v>
      </c>
      <c r="C36" s="1" t="s">
        <v>7</v>
      </c>
      <c r="D36" s="1">
        <v>789530122</v>
      </c>
      <c r="G36" s="1" t="s">
        <v>18</v>
      </c>
      <c r="H36" s="1">
        <v>131705650</v>
      </c>
      <c r="I36" s="1">
        <v>0</v>
      </c>
      <c r="J36" s="12" t="s">
        <v>19</v>
      </c>
      <c r="K36" s="12" t="s">
        <v>20</v>
      </c>
      <c r="L36" s="16" t="str">
        <f t="shared" si="0"/>
        <v>Captura de parcela rejeitada - Apólice  - 7-Outros</v>
      </c>
      <c r="M36" s="19" t="s">
        <v>76</v>
      </c>
      <c r="O36" s="3">
        <v>57</v>
      </c>
      <c r="P36" s="3">
        <v>5705</v>
      </c>
      <c r="Q36" s="12" t="s">
        <v>40</v>
      </c>
      <c r="R36" s="12" t="s">
        <v>21</v>
      </c>
      <c r="S36" s="12" t="s">
        <v>21</v>
      </c>
      <c r="U36" s="12">
        <v>35</v>
      </c>
    </row>
    <row r="37" spans="1:21" x14ac:dyDescent="0.25">
      <c r="A37" s="1">
        <v>795400807</v>
      </c>
      <c r="B37" s="15">
        <v>45845</v>
      </c>
      <c r="C37" s="1" t="s">
        <v>7</v>
      </c>
      <c r="D37" s="1">
        <v>795400807</v>
      </c>
      <c r="G37" s="1" t="s">
        <v>18</v>
      </c>
      <c r="H37" s="1">
        <v>131801228</v>
      </c>
      <c r="I37" s="1">
        <v>0</v>
      </c>
      <c r="J37" s="12" t="s">
        <v>19</v>
      </c>
      <c r="K37" s="12" t="s">
        <v>20</v>
      </c>
      <c r="L37" s="16" t="str">
        <f t="shared" si="0"/>
        <v>Captura de parcela rejeitada - Apólice  - 7-Outros</v>
      </c>
      <c r="M37" s="19" t="s">
        <v>77</v>
      </c>
      <c r="O37" s="3">
        <v>57</v>
      </c>
      <c r="P37" s="3">
        <v>5705</v>
      </c>
      <c r="Q37" s="12" t="s">
        <v>40</v>
      </c>
      <c r="R37" s="12" t="s">
        <v>21</v>
      </c>
      <c r="S37" s="12" t="s">
        <v>21</v>
      </c>
      <c r="U37" s="2">
        <v>36</v>
      </c>
    </row>
    <row r="38" spans="1:21" x14ac:dyDescent="0.25">
      <c r="A38" s="1">
        <v>799334069</v>
      </c>
      <c r="B38" s="15">
        <v>45845</v>
      </c>
      <c r="C38" s="1" t="s">
        <v>7</v>
      </c>
      <c r="D38" s="1">
        <v>799334069</v>
      </c>
      <c r="G38" s="1" t="s">
        <v>18</v>
      </c>
      <c r="H38" s="1">
        <v>131788622</v>
      </c>
      <c r="I38" s="1">
        <v>0</v>
      </c>
      <c r="J38" s="12" t="s">
        <v>19</v>
      </c>
      <c r="K38" s="12" t="s">
        <v>20</v>
      </c>
      <c r="L38" s="16" t="str">
        <f t="shared" si="0"/>
        <v>Captura de parcela rejeitada - Apólice  - 7-Outros</v>
      </c>
      <c r="M38" s="19" t="s">
        <v>78</v>
      </c>
      <c r="O38" s="3">
        <v>57</v>
      </c>
      <c r="P38" s="3">
        <v>5705</v>
      </c>
      <c r="Q38" s="12" t="s">
        <v>40</v>
      </c>
      <c r="R38" s="12" t="s">
        <v>21</v>
      </c>
      <c r="S38" s="12" t="s">
        <v>21</v>
      </c>
      <c r="U38" s="12">
        <v>37</v>
      </c>
    </row>
    <row r="39" spans="1:21" x14ac:dyDescent="0.25">
      <c r="A39" s="1">
        <v>799596691</v>
      </c>
      <c r="B39" s="15">
        <v>45845</v>
      </c>
      <c r="C39" s="1" t="s">
        <v>7</v>
      </c>
      <c r="D39" s="1">
        <v>799596691</v>
      </c>
      <c r="G39" s="1" t="s">
        <v>18</v>
      </c>
      <c r="H39" s="1">
        <v>129272781</v>
      </c>
      <c r="I39" s="1">
        <v>0</v>
      </c>
      <c r="J39" s="12" t="s">
        <v>19</v>
      </c>
      <c r="K39" s="12" t="s">
        <v>20</v>
      </c>
      <c r="L39" s="16" t="str">
        <f t="shared" si="0"/>
        <v>Captura de parcela rejeitada - Apólice  - 7-Outros</v>
      </c>
      <c r="M39" s="19" t="s">
        <v>79</v>
      </c>
      <c r="O39" s="3">
        <v>57</v>
      </c>
      <c r="P39" s="3">
        <v>5705</v>
      </c>
      <c r="Q39" s="12" t="s">
        <v>40</v>
      </c>
      <c r="R39" s="12" t="s">
        <v>21</v>
      </c>
      <c r="S39" s="12" t="s">
        <v>21</v>
      </c>
      <c r="U39" s="2">
        <v>38</v>
      </c>
    </row>
    <row r="40" spans="1:21" x14ac:dyDescent="0.25">
      <c r="A40" s="1">
        <v>811943293</v>
      </c>
      <c r="B40" s="15">
        <v>45845</v>
      </c>
      <c r="C40" s="1" t="s">
        <v>7</v>
      </c>
      <c r="D40" s="1">
        <v>811943293</v>
      </c>
      <c r="G40" s="1" t="s">
        <v>18</v>
      </c>
      <c r="H40" s="1">
        <v>132071518</v>
      </c>
      <c r="I40" s="1">
        <v>0</v>
      </c>
      <c r="J40" s="12" t="s">
        <v>19</v>
      </c>
      <c r="K40" s="12" t="s">
        <v>20</v>
      </c>
      <c r="L40" s="16" t="str">
        <f t="shared" si="0"/>
        <v>Captura de parcela rejeitada - Apólice  - 7-Outros</v>
      </c>
      <c r="M40" s="19" t="s">
        <v>80</v>
      </c>
      <c r="O40" s="3">
        <v>57</v>
      </c>
      <c r="P40" s="3">
        <v>5705</v>
      </c>
      <c r="Q40" s="12" t="s">
        <v>30</v>
      </c>
      <c r="R40" s="12" t="s">
        <v>21</v>
      </c>
      <c r="S40" s="12" t="s">
        <v>21</v>
      </c>
      <c r="U40" s="12">
        <v>39</v>
      </c>
    </row>
    <row r="41" spans="1:21" x14ac:dyDescent="0.25">
      <c r="A41" s="1">
        <v>821133380</v>
      </c>
      <c r="B41" s="15">
        <v>45845</v>
      </c>
      <c r="C41" s="1" t="s">
        <v>7</v>
      </c>
      <c r="D41" s="1">
        <v>821133380</v>
      </c>
      <c r="G41" s="1" t="s">
        <v>18</v>
      </c>
      <c r="H41" s="1">
        <v>132231813</v>
      </c>
      <c r="I41" s="1">
        <v>0</v>
      </c>
      <c r="J41" s="12" t="s">
        <v>19</v>
      </c>
      <c r="K41" s="12" t="s">
        <v>20</v>
      </c>
      <c r="L41" s="16" t="str">
        <f t="shared" si="0"/>
        <v>Captura de parcela rejeitada - Apólice  - 7-Outros</v>
      </c>
      <c r="M41" s="19" t="s">
        <v>81</v>
      </c>
      <c r="O41" s="3">
        <v>57</v>
      </c>
      <c r="P41" s="3">
        <v>5705</v>
      </c>
      <c r="Q41" s="12" t="s">
        <v>30</v>
      </c>
      <c r="R41" s="12" t="s">
        <v>21</v>
      </c>
      <c r="S41" s="12" t="s">
        <v>21</v>
      </c>
      <c r="U41" s="2">
        <v>40</v>
      </c>
    </row>
    <row r="42" spans="1:21" x14ac:dyDescent="0.25">
      <c r="A42" s="1">
        <v>822826461</v>
      </c>
      <c r="B42" s="15">
        <v>45845</v>
      </c>
      <c r="C42" s="1" t="s">
        <v>7</v>
      </c>
      <c r="D42" s="1">
        <v>822826461</v>
      </c>
      <c r="G42" s="1" t="s">
        <v>18</v>
      </c>
      <c r="H42" s="1">
        <v>132263073</v>
      </c>
      <c r="I42" s="1">
        <v>0</v>
      </c>
      <c r="J42" s="12" t="s">
        <v>19</v>
      </c>
      <c r="K42" s="12" t="s">
        <v>20</v>
      </c>
      <c r="L42" s="16" t="str">
        <f t="shared" si="0"/>
        <v>Captura de parcela rejeitada - Apólice  - 7-Outros</v>
      </c>
      <c r="M42" s="19" t="s">
        <v>82</v>
      </c>
      <c r="O42" s="3">
        <v>57</v>
      </c>
      <c r="P42" s="3">
        <v>5705</v>
      </c>
      <c r="Q42" s="12" t="s">
        <v>30</v>
      </c>
      <c r="R42" s="12" t="s">
        <v>21</v>
      </c>
      <c r="S42" s="12" t="s">
        <v>21</v>
      </c>
      <c r="U42" s="12">
        <v>41</v>
      </c>
    </row>
    <row r="43" spans="1:21" x14ac:dyDescent="0.25">
      <c r="A43" s="1">
        <v>823438977</v>
      </c>
      <c r="B43" s="15">
        <v>45845</v>
      </c>
      <c r="C43" s="1" t="s">
        <v>7</v>
      </c>
      <c r="D43" s="1">
        <v>823438977</v>
      </c>
      <c r="G43" s="1" t="s">
        <v>18</v>
      </c>
      <c r="H43" s="1">
        <v>132271575</v>
      </c>
      <c r="I43" s="1">
        <v>0</v>
      </c>
      <c r="J43" s="12" t="s">
        <v>19</v>
      </c>
      <c r="K43" s="12" t="s">
        <v>20</v>
      </c>
      <c r="L43" s="16" t="str">
        <f t="shared" si="0"/>
        <v>Captura de parcela rejeitada - Apólice  - 7-Outros</v>
      </c>
      <c r="M43" s="19" t="s">
        <v>83</v>
      </c>
      <c r="O43" s="3">
        <v>57</v>
      </c>
      <c r="P43" s="3">
        <v>5705</v>
      </c>
      <c r="Q43" s="12" t="s">
        <v>30</v>
      </c>
      <c r="R43" s="12" t="s">
        <v>21</v>
      </c>
      <c r="S43" s="12" t="s">
        <v>21</v>
      </c>
      <c r="U43" s="2">
        <v>42</v>
      </c>
    </row>
    <row r="44" spans="1:21" x14ac:dyDescent="0.25">
      <c r="A44" s="1">
        <v>823593359</v>
      </c>
      <c r="B44" s="15">
        <v>45845</v>
      </c>
      <c r="C44" s="1" t="s">
        <v>7</v>
      </c>
      <c r="D44" s="1">
        <v>823593359</v>
      </c>
      <c r="G44" s="1" t="s">
        <v>18</v>
      </c>
      <c r="H44" s="1">
        <v>132275056</v>
      </c>
      <c r="I44" s="1">
        <v>0</v>
      </c>
      <c r="J44" s="12" t="s">
        <v>19</v>
      </c>
      <c r="K44" s="12" t="s">
        <v>20</v>
      </c>
      <c r="L44" s="16" t="str">
        <f t="shared" si="0"/>
        <v>Captura de parcela rejeitada - Apólice  - 7-Outros</v>
      </c>
      <c r="M44" s="19" t="s">
        <v>84</v>
      </c>
      <c r="O44" s="3">
        <v>57</v>
      </c>
      <c r="P44" s="3">
        <v>5705</v>
      </c>
      <c r="Q44" s="12" t="s">
        <v>30</v>
      </c>
      <c r="R44" s="12" t="s">
        <v>21</v>
      </c>
      <c r="S44" s="12" t="s">
        <v>21</v>
      </c>
      <c r="U44" s="12">
        <v>43</v>
      </c>
    </row>
    <row r="45" spans="1:21" x14ac:dyDescent="0.25">
      <c r="A45" s="1">
        <v>823842863</v>
      </c>
      <c r="B45" s="15">
        <v>45845</v>
      </c>
      <c r="C45" s="1" t="s">
        <v>7</v>
      </c>
      <c r="D45" s="1">
        <v>823842863</v>
      </c>
      <c r="G45" s="1" t="s">
        <v>18</v>
      </c>
      <c r="H45" s="1">
        <v>132281120</v>
      </c>
      <c r="I45" s="1">
        <v>0</v>
      </c>
      <c r="J45" s="12" t="s">
        <v>19</v>
      </c>
      <c r="K45" s="12" t="s">
        <v>20</v>
      </c>
      <c r="L45" s="16" t="str">
        <f t="shared" si="0"/>
        <v>Captura de parcela rejeitada - Apólice  - 7-Outros</v>
      </c>
      <c r="M45" s="19" t="s">
        <v>85</v>
      </c>
      <c r="O45" s="3">
        <v>57</v>
      </c>
      <c r="P45" s="3">
        <v>5705</v>
      </c>
      <c r="Q45" s="12" t="s">
        <v>30</v>
      </c>
      <c r="R45" s="12" t="s">
        <v>21</v>
      </c>
      <c r="S45" s="12" t="s">
        <v>21</v>
      </c>
      <c r="U45" s="2">
        <v>44</v>
      </c>
    </row>
    <row r="46" spans="1:21" x14ac:dyDescent="0.25">
      <c r="A46" s="1">
        <v>823892496</v>
      </c>
      <c r="B46" s="15">
        <v>45845</v>
      </c>
      <c r="C46" s="1" t="s">
        <v>7</v>
      </c>
      <c r="D46" s="1">
        <v>823892496</v>
      </c>
      <c r="G46" s="1" t="s">
        <v>18</v>
      </c>
      <c r="H46" s="1">
        <v>132276007</v>
      </c>
      <c r="I46" s="1">
        <v>0</v>
      </c>
      <c r="J46" s="12" t="s">
        <v>19</v>
      </c>
      <c r="K46" s="12" t="s">
        <v>20</v>
      </c>
      <c r="L46" s="16" t="str">
        <f t="shared" si="0"/>
        <v>Captura de parcela rejeitada - Apólice  - 7-Outros</v>
      </c>
      <c r="M46" s="19" t="s">
        <v>86</v>
      </c>
      <c r="O46" s="3">
        <v>57</v>
      </c>
      <c r="P46" s="3">
        <v>5705</v>
      </c>
      <c r="Q46" s="12" t="s">
        <v>30</v>
      </c>
      <c r="R46" s="12" t="s">
        <v>21</v>
      </c>
      <c r="S46" s="12" t="s">
        <v>21</v>
      </c>
      <c r="U46" s="12">
        <v>45</v>
      </c>
    </row>
    <row r="47" spans="1:21" x14ac:dyDescent="0.25">
      <c r="A47" s="1">
        <v>823914852</v>
      </c>
      <c r="B47" s="15">
        <v>45845</v>
      </c>
      <c r="C47" s="1" t="s">
        <v>7</v>
      </c>
      <c r="D47" s="1">
        <v>823914852</v>
      </c>
      <c r="G47" s="1" t="s">
        <v>18</v>
      </c>
      <c r="H47" s="1">
        <v>132272199</v>
      </c>
      <c r="I47" s="1">
        <v>0</v>
      </c>
      <c r="J47" s="12" t="s">
        <v>19</v>
      </c>
      <c r="K47" s="12" t="s">
        <v>20</v>
      </c>
      <c r="L47" s="16" t="str">
        <f t="shared" si="0"/>
        <v>Captura de parcela rejeitada - Apólice  - 7-Outros</v>
      </c>
      <c r="M47" s="19" t="s">
        <v>48</v>
      </c>
      <c r="O47" s="3">
        <v>57</v>
      </c>
      <c r="P47" s="3">
        <v>5705</v>
      </c>
      <c r="Q47" s="12" t="s">
        <v>30</v>
      </c>
      <c r="R47" s="12" t="s">
        <v>21</v>
      </c>
      <c r="S47" s="12" t="s">
        <v>21</v>
      </c>
      <c r="U47" s="2">
        <v>46</v>
      </c>
    </row>
    <row r="48" spans="1:21" x14ac:dyDescent="0.25">
      <c r="A48" s="1">
        <v>847158973</v>
      </c>
      <c r="B48" s="15">
        <v>45845</v>
      </c>
      <c r="C48" s="1" t="s">
        <v>7</v>
      </c>
      <c r="D48" s="1">
        <v>847158973</v>
      </c>
      <c r="G48" s="1" t="s">
        <v>18</v>
      </c>
      <c r="H48" s="1">
        <v>132685490</v>
      </c>
      <c r="I48" s="1">
        <v>0</v>
      </c>
      <c r="J48" s="12" t="s">
        <v>19</v>
      </c>
      <c r="K48" s="12" t="s">
        <v>20</v>
      </c>
      <c r="L48" s="16" t="str">
        <f t="shared" si="0"/>
        <v>Captura de parcela rejeitada - Apólice  - 7-Outros</v>
      </c>
      <c r="M48" s="19" t="s">
        <v>87</v>
      </c>
      <c r="O48" s="3">
        <v>57</v>
      </c>
      <c r="P48" s="3">
        <v>5705</v>
      </c>
      <c r="Q48" s="12" t="s">
        <v>42</v>
      </c>
      <c r="R48" s="12" t="s">
        <v>21</v>
      </c>
      <c r="S48" s="12" t="s">
        <v>21</v>
      </c>
      <c r="U48" s="12">
        <v>47</v>
      </c>
    </row>
    <row r="49" spans="1:21" x14ac:dyDescent="0.25">
      <c r="A49" s="1">
        <v>847593179</v>
      </c>
      <c r="B49" s="15">
        <v>45845</v>
      </c>
      <c r="C49" s="1" t="s">
        <v>7</v>
      </c>
      <c r="D49" s="1">
        <v>847593179</v>
      </c>
      <c r="G49" s="1" t="s">
        <v>18</v>
      </c>
      <c r="H49" s="1">
        <v>132639576</v>
      </c>
      <c r="I49" s="1">
        <v>0</v>
      </c>
      <c r="J49" s="12" t="s">
        <v>19</v>
      </c>
      <c r="K49" s="12" t="s">
        <v>20</v>
      </c>
      <c r="L49" s="16" t="str">
        <f t="shared" si="0"/>
        <v>Captura de parcela rejeitada - Apólice  - 7-Outros</v>
      </c>
      <c r="M49" s="19" t="s">
        <v>88</v>
      </c>
      <c r="O49" s="3">
        <v>57</v>
      </c>
      <c r="P49" s="3">
        <v>5705</v>
      </c>
      <c r="Q49" s="12" t="s">
        <v>42</v>
      </c>
      <c r="R49" s="12" t="s">
        <v>21</v>
      </c>
      <c r="S49" s="12" t="s">
        <v>21</v>
      </c>
      <c r="U49" s="2">
        <v>48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>
        <v>128922475</v>
      </c>
      <c r="B2">
        <v>5705</v>
      </c>
      <c r="C2" t="s">
        <v>44</v>
      </c>
      <c r="D2" t="s">
        <v>45</v>
      </c>
      <c r="E2" s="20">
        <v>45812</v>
      </c>
    </row>
    <row r="3" spans="1:5" x14ac:dyDescent="0.25">
      <c r="A3">
        <v>128998967</v>
      </c>
      <c r="B3">
        <v>5705</v>
      </c>
      <c r="C3" t="s">
        <v>44</v>
      </c>
      <c r="D3" t="s">
        <v>45</v>
      </c>
      <c r="E3" s="20">
        <v>45812</v>
      </c>
    </row>
    <row r="4" spans="1:5" x14ac:dyDescent="0.25">
      <c r="A4">
        <v>129064609</v>
      </c>
      <c r="B4">
        <v>5705</v>
      </c>
      <c r="C4" t="s">
        <v>44</v>
      </c>
      <c r="D4" t="s">
        <v>45</v>
      </c>
      <c r="E4" s="20">
        <v>45812</v>
      </c>
    </row>
    <row r="5" spans="1:5" x14ac:dyDescent="0.25">
      <c r="A5">
        <v>129134133</v>
      </c>
      <c r="B5">
        <v>5705</v>
      </c>
      <c r="C5" t="s">
        <v>44</v>
      </c>
      <c r="D5" t="s">
        <v>45</v>
      </c>
      <c r="E5" s="20">
        <v>45812</v>
      </c>
    </row>
    <row r="6" spans="1:5" x14ac:dyDescent="0.25">
      <c r="A6">
        <v>129142868</v>
      </c>
      <c r="B6">
        <v>5705</v>
      </c>
      <c r="C6" t="s">
        <v>44</v>
      </c>
      <c r="D6" t="s">
        <v>45</v>
      </c>
      <c r="E6" s="20">
        <v>45812</v>
      </c>
    </row>
    <row r="7" spans="1:5" x14ac:dyDescent="0.25">
      <c r="A7">
        <v>129144984</v>
      </c>
      <c r="B7">
        <v>5705</v>
      </c>
      <c r="C7" t="s">
        <v>44</v>
      </c>
      <c r="D7" t="s">
        <v>45</v>
      </c>
      <c r="E7" s="20">
        <v>45812</v>
      </c>
    </row>
    <row r="8" spans="1:5" x14ac:dyDescent="0.25">
      <c r="A8">
        <v>129145543</v>
      </c>
      <c r="B8">
        <v>5705</v>
      </c>
      <c r="C8" t="s">
        <v>44</v>
      </c>
      <c r="D8" t="s">
        <v>45</v>
      </c>
      <c r="E8" s="20">
        <v>45812</v>
      </c>
    </row>
    <row r="9" spans="1:5" x14ac:dyDescent="0.25">
      <c r="A9">
        <v>129148480</v>
      </c>
      <c r="B9">
        <v>5705</v>
      </c>
      <c r="C9" t="s">
        <v>44</v>
      </c>
      <c r="D9" t="s">
        <v>45</v>
      </c>
      <c r="E9" s="20">
        <v>45812</v>
      </c>
    </row>
    <row r="10" spans="1:5" x14ac:dyDescent="0.25">
      <c r="A10">
        <v>129154680</v>
      </c>
      <c r="B10">
        <v>5705</v>
      </c>
      <c r="C10" t="s">
        <v>44</v>
      </c>
      <c r="D10" t="s">
        <v>45</v>
      </c>
      <c r="E10" s="20">
        <v>45812</v>
      </c>
    </row>
    <row r="11" spans="1:5" x14ac:dyDescent="0.25">
      <c r="A11">
        <v>129160105</v>
      </c>
      <c r="B11">
        <v>5705</v>
      </c>
      <c r="C11" t="s">
        <v>44</v>
      </c>
      <c r="D11" t="s">
        <v>45</v>
      </c>
      <c r="E11" s="20">
        <v>45812</v>
      </c>
    </row>
    <row r="12" spans="1:5" x14ac:dyDescent="0.25">
      <c r="A12">
        <v>129364094</v>
      </c>
      <c r="B12">
        <v>5705</v>
      </c>
      <c r="C12" t="s">
        <v>44</v>
      </c>
      <c r="D12" t="s">
        <v>45</v>
      </c>
      <c r="E12" s="20">
        <v>45812</v>
      </c>
    </row>
    <row r="13" spans="1:5" x14ac:dyDescent="0.25">
      <c r="A13">
        <v>129441284</v>
      </c>
      <c r="B13">
        <v>5705</v>
      </c>
      <c r="C13" t="s">
        <v>44</v>
      </c>
      <c r="D13" t="s">
        <v>45</v>
      </c>
      <c r="E13" s="20">
        <v>45812</v>
      </c>
    </row>
    <row r="14" spans="1:5" x14ac:dyDescent="0.25">
      <c r="A14">
        <v>129548423</v>
      </c>
      <c r="B14">
        <v>5705</v>
      </c>
      <c r="C14" t="s">
        <v>44</v>
      </c>
      <c r="D14" t="s">
        <v>45</v>
      </c>
      <c r="E14" s="20">
        <v>45812</v>
      </c>
    </row>
    <row r="15" spans="1:5" x14ac:dyDescent="0.25">
      <c r="A15">
        <v>129557568</v>
      </c>
      <c r="B15">
        <v>5705</v>
      </c>
      <c r="C15" t="s">
        <v>44</v>
      </c>
      <c r="D15" t="s">
        <v>45</v>
      </c>
      <c r="E15" s="20">
        <v>45812</v>
      </c>
    </row>
    <row r="16" spans="1:5" x14ac:dyDescent="0.25">
      <c r="A16">
        <v>129568043</v>
      </c>
      <c r="B16">
        <v>5705</v>
      </c>
      <c r="C16" t="s">
        <v>44</v>
      </c>
      <c r="D16" t="s">
        <v>45</v>
      </c>
      <c r="E16" s="20">
        <v>45812</v>
      </c>
    </row>
    <row r="17" spans="1:5" x14ac:dyDescent="0.25">
      <c r="A17">
        <v>129599207</v>
      </c>
      <c r="B17">
        <v>5705</v>
      </c>
      <c r="C17" t="s">
        <v>44</v>
      </c>
      <c r="D17" t="s">
        <v>45</v>
      </c>
      <c r="E17" s="20">
        <v>45812</v>
      </c>
    </row>
    <row r="18" spans="1:5" x14ac:dyDescent="0.25">
      <c r="A18">
        <v>129974061</v>
      </c>
      <c r="B18">
        <v>5705</v>
      </c>
      <c r="C18" t="s">
        <v>44</v>
      </c>
      <c r="D18" t="s">
        <v>45</v>
      </c>
      <c r="E18" s="20">
        <v>45812</v>
      </c>
    </row>
    <row r="19" spans="1:5" x14ac:dyDescent="0.25">
      <c r="A19">
        <v>129974097</v>
      </c>
      <c r="B19">
        <v>5705</v>
      </c>
      <c r="C19" t="s">
        <v>44</v>
      </c>
      <c r="D19" t="s">
        <v>45</v>
      </c>
      <c r="E19" s="20">
        <v>45812</v>
      </c>
    </row>
    <row r="20" spans="1:5" x14ac:dyDescent="0.25">
      <c r="A20">
        <v>129975239</v>
      </c>
      <c r="B20">
        <v>5705</v>
      </c>
      <c r="C20" t="s">
        <v>44</v>
      </c>
      <c r="D20" t="s">
        <v>45</v>
      </c>
      <c r="E20" s="20">
        <v>45812</v>
      </c>
    </row>
    <row r="21" spans="1:5" x14ac:dyDescent="0.25">
      <c r="A21">
        <v>129975739</v>
      </c>
      <c r="B21">
        <v>5705</v>
      </c>
      <c r="C21" t="s">
        <v>44</v>
      </c>
      <c r="D21" t="s">
        <v>45</v>
      </c>
      <c r="E21" s="20">
        <v>45812</v>
      </c>
    </row>
    <row r="22" spans="1:5" x14ac:dyDescent="0.25">
      <c r="A22">
        <v>129975769</v>
      </c>
      <c r="B22">
        <v>5705</v>
      </c>
      <c r="C22" t="s">
        <v>44</v>
      </c>
      <c r="D22" t="s">
        <v>45</v>
      </c>
      <c r="E22" s="20">
        <v>45812</v>
      </c>
    </row>
    <row r="23" spans="1:5" x14ac:dyDescent="0.25">
      <c r="A23">
        <v>129975849</v>
      </c>
      <c r="B23">
        <v>5705</v>
      </c>
      <c r="C23" t="s">
        <v>44</v>
      </c>
      <c r="D23" t="s">
        <v>45</v>
      </c>
      <c r="E23" s="20">
        <v>45812</v>
      </c>
    </row>
    <row r="24" spans="1:5" x14ac:dyDescent="0.25">
      <c r="A24">
        <v>129976221</v>
      </c>
      <c r="B24">
        <v>5705</v>
      </c>
      <c r="C24" t="s">
        <v>44</v>
      </c>
      <c r="D24" t="s">
        <v>45</v>
      </c>
      <c r="E24" s="20">
        <v>45812</v>
      </c>
    </row>
    <row r="25" spans="1:5" x14ac:dyDescent="0.25">
      <c r="A25">
        <v>129976306</v>
      </c>
      <c r="B25">
        <v>5705</v>
      </c>
      <c r="C25" t="s">
        <v>44</v>
      </c>
      <c r="D25" t="s">
        <v>45</v>
      </c>
      <c r="E25" s="20">
        <v>45812</v>
      </c>
    </row>
    <row r="26" spans="1:5" x14ac:dyDescent="0.25">
      <c r="A26">
        <v>129976805</v>
      </c>
      <c r="B26">
        <v>5705</v>
      </c>
      <c r="C26" t="s">
        <v>44</v>
      </c>
      <c r="D26" t="s">
        <v>45</v>
      </c>
      <c r="E26" s="20">
        <v>45812</v>
      </c>
    </row>
    <row r="27" spans="1:5" x14ac:dyDescent="0.25">
      <c r="A27">
        <v>129976822</v>
      </c>
      <c r="B27">
        <v>5705</v>
      </c>
      <c r="C27" t="s">
        <v>44</v>
      </c>
      <c r="D27" t="s">
        <v>45</v>
      </c>
      <c r="E27" s="20">
        <v>45812</v>
      </c>
    </row>
    <row r="28" spans="1:5" x14ac:dyDescent="0.25">
      <c r="A28">
        <v>129976877</v>
      </c>
      <c r="B28">
        <v>5705</v>
      </c>
      <c r="C28" t="s">
        <v>44</v>
      </c>
      <c r="D28" t="s">
        <v>45</v>
      </c>
      <c r="E28" s="20">
        <v>45812</v>
      </c>
    </row>
    <row r="29" spans="1:5" x14ac:dyDescent="0.25">
      <c r="A29">
        <v>129976898</v>
      </c>
      <c r="B29">
        <v>5705</v>
      </c>
      <c r="C29" t="s">
        <v>44</v>
      </c>
      <c r="D29" t="s">
        <v>45</v>
      </c>
      <c r="E29" s="20">
        <v>45812</v>
      </c>
    </row>
    <row r="30" spans="1:5" x14ac:dyDescent="0.25">
      <c r="A30">
        <v>129977079</v>
      </c>
      <c r="B30">
        <v>5705</v>
      </c>
      <c r="C30" t="s">
        <v>44</v>
      </c>
      <c r="D30" t="s">
        <v>45</v>
      </c>
      <c r="E30" s="20">
        <v>45812</v>
      </c>
    </row>
    <row r="31" spans="1:5" x14ac:dyDescent="0.25">
      <c r="A31">
        <v>129977128</v>
      </c>
      <c r="B31">
        <v>5705</v>
      </c>
      <c r="C31" t="s">
        <v>44</v>
      </c>
      <c r="D31" t="s">
        <v>45</v>
      </c>
      <c r="E31" s="20">
        <v>45812</v>
      </c>
    </row>
    <row r="32" spans="1:5" x14ac:dyDescent="0.25">
      <c r="A32">
        <v>129998580</v>
      </c>
      <c r="B32">
        <v>5705</v>
      </c>
      <c r="C32" t="s">
        <v>44</v>
      </c>
      <c r="D32" t="s">
        <v>45</v>
      </c>
      <c r="E32" s="20">
        <v>45812</v>
      </c>
    </row>
    <row r="33" spans="1:5" x14ac:dyDescent="0.25">
      <c r="A33">
        <v>130004318</v>
      </c>
      <c r="B33">
        <v>5705</v>
      </c>
      <c r="C33" t="s">
        <v>44</v>
      </c>
      <c r="D33" t="s">
        <v>45</v>
      </c>
      <c r="E33" s="20">
        <v>45812</v>
      </c>
    </row>
    <row r="34" spans="1:5" x14ac:dyDescent="0.25">
      <c r="A34">
        <v>130011908</v>
      </c>
      <c r="B34">
        <v>5705</v>
      </c>
      <c r="C34" t="s">
        <v>44</v>
      </c>
      <c r="D34" t="s">
        <v>45</v>
      </c>
      <c r="E34" s="20">
        <v>45812</v>
      </c>
    </row>
    <row r="35" spans="1:5" x14ac:dyDescent="0.25">
      <c r="A35">
        <v>130016037</v>
      </c>
      <c r="B35">
        <v>5705</v>
      </c>
      <c r="C35" t="s">
        <v>44</v>
      </c>
      <c r="D35" t="s">
        <v>45</v>
      </c>
      <c r="E35" s="20">
        <v>45812</v>
      </c>
    </row>
    <row r="36" spans="1:5" x14ac:dyDescent="0.25">
      <c r="A36">
        <v>130021579</v>
      </c>
      <c r="B36">
        <v>5705</v>
      </c>
      <c r="C36" t="s">
        <v>44</v>
      </c>
      <c r="D36" t="s">
        <v>45</v>
      </c>
      <c r="E36" s="20">
        <v>45812</v>
      </c>
    </row>
    <row r="37" spans="1:5" x14ac:dyDescent="0.25">
      <c r="A37">
        <v>130026730</v>
      </c>
      <c r="B37">
        <v>5705</v>
      </c>
      <c r="C37" t="s">
        <v>44</v>
      </c>
      <c r="D37" t="s">
        <v>45</v>
      </c>
      <c r="E37" s="20">
        <v>45812</v>
      </c>
    </row>
    <row r="38" spans="1:5" x14ac:dyDescent="0.25">
      <c r="A38">
        <v>130029349</v>
      </c>
      <c r="B38">
        <v>5705</v>
      </c>
      <c r="C38" t="s">
        <v>44</v>
      </c>
      <c r="D38" t="s">
        <v>45</v>
      </c>
      <c r="E38" s="20">
        <v>45812</v>
      </c>
    </row>
    <row r="39" spans="1:5" x14ac:dyDescent="0.25">
      <c r="A39">
        <v>130029976</v>
      </c>
      <c r="B39">
        <v>5705</v>
      </c>
      <c r="C39" t="s">
        <v>44</v>
      </c>
      <c r="D39" t="s">
        <v>45</v>
      </c>
      <c r="E39" s="20">
        <v>45812</v>
      </c>
    </row>
    <row r="40" spans="1:5" x14ac:dyDescent="0.25">
      <c r="A40">
        <v>130030251</v>
      </c>
      <c r="B40">
        <v>5705</v>
      </c>
      <c r="C40" t="s">
        <v>44</v>
      </c>
      <c r="D40" t="s">
        <v>45</v>
      </c>
      <c r="E40" s="20">
        <v>45812</v>
      </c>
    </row>
    <row r="41" spans="1:5" x14ac:dyDescent="0.25">
      <c r="A41">
        <v>130033175</v>
      </c>
      <c r="B41">
        <v>5705</v>
      </c>
      <c r="C41" t="s">
        <v>44</v>
      </c>
      <c r="D41" t="s">
        <v>45</v>
      </c>
      <c r="E41" s="20">
        <v>45812</v>
      </c>
    </row>
    <row r="42" spans="1:5" x14ac:dyDescent="0.25">
      <c r="A42">
        <v>130033353</v>
      </c>
      <c r="B42">
        <v>5705</v>
      </c>
      <c r="C42" t="s">
        <v>44</v>
      </c>
      <c r="D42" t="s">
        <v>45</v>
      </c>
      <c r="E42" s="20">
        <v>45812</v>
      </c>
    </row>
    <row r="43" spans="1:5" x14ac:dyDescent="0.25">
      <c r="A43">
        <v>130370444</v>
      </c>
      <c r="B43">
        <v>5705</v>
      </c>
      <c r="C43" t="s">
        <v>44</v>
      </c>
      <c r="D43" t="s">
        <v>45</v>
      </c>
      <c r="E43" s="20">
        <v>45812</v>
      </c>
    </row>
    <row r="44" spans="1:5" x14ac:dyDescent="0.25">
      <c r="A44">
        <v>130381891</v>
      </c>
      <c r="B44">
        <v>5705</v>
      </c>
      <c r="C44" t="s">
        <v>44</v>
      </c>
      <c r="D44" t="s">
        <v>45</v>
      </c>
      <c r="E44" s="20">
        <v>45812</v>
      </c>
    </row>
    <row r="45" spans="1:5" x14ac:dyDescent="0.25">
      <c r="A45">
        <v>130394687</v>
      </c>
      <c r="B45">
        <v>5705</v>
      </c>
      <c r="C45" t="s">
        <v>44</v>
      </c>
      <c r="D45" t="s">
        <v>45</v>
      </c>
      <c r="E45" s="20">
        <v>45812</v>
      </c>
    </row>
    <row r="46" spans="1:5" x14ac:dyDescent="0.25">
      <c r="A46">
        <v>130396757</v>
      </c>
      <c r="B46">
        <v>5705</v>
      </c>
      <c r="C46" t="s">
        <v>44</v>
      </c>
      <c r="D46" t="s">
        <v>45</v>
      </c>
      <c r="E46" s="20">
        <v>45812</v>
      </c>
    </row>
    <row r="47" spans="1:5" x14ac:dyDescent="0.25">
      <c r="A47">
        <v>130405533</v>
      </c>
      <c r="B47">
        <v>5705</v>
      </c>
      <c r="C47" t="s">
        <v>44</v>
      </c>
      <c r="D47" t="s">
        <v>45</v>
      </c>
      <c r="E47" s="20">
        <v>45812</v>
      </c>
    </row>
    <row r="48" spans="1:5" x14ac:dyDescent="0.25">
      <c r="A48">
        <v>130407494</v>
      </c>
      <c r="B48">
        <v>5705</v>
      </c>
      <c r="C48" t="s">
        <v>44</v>
      </c>
      <c r="D48" t="s">
        <v>45</v>
      </c>
      <c r="E48" s="20">
        <v>45812</v>
      </c>
    </row>
    <row r="49" spans="1:5" x14ac:dyDescent="0.25">
      <c r="A49">
        <v>130410391</v>
      </c>
      <c r="B49">
        <v>5705</v>
      </c>
      <c r="C49" t="s">
        <v>44</v>
      </c>
      <c r="D49" t="s">
        <v>45</v>
      </c>
      <c r="E49" s="20">
        <v>45812</v>
      </c>
    </row>
    <row r="50" spans="1:5" x14ac:dyDescent="0.25">
      <c r="A50">
        <v>130419144</v>
      </c>
      <c r="B50">
        <v>5705</v>
      </c>
      <c r="C50" t="s">
        <v>44</v>
      </c>
      <c r="D50" t="s">
        <v>45</v>
      </c>
      <c r="E50" s="20">
        <v>45812</v>
      </c>
    </row>
    <row r="51" spans="1:5" x14ac:dyDescent="0.25">
      <c r="A51">
        <v>130423280</v>
      </c>
      <c r="B51">
        <v>5705</v>
      </c>
      <c r="C51" t="s">
        <v>44</v>
      </c>
      <c r="D51" t="s">
        <v>45</v>
      </c>
      <c r="E51" s="20">
        <v>45812</v>
      </c>
    </row>
    <row r="52" spans="1:5" x14ac:dyDescent="0.25">
      <c r="A52">
        <v>130423906</v>
      </c>
      <c r="B52">
        <v>5705</v>
      </c>
      <c r="C52" t="s">
        <v>44</v>
      </c>
      <c r="D52" t="s">
        <v>45</v>
      </c>
      <c r="E52" s="20">
        <v>45812</v>
      </c>
    </row>
    <row r="53" spans="1:5" x14ac:dyDescent="0.25">
      <c r="A53">
        <v>130424233</v>
      </c>
      <c r="B53">
        <v>5705</v>
      </c>
      <c r="C53" t="s">
        <v>44</v>
      </c>
      <c r="D53" t="s">
        <v>45</v>
      </c>
      <c r="E53" s="20">
        <v>45812</v>
      </c>
    </row>
    <row r="54" spans="1:5" x14ac:dyDescent="0.25">
      <c r="A54">
        <v>130424524</v>
      </c>
      <c r="B54">
        <v>5705</v>
      </c>
      <c r="C54" t="s">
        <v>44</v>
      </c>
      <c r="D54" t="s">
        <v>45</v>
      </c>
      <c r="E54" s="20">
        <v>45812</v>
      </c>
    </row>
    <row r="55" spans="1:5" x14ac:dyDescent="0.25">
      <c r="A55">
        <v>130434836</v>
      </c>
      <c r="B55">
        <v>5705</v>
      </c>
      <c r="C55" t="s">
        <v>44</v>
      </c>
      <c r="D55" t="s">
        <v>45</v>
      </c>
      <c r="E55" s="20">
        <v>45812</v>
      </c>
    </row>
    <row r="56" spans="1:5" x14ac:dyDescent="0.25">
      <c r="A56">
        <v>130779350</v>
      </c>
      <c r="B56">
        <v>5705</v>
      </c>
      <c r="C56" t="s">
        <v>44</v>
      </c>
      <c r="D56" t="s">
        <v>45</v>
      </c>
      <c r="E56" s="20">
        <v>45812</v>
      </c>
    </row>
    <row r="57" spans="1:5" x14ac:dyDescent="0.25">
      <c r="A57">
        <v>130781514</v>
      </c>
      <c r="B57">
        <v>5705</v>
      </c>
      <c r="C57" t="s">
        <v>44</v>
      </c>
      <c r="D57" t="s">
        <v>45</v>
      </c>
      <c r="E57" s="20">
        <v>45812</v>
      </c>
    </row>
    <row r="58" spans="1:5" x14ac:dyDescent="0.25">
      <c r="A58">
        <v>130782231</v>
      </c>
      <c r="B58">
        <v>5705</v>
      </c>
      <c r="C58" t="s">
        <v>44</v>
      </c>
      <c r="D58" t="s">
        <v>45</v>
      </c>
      <c r="E58" s="20">
        <v>45812</v>
      </c>
    </row>
    <row r="59" spans="1:5" x14ac:dyDescent="0.25">
      <c r="A59">
        <v>130786713</v>
      </c>
      <c r="B59">
        <v>5705</v>
      </c>
      <c r="C59" t="s">
        <v>44</v>
      </c>
      <c r="D59" t="s">
        <v>45</v>
      </c>
      <c r="E59" s="20">
        <v>45812</v>
      </c>
    </row>
    <row r="60" spans="1:5" x14ac:dyDescent="0.25">
      <c r="A60">
        <v>130791936</v>
      </c>
      <c r="B60">
        <v>5705</v>
      </c>
      <c r="C60" t="s">
        <v>44</v>
      </c>
      <c r="D60" t="s">
        <v>45</v>
      </c>
      <c r="E60" s="20">
        <v>45812</v>
      </c>
    </row>
    <row r="61" spans="1:5" x14ac:dyDescent="0.25">
      <c r="A61">
        <v>130793142</v>
      </c>
      <c r="B61">
        <v>5705</v>
      </c>
      <c r="C61" t="s">
        <v>44</v>
      </c>
      <c r="D61" t="s">
        <v>45</v>
      </c>
      <c r="E61" s="20">
        <v>45812</v>
      </c>
    </row>
    <row r="62" spans="1:5" x14ac:dyDescent="0.25">
      <c r="A62">
        <v>130808065</v>
      </c>
      <c r="B62">
        <v>5705</v>
      </c>
      <c r="C62" t="s">
        <v>44</v>
      </c>
      <c r="D62" t="s">
        <v>45</v>
      </c>
      <c r="E62" s="20">
        <v>45812</v>
      </c>
    </row>
    <row r="63" spans="1:5" x14ac:dyDescent="0.25">
      <c r="A63">
        <v>131113655</v>
      </c>
      <c r="B63">
        <v>5705</v>
      </c>
      <c r="C63" t="s">
        <v>44</v>
      </c>
      <c r="D63" t="s">
        <v>45</v>
      </c>
      <c r="E63" s="20">
        <v>45812</v>
      </c>
    </row>
    <row r="64" spans="1:5" x14ac:dyDescent="0.25">
      <c r="A64">
        <v>131128302</v>
      </c>
      <c r="B64">
        <v>5705</v>
      </c>
      <c r="C64" t="s">
        <v>44</v>
      </c>
      <c r="D64" t="s">
        <v>45</v>
      </c>
      <c r="E64" s="20">
        <v>45812</v>
      </c>
    </row>
    <row r="65" spans="1:5" x14ac:dyDescent="0.25">
      <c r="A65">
        <v>131133804</v>
      </c>
      <c r="B65">
        <v>5705</v>
      </c>
      <c r="C65" t="s">
        <v>44</v>
      </c>
      <c r="D65" t="s">
        <v>45</v>
      </c>
      <c r="E65" s="20">
        <v>45812</v>
      </c>
    </row>
    <row r="66" spans="1:5" x14ac:dyDescent="0.25">
      <c r="A66">
        <v>131167490</v>
      </c>
      <c r="B66">
        <v>5705</v>
      </c>
      <c r="C66" t="s">
        <v>44</v>
      </c>
      <c r="D66" t="s">
        <v>45</v>
      </c>
      <c r="E66" s="20">
        <v>45812</v>
      </c>
    </row>
    <row r="67" spans="1:5" x14ac:dyDescent="0.25">
      <c r="A67">
        <v>131168164</v>
      </c>
      <c r="B67">
        <v>5705</v>
      </c>
      <c r="C67" t="s">
        <v>44</v>
      </c>
      <c r="D67" t="s">
        <v>45</v>
      </c>
      <c r="E67" s="20">
        <v>45812</v>
      </c>
    </row>
    <row r="68" spans="1:5" x14ac:dyDescent="0.25">
      <c r="A68">
        <v>131192175</v>
      </c>
      <c r="B68">
        <v>5705</v>
      </c>
      <c r="C68" t="s">
        <v>44</v>
      </c>
      <c r="D68" t="s">
        <v>45</v>
      </c>
      <c r="E68" s="20">
        <v>45812</v>
      </c>
    </row>
    <row r="69" spans="1:5" x14ac:dyDescent="0.25">
      <c r="A69">
        <v>131208427</v>
      </c>
      <c r="B69">
        <v>5705</v>
      </c>
      <c r="C69" t="s">
        <v>44</v>
      </c>
      <c r="D69" t="s">
        <v>45</v>
      </c>
      <c r="E69" s="20">
        <v>45812</v>
      </c>
    </row>
    <row r="70" spans="1:5" x14ac:dyDescent="0.25">
      <c r="A70">
        <v>131539948</v>
      </c>
      <c r="B70">
        <v>5705</v>
      </c>
      <c r="C70" t="s">
        <v>44</v>
      </c>
      <c r="D70" t="s">
        <v>45</v>
      </c>
      <c r="E70" s="20">
        <v>45812</v>
      </c>
    </row>
    <row r="71" spans="1:5" x14ac:dyDescent="0.25">
      <c r="A71">
        <v>131539964</v>
      </c>
      <c r="B71">
        <v>5705</v>
      </c>
      <c r="C71" t="s">
        <v>44</v>
      </c>
      <c r="D71" t="s">
        <v>45</v>
      </c>
      <c r="E71" s="20">
        <v>45812</v>
      </c>
    </row>
    <row r="72" spans="1:5" x14ac:dyDescent="0.25">
      <c r="A72">
        <v>131539989</v>
      </c>
      <c r="B72">
        <v>5705</v>
      </c>
      <c r="C72" t="s">
        <v>44</v>
      </c>
      <c r="D72" t="s">
        <v>45</v>
      </c>
      <c r="E72" s="20">
        <v>45812</v>
      </c>
    </row>
    <row r="73" spans="1:5" x14ac:dyDescent="0.25">
      <c r="A73">
        <v>131540077</v>
      </c>
      <c r="B73">
        <v>5705</v>
      </c>
      <c r="C73" t="s">
        <v>44</v>
      </c>
      <c r="D73" t="s">
        <v>45</v>
      </c>
      <c r="E73" s="20">
        <v>45812</v>
      </c>
    </row>
    <row r="74" spans="1:5" x14ac:dyDescent="0.25">
      <c r="A74">
        <v>131540125</v>
      </c>
      <c r="B74">
        <v>5705</v>
      </c>
      <c r="C74" t="s">
        <v>44</v>
      </c>
      <c r="D74" t="s">
        <v>45</v>
      </c>
      <c r="E74" s="20">
        <v>45812</v>
      </c>
    </row>
    <row r="75" spans="1:5" x14ac:dyDescent="0.25">
      <c r="A75">
        <v>131540180</v>
      </c>
      <c r="B75">
        <v>5705</v>
      </c>
      <c r="C75" t="s">
        <v>44</v>
      </c>
      <c r="D75" t="s">
        <v>45</v>
      </c>
      <c r="E75" s="20">
        <v>45812</v>
      </c>
    </row>
    <row r="76" spans="1:5" x14ac:dyDescent="0.25">
      <c r="A76">
        <v>131540187</v>
      </c>
      <c r="B76">
        <v>5705</v>
      </c>
      <c r="C76" t="s">
        <v>44</v>
      </c>
      <c r="D76" t="s">
        <v>45</v>
      </c>
      <c r="E76" s="20">
        <v>45812</v>
      </c>
    </row>
    <row r="77" spans="1:5" x14ac:dyDescent="0.25">
      <c r="A77">
        <v>131540275</v>
      </c>
      <c r="B77">
        <v>5705</v>
      </c>
      <c r="C77" t="s">
        <v>44</v>
      </c>
      <c r="D77" t="s">
        <v>45</v>
      </c>
      <c r="E77" s="20">
        <v>45812</v>
      </c>
    </row>
    <row r="78" spans="1:5" x14ac:dyDescent="0.25">
      <c r="A78">
        <v>131543643</v>
      </c>
      <c r="B78">
        <v>5705</v>
      </c>
      <c r="C78" t="s">
        <v>44</v>
      </c>
      <c r="D78" t="s">
        <v>45</v>
      </c>
      <c r="E78" s="20">
        <v>45812</v>
      </c>
    </row>
    <row r="79" spans="1:5" x14ac:dyDescent="0.25">
      <c r="A79">
        <v>131554131</v>
      </c>
      <c r="B79">
        <v>5705</v>
      </c>
      <c r="C79" t="s">
        <v>44</v>
      </c>
      <c r="D79" t="s">
        <v>45</v>
      </c>
      <c r="E79" s="20">
        <v>45812</v>
      </c>
    </row>
    <row r="80" spans="1:5" x14ac:dyDescent="0.25">
      <c r="A80">
        <v>131591448</v>
      </c>
      <c r="B80">
        <v>5705</v>
      </c>
      <c r="C80" t="s">
        <v>44</v>
      </c>
      <c r="D80" t="s">
        <v>45</v>
      </c>
      <c r="E80" s="20">
        <v>45812</v>
      </c>
    </row>
    <row r="81" spans="1:5" x14ac:dyDescent="0.25">
      <c r="A81">
        <v>131686266</v>
      </c>
      <c r="B81">
        <v>5705</v>
      </c>
      <c r="C81" t="s">
        <v>44</v>
      </c>
      <c r="D81" t="s">
        <v>45</v>
      </c>
      <c r="E81" s="20">
        <v>45812</v>
      </c>
    </row>
    <row r="82" spans="1:5" x14ac:dyDescent="0.25">
      <c r="A82">
        <v>131879818</v>
      </c>
      <c r="B82">
        <v>5705</v>
      </c>
      <c r="C82" t="s">
        <v>44</v>
      </c>
      <c r="D82" t="s">
        <v>45</v>
      </c>
      <c r="E82" s="20">
        <v>45812</v>
      </c>
    </row>
    <row r="83" spans="1:5" x14ac:dyDescent="0.25">
      <c r="A83">
        <v>131880068</v>
      </c>
      <c r="B83">
        <v>5705</v>
      </c>
      <c r="C83" t="s">
        <v>44</v>
      </c>
      <c r="D83" t="s">
        <v>45</v>
      </c>
      <c r="E83" s="20">
        <v>45812</v>
      </c>
    </row>
    <row r="84" spans="1:5" x14ac:dyDescent="0.25">
      <c r="A84">
        <v>131906507</v>
      </c>
      <c r="B84">
        <v>5705</v>
      </c>
      <c r="C84" t="s">
        <v>44</v>
      </c>
      <c r="D84" t="s">
        <v>45</v>
      </c>
      <c r="E84" s="20">
        <v>45812</v>
      </c>
    </row>
    <row r="85" spans="1:5" x14ac:dyDescent="0.25">
      <c r="A85">
        <v>131957617</v>
      </c>
      <c r="B85">
        <v>5705</v>
      </c>
      <c r="C85" t="s">
        <v>44</v>
      </c>
      <c r="D85" t="s">
        <v>45</v>
      </c>
      <c r="E85" s="20">
        <v>45812</v>
      </c>
    </row>
    <row r="86" spans="1:5" x14ac:dyDescent="0.25">
      <c r="A86">
        <v>131977546</v>
      </c>
      <c r="B86">
        <v>5705</v>
      </c>
      <c r="C86" t="s">
        <v>44</v>
      </c>
      <c r="D86" t="s">
        <v>45</v>
      </c>
      <c r="E86" s="20">
        <v>45812</v>
      </c>
    </row>
    <row r="87" spans="1:5" x14ac:dyDescent="0.25">
      <c r="A87">
        <v>131978632</v>
      </c>
      <c r="B87">
        <v>5705</v>
      </c>
      <c r="C87" t="s">
        <v>44</v>
      </c>
      <c r="D87" t="s">
        <v>45</v>
      </c>
      <c r="E87" s="20">
        <v>45812</v>
      </c>
    </row>
    <row r="88" spans="1:5" x14ac:dyDescent="0.25">
      <c r="A88">
        <v>131994237</v>
      </c>
      <c r="B88">
        <v>5705</v>
      </c>
      <c r="C88" t="s">
        <v>44</v>
      </c>
      <c r="D88" t="s">
        <v>45</v>
      </c>
      <c r="E88" s="20">
        <v>45812</v>
      </c>
    </row>
    <row r="89" spans="1:5" x14ac:dyDescent="0.25">
      <c r="A89">
        <v>132003168</v>
      </c>
      <c r="B89">
        <v>5705</v>
      </c>
      <c r="C89" t="s">
        <v>44</v>
      </c>
      <c r="D89" t="s">
        <v>45</v>
      </c>
      <c r="E89" s="20">
        <v>45812</v>
      </c>
    </row>
    <row r="90" spans="1:5" x14ac:dyDescent="0.25">
      <c r="A90">
        <v>132011440</v>
      </c>
      <c r="B90">
        <v>5705</v>
      </c>
      <c r="C90" t="s">
        <v>44</v>
      </c>
      <c r="D90" t="s">
        <v>45</v>
      </c>
      <c r="E90" s="20">
        <v>45812</v>
      </c>
    </row>
    <row r="91" spans="1:5" x14ac:dyDescent="0.25">
      <c r="A91">
        <v>132011491</v>
      </c>
      <c r="B91">
        <v>5705</v>
      </c>
      <c r="C91" t="s">
        <v>44</v>
      </c>
      <c r="D91" t="s">
        <v>45</v>
      </c>
      <c r="E91" s="20">
        <v>45812</v>
      </c>
    </row>
    <row r="92" spans="1:5" x14ac:dyDescent="0.25">
      <c r="A92">
        <v>132302855</v>
      </c>
      <c r="B92">
        <v>5705</v>
      </c>
      <c r="C92" t="s">
        <v>44</v>
      </c>
      <c r="D92" t="s">
        <v>45</v>
      </c>
      <c r="E92" s="20">
        <v>45812</v>
      </c>
    </row>
    <row r="93" spans="1:5" x14ac:dyDescent="0.25">
      <c r="A93">
        <v>132336362</v>
      </c>
      <c r="B93">
        <v>5705</v>
      </c>
      <c r="C93" t="s">
        <v>44</v>
      </c>
      <c r="D93" t="s">
        <v>45</v>
      </c>
      <c r="E93" s="20">
        <v>45812</v>
      </c>
    </row>
    <row r="94" spans="1:5" x14ac:dyDescent="0.25">
      <c r="A94">
        <v>132355010</v>
      </c>
      <c r="B94">
        <v>5705</v>
      </c>
      <c r="C94" t="s">
        <v>44</v>
      </c>
      <c r="D94" t="s">
        <v>45</v>
      </c>
      <c r="E94" s="20">
        <v>45812</v>
      </c>
    </row>
    <row r="95" spans="1:5" x14ac:dyDescent="0.25">
      <c r="A95">
        <v>132360626</v>
      </c>
      <c r="B95">
        <v>5705</v>
      </c>
      <c r="C95" t="s">
        <v>44</v>
      </c>
      <c r="D95" t="s">
        <v>45</v>
      </c>
      <c r="E95" s="20">
        <v>45812</v>
      </c>
    </row>
    <row r="96" spans="1:5" x14ac:dyDescent="0.25">
      <c r="A96">
        <v>132365359</v>
      </c>
      <c r="B96">
        <v>5705</v>
      </c>
      <c r="C96" t="s">
        <v>44</v>
      </c>
      <c r="D96" t="s">
        <v>45</v>
      </c>
      <c r="E96" s="20">
        <v>45812</v>
      </c>
    </row>
    <row r="97" spans="1:5" x14ac:dyDescent="0.25">
      <c r="A97">
        <v>132369208</v>
      </c>
      <c r="B97">
        <v>5705</v>
      </c>
      <c r="C97" t="s">
        <v>44</v>
      </c>
      <c r="D97" t="s">
        <v>45</v>
      </c>
      <c r="E97" s="20">
        <v>45812</v>
      </c>
    </row>
    <row r="98" spans="1:5" x14ac:dyDescent="0.25">
      <c r="A98">
        <v>132382372</v>
      </c>
      <c r="B98">
        <v>5705</v>
      </c>
      <c r="C98" t="s">
        <v>44</v>
      </c>
      <c r="D98" t="s">
        <v>45</v>
      </c>
      <c r="E98" s="20">
        <v>45812</v>
      </c>
    </row>
    <row r="99" spans="1:5" x14ac:dyDescent="0.25">
      <c r="E99" s="20"/>
    </row>
    <row r="100" spans="1:5" x14ac:dyDescent="0.25">
      <c r="E100" s="20"/>
    </row>
    <row r="101" spans="1:5" x14ac:dyDescent="0.25">
      <c r="E101" s="20"/>
    </row>
    <row r="102" spans="1:5" x14ac:dyDescent="0.25">
      <c r="E102" s="20"/>
    </row>
    <row r="103" spans="1:5" x14ac:dyDescent="0.25">
      <c r="E103" s="20"/>
    </row>
    <row r="104" spans="1:5" x14ac:dyDescent="0.25">
      <c r="E104" s="20"/>
    </row>
    <row r="105" spans="1:5" x14ac:dyDescent="0.25">
      <c r="E105" s="20"/>
    </row>
    <row r="106" spans="1:5" x14ac:dyDescent="0.25">
      <c r="E106" s="20"/>
    </row>
    <row r="107" spans="1:5" x14ac:dyDescent="0.25">
      <c r="E107" s="20"/>
    </row>
    <row r="108" spans="1:5" x14ac:dyDescent="0.25">
      <c r="E108" s="20"/>
    </row>
    <row r="109" spans="1:5" x14ac:dyDescent="0.25">
      <c r="E109" s="20"/>
    </row>
    <row r="110" spans="1:5" x14ac:dyDescent="0.25">
      <c r="E110" s="20"/>
    </row>
    <row r="111" spans="1:5" x14ac:dyDescent="0.25">
      <c r="E111" s="20"/>
    </row>
    <row r="112" spans="1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sheetPr filterMode="1"/>
  <dimension ref="A1:E150"/>
  <sheetViews>
    <sheetView workbookViewId="0">
      <selection activeCell="D123" sqref="D123"/>
    </sheetView>
  </sheetViews>
  <sheetFormatPr defaultColWidth="8.88671875" defaultRowHeight="13.2" x14ac:dyDescent="0.25"/>
  <cols>
    <col min="1" max="2" width="10" style="21" bestFit="1" customWidth="1"/>
    <col min="3" max="3" width="14.109375" style="21" bestFit="1" customWidth="1"/>
    <col min="4" max="4" width="14.21875" style="21" bestFit="1" customWidth="1"/>
    <col min="5" max="5" width="18.88671875" style="21" bestFit="1" customWidth="1"/>
    <col min="6" max="16384" width="8.88671875" style="21"/>
  </cols>
  <sheetData>
    <row r="1" spans="1:5" s="24" customFormat="1" x14ac:dyDescent="0.25">
      <c r="A1" s="24" t="s">
        <v>18</v>
      </c>
      <c r="B1" s="24" t="s">
        <v>37</v>
      </c>
      <c r="C1" s="24" t="s">
        <v>38</v>
      </c>
      <c r="D1" s="24" t="s">
        <v>39</v>
      </c>
      <c r="E1" s="24" t="s">
        <v>43</v>
      </c>
    </row>
    <row r="2" spans="1:5" hidden="1" x14ac:dyDescent="0.25">
      <c r="A2" s="25">
        <v>129134133</v>
      </c>
      <c r="B2" s="21" t="e">
        <f>_xlfn.XLOOKUP(A2,Planilha1!H:H,Planilha1!D:D)</f>
        <v>#N/A</v>
      </c>
    </row>
    <row r="3" spans="1:5" hidden="1" x14ac:dyDescent="0.25">
      <c r="A3" s="25">
        <v>129160105</v>
      </c>
      <c r="B3" s="21" t="e">
        <f>_xlfn.XLOOKUP(A3,Planilha1!H:H,Planilha1!D:D)</f>
        <v>#N/A</v>
      </c>
    </row>
    <row r="4" spans="1:5" hidden="1" x14ac:dyDescent="0.25">
      <c r="A4" s="25">
        <v>129148480</v>
      </c>
      <c r="B4" s="21" t="e">
        <f>_xlfn.XLOOKUP(A4,Planilha1!H:H,Planilha1!D:D)</f>
        <v>#N/A</v>
      </c>
    </row>
    <row r="5" spans="1:5" hidden="1" x14ac:dyDescent="0.25">
      <c r="A5" s="25">
        <v>129145543</v>
      </c>
      <c r="B5" s="21" t="e">
        <f>_xlfn.XLOOKUP(A5,Planilha1!H:H,Planilha1!D:D)</f>
        <v>#N/A</v>
      </c>
    </row>
    <row r="6" spans="1:5" hidden="1" x14ac:dyDescent="0.25">
      <c r="A6" s="25">
        <v>128998967</v>
      </c>
      <c r="B6" s="21" t="e">
        <f>_xlfn.XLOOKUP(A6,Planilha1!H:H,Planilha1!D:D)</f>
        <v>#N/A</v>
      </c>
    </row>
    <row r="7" spans="1:5" hidden="1" x14ac:dyDescent="0.25">
      <c r="A7" s="25">
        <v>129441284</v>
      </c>
      <c r="B7" s="21" t="e">
        <f>_xlfn.XLOOKUP(A7,Planilha1!H:H,Planilha1!D:D)</f>
        <v>#N/A</v>
      </c>
    </row>
    <row r="8" spans="1:5" hidden="1" x14ac:dyDescent="0.25">
      <c r="A8" s="25">
        <v>129599207</v>
      </c>
      <c r="B8" s="21" t="e">
        <f>_xlfn.XLOOKUP(A8,Planilha1!H:H,Planilha1!D:D)</f>
        <v>#N/A</v>
      </c>
    </row>
    <row r="9" spans="1:5" x14ac:dyDescent="0.25">
      <c r="A9" s="25">
        <v>129834862</v>
      </c>
      <c r="B9" s="21" t="e">
        <f>_xlfn.XLOOKUP(A9,Planilha1!H:H,Planilha1!D:D)</f>
        <v>#N/A</v>
      </c>
      <c r="C9" s="21" t="e">
        <v>#N/A</v>
      </c>
      <c r="D9" s="21" t="s">
        <v>46</v>
      </c>
    </row>
    <row r="10" spans="1:5" hidden="1" x14ac:dyDescent="0.25">
      <c r="A10" s="25">
        <v>129998580</v>
      </c>
      <c r="B10" s="21" t="e">
        <f>_xlfn.XLOOKUP(A10,Planilha1!H:H,Planilha1!D:D)</f>
        <v>#N/A</v>
      </c>
    </row>
    <row r="11" spans="1:5" hidden="1" x14ac:dyDescent="0.25">
      <c r="A11" s="25">
        <v>130011908</v>
      </c>
      <c r="B11" s="21" t="e">
        <f>_xlfn.XLOOKUP(A11,Planilha1!H:H,Planilha1!D:D)</f>
        <v>#N/A</v>
      </c>
    </row>
    <row r="12" spans="1:5" hidden="1" x14ac:dyDescent="0.25">
      <c r="A12" s="25">
        <v>130021579</v>
      </c>
      <c r="B12" s="21" t="e">
        <f>_xlfn.XLOOKUP(A12,Planilha1!H:H,Planilha1!D:D)</f>
        <v>#N/A</v>
      </c>
    </row>
    <row r="13" spans="1:5" hidden="1" x14ac:dyDescent="0.25">
      <c r="A13" s="25">
        <v>130026730</v>
      </c>
      <c r="B13" s="21" t="e">
        <f>_xlfn.XLOOKUP(A13,Planilha1!H:H,Planilha1!D:D)</f>
        <v>#N/A</v>
      </c>
    </row>
    <row r="14" spans="1:5" hidden="1" x14ac:dyDescent="0.25">
      <c r="A14" s="25">
        <v>130394687</v>
      </c>
      <c r="B14" s="21" t="e">
        <f>_xlfn.XLOOKUP(A14,Planilha1!H:H,Planilha1!D:D)</f>
        <v>#N/A</v>
      </c>
    </row>
    <row r="15" spans="1:5" hidden="1" x14ac:dyDescent="0.25">
      <c r="A15" s="25">
        <v>130381891</v>
      </c>
      <c r="B15" s="21" t="e">
        <f>_xlfn.XLOOKUP(A15,Planilha1!H:H,Planilha1!D:D)</f>
        <v>#N/A</v>
      </c>
    </row>
    <row r="16" spans="1:5" hidden="1" x14ac:dyDescent="0.25">
      <c r="A16" s="25">
        <v>130424524</v>
      </c>
      <c r="B16" s="21" t="e">
        <f>_xlfn.XLOOKUP(A16,Planilha1!H:H,Planilha1!D:D)</f>
        <v>#N/A</v>
      </c>
    </row>
    <row r="17" spans="1:2" hidden="1" x14ac:dyDescent="0.25">
      <c r="A17" s="25">
        <v>130434836</v>
      </c>
      <c r="B17" s="21" t="e">
        <f>_xlfn.XLOOKUP(A17,Planilha1!H:H,Planilha1!D:D)</f>
        <v>#N/A</v>
      </c>
    </row>
    <row r="18" spans="1:2" hidden="1" x14ac:dyDescent="0.25">
      <c r="A18" s="25">
        <v>130410391</v>
      </c>
      <c r="B18" s="21" t="e">
        <f>_xlfn.XLOOKUP(A18,Planilha1!H:H,Planilha1!D:D)</f>
        <v>#N/A</v>
      </c>
    </row>
    <row r="19" spans="1:2" hidden="1" x14ac:dyDescent="0.25">
      <c r="A19" s="25">
        <v>130405533</v>
      </c>
      <c r="B19" s="21" t="e">
        <f>_xlfn.XLOOKUP(A19,Planilha1!H:H,Planilha1!D:D)</f>
        <v>#N/A</v>
      </c>
    </row>
    <row r="20" spans="1:2" hidden="1" x14ac:dyDescent="0.25">
      <c r="A20" s="25">
        <v>130782231</v>
      </c>
      <c r="B20" s="21" t="e">
        <f>_xlfn.XLOOKUP(A20,Planilha1!H:H,Planilha1!D:D)</f>
        <v>#N/A</v>
      </c>
    </row>
    <row r="21" spans="1:2" hidden="1" x14ac:dyDescent="0.25">
      <c r="A21" s="25">
        <v>130781514</v>
      </c>
      <c r="B21" s="21" t="e">
        <f>_xlfn.XLOOKUP(A21,Planilha1!H:H,Planilha1!D:D)</f>
        <v>#N/A</v>
      </c>
    </row>
    <row r="22" spans="1:2" hidden="1" x14ac:dyDescent="0.25">
      <c r="A22" s="25">
        <v>130791936</v>
      </c>
      <c r="B22" s="21" t="e">
        <f>_xlfn.XLOOKUP(A22,Planilha1!H:H,Planilha1!D:D)</f>
        <v>#N/A</v>
      </c>
    </row>
    <row r="23" spans="1:2" hidden="1" x14ac:dyDescent="0.25">
      <c r="A23" s="25">
        <v>130808065</v>
      </c>
      <c r="B23" s="21" t="e">
        <f>_xlfn.XLOOKUP(A23,Planilha1!H:H,Planilha1!D:D)</f>
        <v>#N/A</v>
      </c>
    </row>
    <row r="24" spans="1:2" hidden="1" x14ac:dyDescent="0.25">
      <c r="A24" s="25">
        <v>131128302</v>
      </c>
      <c r="B24" s="21" t="e">
        <f>_xlfn.XLOOKUP(A24,Planilha1!H:H,Planilha1!D:D)</f>
        <v>#N/A</v>
      </c>
    </row>
    <row r="25" spans="1:2" hidden="1" x14ac:dyDescent="0.25">
      <c r="A25" s="25">
        <v>131133804</v>
      </c>
      <c r="B25" s="21" t="e">
        <f>_xlfn.XLOOKUP(A25,Planilha1!H:H,Planilha1!D:D)</f>
        <v>#N/A</v>
      </c>
    </row>
    <row r="26" spans="1:2" hidden="1" x14ac:dyDescent="0.25">
      <c r="A26" s="25">
        <v>129364094</v>
      </c>
      <c r="B26" s="21" t="e">
        <f>_xlfn.XLOOKUP(A26,Planilha1!H:H,Planilha1!D:D)</f>
        <v>#N/A</v>
      </c>
    </row>
    <row r="27" spans="1:2" hidden="1" x14ac:dyDescent="0.25">
      <c r="A27" s="25">
        <v>131168164</v>
      </c>
      <c r="B27" s="21" t="e">
        <f>_xlfn.XLOOKUP(A27,Planilha1!H:H,Planilha1!D:D)</f>
        <v>#N/A</v>
      </c>
    </row>
    <row r="28" spans="1:2" hidden="1" x14ac:dyDescent="0.25">
      <c r="A28" s="25">
        <v>131208427</v>
      </c>
      <c r="B28" s="21" t="e">
        <f>_xlfn.XLOOKUP(A28,Planilha1!H:H,Planilha1!D:D)</f>
        <v>#N/A</v>
      </c>
    </row>
    <row r="29" spans="1:2" hidden="1" x14ac:dyDescent="0.25">
      <c r="A29" s="25">
        <v>131192175</v>
      </c>
      <c r="B29" s="21" t="e">
        <f>_xlfn.XLOOKUP(A29,Planilha1!H:H,Planilha1!D:D)</f>
        <v>#N/A</v>
      </c>
    </row>
    <row r="30" spans="1:2" hidden="1" x14ac:dyDescent="0.25">
      <c r="A30" s="25">
        <v>131543643</v>
      </c>
      <c r="B30" s="21" t="e">
        <f>_xlfn.XLOOKUP(A30,Planilha1!H:H,Planilha1!D:D)</f>
        <v>#N/A</v>
      </c>
    </row>
    <row r="31" spans="1:2" hidden="1" x14ac:dyDescent="0.25">
      <c r="A31" s="25">
        <v>131554131</v>
      </c>
      <c r="B31" s="21" t="e">
        <f>_xlfn.XLOOKUP(A31,Planilha1!H:H,Planilha1!D:D)</f>
        <v>#N/A</v>
      </c>
    </row>
    <row r="32" spans="1:2" hidden="1" x14ac:dyDescent="0.25">
      <c r="A32" s="25">
        <v>131591448</v>
      </c>
      <c r="B32" s="21" t="e">
        <f>_xlfn.XLOOKUP(A32,Planilha1!H:H,Planilha1!D:D)</f>
        <v>#N/A</v>
      </c>
    </row>
    <row r="33" spans="1:4" hidden="1" x14ac:dyDescent="0.25">
      <c r="A33" s="25">
        <v>131686266</v>
      </c>
      <c r="B33" s="21" t="e">
        <f>_xlfn.XLOOKUP(A33,Planilha1!H:H,Planilha1!D:D)</f>
        <v>#N/A</v>
      </c>
    </row>
    <row r="34" spans="1:4" hidden="1" x14ac:dyDescent="0.25">
      <c r="A34" s="25">
        <v>131879818</v>
      </c>
      <c r="B34" s="21" t="e">
        <f>_xlfn.XLOOKUP(A34,Planilha1!H:H,Planilha1!D:D)</f>
        <v>#N/A</v>
      </c>
    </row>
    <row r="35" spans="1:4" hidden="1" x14ac:dyDescent="0.25">
      <c r="A35" s="25">
        <v>131880068</v>
      </c>
      <c r="B35" s="21" t="e">
        <f>_xlfn.XLOOKUP(A35,Planilha1!H:H,Planilha1!D:D)</f>
        <v>#N/A</v>
      </c>
    </row>
    <row r="36" spans="1:4" hidden="1" x14ac:dyDescent="0.25">
      <c r="A36" s="25">
        <v>131977546</v>
      </c>
      <c r="B36" s="21" t="e">
        <f>_xlfn.XLOOKUP(A36,Planilha1!H:H,Planilha1!D:D)</f>
        <v>#N/A</v>
      </c>
    </row>
    <row r="37" spans="1:4" hidden="1" x14ac:dyDescent="0.25">
      <c r="A37" s="25">
        <v>132011491</v>
      </c>
      <c r="B37" s="21" t="e">
        <f>_xlfn.XLOOKUP(A37,Planilha1!H:H,Planilha1!D:D)</f>
        <v>#N/A</v>
      </c>
    </row>
    <row r="38" spans="1:4" hidden="1" x14ac:dyDescent="0.25">
      <c r="A38" s="25">
        <v>132011440</v>
      </c>
      <c r="B38" s="21" t="e">
        <f>_xlfn.XLOOKUP(A38,Planilha1!H:H,Planilha1!D:D)</f>
        <v>#N/A</v>
      </c>
    </row>
    <row r="39" spans="1:4" hidden="1" x14ac:dyDescent="0.25">
      <c r="A39" s="25">
        <v>132336362</v>
      </c>
      <c r="B39" s="21" t="e">
        <f>_xlfn.XLOOKUP(A39,Planilha1!H:H,Planilha1!D:D)</f>
        <v>#N/A</v>
      </c>
    </row>
    <row r="40" spans="1:4" hidden="1" x14ac:dyDescent="0.25">
      <c r="A40" s="25">
        <v>132369208</v>
      </c>
      <c r="B40" s="21" t="e">
        <f>_xlfn.XLOOKUP(A40,Planilha1!H:H,Planilha1!D:D)</f>
        <v>#N/A</v>
      </c>
    </row>
    <row r="41" spans="1:4" hidden="1" x14ac:dyDescent="0.25">
      <c r="A41" s="25">
        <v>132382372</v>
      </c>
      <c r="B41" s="21" t="e">
        <f>_xlfn.XLOOKUP(A41,Planilha1!H:H,Planilha1!D:D)</f>
        <v>#N/A</v>
      </c>
    </row>
    <row r="42" spans="1:4" hidden="1" x14ac:dyDescent="0.25">
      <c r="A42" s="25">
        <v>128922475</v>
      </c>
      <c r="B42" s="21" t="e">
        <f>_xlfn.XLOOKUP(A42,Planilha1!H:H,Planilha1!D:D)</f>
        <v>#N/A</v>
      </c>
    </row>
    <row r="43" spans="1:4" x14ac:dyDescent="0.25">
      <c r="A43" s="25">
        <v>129012469</v>
      </c>
      <c r="B43" s="21" t="e">
        <f>_xlfn.XLOOKUP(A43,Planilha1!H:H,Planilha1!D:D)</f>
        <v>#N/A</v>
      </c>
      <c r="C43" s="21" t="e">
        <v>#N/A</v>
      </c>
      <c r="D43" s="21" t="s">
        <v>46</v>
      </c>
    </row>
    <row r="44" spans="1:4" hidden="1" x14ac:dyDescent="0.25">
      <c r="A44" s="25">
        <v>129142868</v>
      </c>
      <c r="B44" s="21" t="e">
        <f>_xlfn.XLOOKUP(A44,Planilha1!H:H,Planilha1!D:D)</f>
        <v>#N/A</v>
      </c>
    </row>
    <row r="45" spans="1:4" hidden="1" x14ac:dyDescent="0.25">
      <c r="A45" s="25">
        <v>129144984</v>
      </c>
      <c r="B45" s="21" t="e">
        <f>_xlfn.XLOOKUP(A45,Planilha1!H:H,Planilha1!D:D)</f>
        <v>#N/A</v>
      </c>
    </row>
    <row r="46" spans="1:4" hidden="1" x14ac:dyDescent="0.25">
      <c r="A46" s="25">
        <v>129154680</v>
      </c>
      <c r="B46" s="21" t="e">
        <f>_xlfn.XLOOKUP(A46,Planilha1!H:H,Planilha1!D:D)</f>
        <v>#N/A</v>
      </c>
    </row>
    <row r="47" spans="1:4" x14ac:dyDescent="0.25">
      <c r="A47" s="25">
        <v>129116738</v>
      </c>
      <c r="B47" s="21" t="e">
        <f>_xlfn.XLOOKUP(A47,Planilha1!H:H,Planilha1!D:D)</f>
        <v>#N/A</v>
      </c>
      <c r="C47" s="21" t="e">
        <v>#N/A</v>
      </c>
      <c r="D47" s="21" t="s">
        <v>46</v>
      </c>
    </row>
    <row r="48" spans="1:4" x14ac:dyDescent="0.25">
      <c r="A48" s="25">
        <v>129351255</v>
      </c>
      <c r="B48" s="21" t="e">
        <f>_xlfn.XLOOKUP(A48,Planilha1!H:H,Planilha1!D:D)</f>
        <v>#N/A</v>
      </c>
      <c r="C48" s="21" t="e">
        <v>#N/A</v>
      </c>
      <c r="D48" s="21" t="s">
        <v>46</v>
      </c>
    </row>
    <row r="49" spans="1:4" hidden="1" x14ac:dyDescent="0.25">
      <c r="A49" s="25">
        <v>129548423</v>
      </c>
      <c r="B49" s="21" t="e">
        <f>_xlfn.XLOOKUP(A49,Planilha1!H:H,Planilha1!D:D)</f>
        <v>#N/A</v>
      </c>
    </row>
    <row r="50" spans="1:4" hidden="1" x14ac:dyDescent="0.25">
      <c r="A50" s="25">
        <v>129568043</v>
      </c>
      <c r="B50" s="21" t="e">
        <f>_xlfn.XLOOKUP(A50,Planilha1!H:H,Planilha1!D:D)</f>
        <v>#N/A</v>
      </c>
    </row>
    <row r="51" spans="1:4" hidden="1" x14ac:dyDescent="0.25">
      <c r="A51" s="25">
        <v>129557568</v>
      </c>
      <c r="B51" s="21" t="e">
        <f>_xlfn.XLOOKUP(A51,Planilha1!H:H,Planilha1!D:D)</f>
        <v>#N/A</v>
      </c>
    </row>
    <row r="52" spans="1:4" x14ac:dyDescent="0.25">
      <c r="A52" s="25">
        <v>129599644</v>
      </c>
      <c r="B52" s="21" t="e">
        <f>_xlfn.XLOOKUP(A52,Planilha1!H:H,Planilha1!D:D)</f>
        <v>#N/A</v>
      </c>
      <c r="C52" s="21" t="e">
        <v>#N/A</v>
      </c>
      <c r="D52" s="21" t="s">
        <v>46</v>
      </c>
    </row>
    <row r="53" spans="1:4" x14ac:dyDescent="0.25">
      <c r="A53" s="25">
        <v>129536777</v>
      </c>
      <c r="B53" s="21" t="e">
        <f>_xlfn.XLOOKUP(A53,Planilha1!H:H,Planilha1!D:D)</f>
        <v>#N/A</v>
      </c>
      <c r="C53" s="21" t="e">
        <v>#N/A</v>
      </c>
      <c r="D53" s="21" t="s">
        <v>46</v>
      </c>
    </row>
    <row r="54" spans="1:4" hidden="1" x14ac:dyDescent="0.25">
      <c r="A54" s="25">
        <v>130033175</v>
      </c>
      <c r="B54" s="21" t="e">
        <f>_xlfn.XLOOKUP(A54,Planilha1!H:H,Planilha1!D:D)</f>
        <v>#N/A</v>
      </c>
    </row>
    <row r="55" spans="1:4" hidden="1" x14ac:dyDescent="0.25">
      <c r="A55" s="25">
        <v>130033353</v>
      </c>
      <c r="B55" s="21" t="e">
        <f>_xlfn.XLOOKUP(A55,Planilha1!H:H,Planilha1!D:D)</f>
        <v>#N/A</v>
      </c>
    </row>
    <row r="56" spans="1:4" hidden="1" x14ac:dyDescent="0.25">
      <c r="A56" s="25">
        <v>130030251</v>
      </c>
      <c r="B56" s="21" t="e">
        <f>_xlfn.XLOOKUP(A56,Planilha1!H:H,Planilha1!D:D)</f>
        <v>#N/A</v>
      </c>
    </row>
    <row r="57" spans="1:4" hidden="1" x14ac:dyDescent="0.25">
      <c r="A57" s="25">
        <v>130029976</v>
      </c>
      <c r="B57" s="21" t="e">
        <f>_xlfn.XLOOKUP(A57,Planilha1!H:H,Planilha1!D:D)</f>
        <v>#N/A</v>
      </c>
    </row>
    <row r="58" spans="1:4" hidden="1" x14ac:dyDescent="0.25">
      <c r="A58" s="25">
        <v>130029349</v>
      </c>
      <c r="B58" s="21" t="e">
        <f>_xlfn.XLOOKUP(A58,Planilha1!H:H,Planilha1!D:D)</f>
        <v>#N/A</v>
      </c>
    </row>
    <row r="59" spans="1:4" hidden="1" x14ac:dyDescent="0.25">
      <c r="A59" s="25">
        <v>130016037</v>
      </c>
      <c r="B59" s="21" t="e">
        <f>_xlfn.XLOOKUP(A59,Planilha1!H:H,Planilha1!D:D)</f>
        <v>#N/A</v>
      </c>
    </row>
    <row r="60" spans="1:4" x14ac:dyDescent="0.25">
      <c r="A60" s="25">
        <v>130388789</v>
      </c>
      <c r="B60" s="21" t="e">
        <f>_xlfn.XLOOKUP(A60,Planilha1!H:H,Planilha1!D:D)</f>
        <v>#N/A</v>
      </c>
      <c r="C60" s="21" t="e">
        <v>#N/A</v>
      </c>
      <c r="D60" s="21" t="s">
        <v>46</v>
      </c>
    </row>
    <row r="61" spans="1:4" hidden="1" x14ac:dyDescent="0.25">
      <c r="A61" s="25">
        <v>130396757</v>
      </c>
      <c r="B61" s="21" t="e">
        <f>_xlfn.XLOOKUP(A61,Planilha1!H:H,Planilha1!D:D)</f>
        <v>#N/A</v>
      </c>
    </row>
    <row r="62" spans="1:4" hidden="1" x14ac:dyDescent="0.25">
      <c r="A62" s="25">
        <v>130407494</v>
      </c>
      <c r="B62" s="21" t="e">
        <f>_xlfn.XLOOKUP(A62,Planilha1!H:H,Planilha1!D:D)</f>
        <v>#N/A</v>
      </c>
    </row>
    <row r="63" spans="1:4" x14ac:dyDescent="0.25">
      <c r="A63" s="25">
        <v>130397687</v>
      </c>
      <c r="B63" s="21" t="e">
        <f>_xlfn.XLOOKUP(A63,Planilha1!H:H,Planilha1!D:D)</f>
        <v>#N/A</v>
      </c>
      <c r="C63" s="21" t="e">
        <v>#N/A</v>
      </c>
      <c r="D63" s="21" t="s">
        <v>46</v>
      </c>
    </row>
    <row r="64" spans="1:4" hidden="1" x14ac:dyDescent="0.25">
      <c r="A64" s="25">
        <v>130370444</v>
      </c>
      <c r="B64" s="21" t="e">
        <f>_xlfn.XLOOKUP(A64,Planilha1!H:H,Planilha1!D:D)</f>
        <v>#N/A</v>
      </c>
    </row>
    <row r="65" spans="1:4" hidden="1" x14ac:dyDescent="0.25">
      <c r="A65" s="25">
        <v>130419144</v>
      </c>
      <c r="B65" s="21" t="e">
        <f>_xlfn.XLOOKUP(A65,Planilha1!H:H,Planilha1!D:D)</f>
        <v>#N/A</v>
      </c>
    </row>
    <row r="66" spans="1:4" hidden="1" x14ac:dyDescent="0.25">
      <c r="A66" s="25">
        <v>130423280</v>
      </c>
      <c r="B66" s="21" t="e">
        <f>_xlfn.XLOOKUP(A66,Planilha1!H:H,Planilha1!D:D)</f>
        <v>#N/A</v>
      </c>
    </row>
    <row r="67" spans="1:4" hidden="1" x14ac:dyDescent="0.25">
      <c r="A67" s="25">
        <v>130424233</v>
      </c>
      <c r="B67" s="21" t="e">
        <f>_xlfn.XLOOKUP(A67,Planilha1!H:H,Planilha1!D:D)</f>
        <v>#N/A</v>
      </c>
    </row>
    <row r="68" spans="1:4" hidden="1" x14ac:dyDescent="0.25">
      <c r="A68" s="25">
        <v>130786713</v>
      </c>
      <c r="B68" s="21" t="e">
        <f>_xlfn.XLOOKUP(A68,Planilha1!H:H,Planilha1!D:D)</f>
        <v>#N/A</v>
      </c>
    </row>
    <row r="69" spans="1:4" hidden="1" x14ac:dyDescent="0.25">
      <c r="A69" s="25">
        <v>130793142</v>
      </c>
      <c r="B69" s="21" t="e">
        <f>_xlfn.XLOOKUP(A69,Planilha1!H:H,Planilha1!D:D)</f>
        <v>#N/A</v>
      </c>
    </row>
    <row r="70" spans="1:4" x14ac:dyDescent="0.25">
      <c r="A70" s="25">
        <v>130795444</v>
      </c>
      <c r="B70" s="21" t="e">
        <f>_xlfn.XLOOKUP(A70,Planilha1!H:H,Planilha1!D:D)</f>
        <v>#N/A</v>
      </c>
      <c r="C70" s="21" t="e">
        <v>#N/A</v>
      </c>
      <c r="D70" s="21" t="s">
        <v>46</v>
      </c>
    </row>
    <row r="71" spans="1:4" hidden="1" x14ac:dyDescent="0.25">
      <c r="A71" s="25">
        <v>129064609</v>
      </c>
      <c r="B71" s="21" t="e">
        <f>_xlfn.XLOOKUP(A71,Planilha1!H:H,Planilha1!D:D)</f>
        <v>#N/A</v>
      </c>
    </row>
    <row r="72" spans="1:4" hidden="1" x14ac:dyDescent="0.25">
      <c r="A72" s="25">
        <v>131113655</v>
      </c>
      <c r="B72" s="21" t="e">
        <f>_xlfn.XLOOKUP(A72,Planilha1!H:H,Planilha1!D:D)</f>
        <v>#N/A</v>
      </c>
    </row>
    <row r="73" spans="1:4" hidden="1" x14ac:dyDescent="0.25">
      <c r="A73" s="25">
        <v>131167490</v>
      </c>
      <c r="B73" s="21" t="e">
        <f>_xlfn.XLOOKUP(A73,Planilha1!H:H,Planilha1!D:D)</f>
        <v>#N/A</v>
      </c>
    </row>
    <row r="74" spans="1:4" hidden="1" x14ac:dyDescent="0.25">
      <c r="A74" s="25">
        <v>131540125</v>
      </c>
      <c r="B74" s="21" t="e">
        <f>_xlfn.XLOOKUP(A74,Planilha1!H:H,Planilha1!D:D)</f>
        <v>#N/A</v>
      </c>
    </row>
    <row r="75" spans="1:4" hidden="1" x14ac:dyDescent="0.25">
      <c r="A75" s="25">
        <v>131540077</v>
      </c>
      <c r="B75" s="21" t="e">
        <f>_xlfn.XLOOKUP(A75,Planilha1!H:H,Planilha1!D:D)</f>
        <v>#N/A</v>
      </c>
    </row>
    <row r="76" spans="1:4" hidden="1" x14ac:dyDescent="0.25">
      <c r="A76" s="25">
        <v>131540187</v>
      </c>
      <c r="B76" s="21" t="e">
        <f>_xlfn.XLOOKUP(A76,Planilha1!H:H,Planilha1!D:D)</f>
        <v>#N/A</v>
      </c>
    </row>
    <row r="77" spans="1:4" hidden="1" x14ac:dyDescent="0.25">
      <c r="A77" s="25">
        <v>131539989</v>
      </c>
      <c r="B77" s="21" t="e">
        <f>_xlfn.XLOOKUP(A77,Planilha1!H:H,Planilha1!D:D)</f>
        <v>#N/A</v>
      </c>
    </row>
    <row r="78" spans="1:4" hidden="1" x14ac:dyDescent="0.25">
      <c r="A78" s="25">
        <v>131906507</v>
      </c>
      <c r="B78" s="21" t="e">
        <f>_xlfn.XLOOKUP(A78,Planilha1!H:H,Planilha1!D:D)</f>
        <v>#N/A</v>
      </c>
    </row>
    <row r="79" spans="1:4" x14ac:dyDescent="0.25">
      <c r="A79" s="25">
        <v>131921807</v>
      </c>
      <c r="B79" s="21" t="e">
        <f>_xlfn.XLOOKUP(A79,Planilha1!H:H,Planilha1!D:D)</f>
        <v>#N/A</v>
      </c>
      <c r="C79" s="21" t="e">
        <v>#N/A</v>
      </c>
      <c r="D79" s="21" t="s">
        <v>46</v>
      </c>
    </row>
    <row r="80" spans="1:4" hidden="1" x14ac:dyDescent="0.25">
      <c r="A80" s="25">
        <v>131978632</v>
      </c>
      <c r="B80" s="21" t="e">
        <f>_xlfn.XLOOKUP(A80,Planilha1!H:H,Planilha1!D:D)</f>
        <v>#N/A</v>
      </c>
    </row>
    <row r="81" spans="1:2" hidden="1" x14ac:dyDescent="0.25">
      <c r="A81" s="25">
        <v>131994237</v>
      </c>
      <c r="B81" s="21" t="e">
        <f>_xlfn.XLOOKUP(A81,Planilha1!H:H,Planilha1!D:D)</f>
        <v>#N/A</v>
      </c>
    </row>
    <row r="82" spans="1:2" hidden="1" x14ac:dyDescent="0.25">
      <c r="A82" s="25">
        <v>131957617</v>
      </c>
      <c r="B82" s="21" t="e">
        <f>_xlfn.XLOOKUP(A82,Planilha1!H:H,Planilha1!D:D)</f>
        <v>#N/A</v>
      </c>
    </row>
    <row r="83" spans="1:2" hidden="1" x14ac:dyDescent="0.25">
      <c r="A83" s="25">
        <v>132003168</v>
      </c>
      <c r="B83" s="21" t="e">
        <f>_xlfn.XLOOKUP(A83,Planilha1!H:H,Planilha1!D:D)</f>
        <v>#N/A</v>
      </c>
    </row>
    <row r="84" spans="1:2" hidden="1" x14ac:dyDescent="0.25">
      <c r="A84" s="25">
        <v>132302855</v>
      </c>
      <c r="B84" s="21" t="e">
        <f>_xlfn.XLOOKUP(A84,Planilha1!H:H,Planilha1!D:D)</f>
        <v>#N/A</v>
      </c>
    </row>
    <row r="85" spans="1:2" hidden="1" x14ac:dyDescent="0.25">
      <c r="A85" s="25">
        <v>132365359</v>
      </c>
      <c r="B85" s="21" t="e">
        <f>_xlfn.XLOOKUP(A85,Planilha1!H:H,Planilha1!D:D)</f>
        <v>#N/A</v>
      </c>
    </row>
    <row r="86" spans="1:2" hidden="1" x14ac:dyDescent="0.25">
      <c r="A86" s="25">
        <v>132360626</v>
      </c>
      <c r="B86" s="21" t="e">
        <f>_xlfn.XLOOKUP(A86,Planilha1!H:H,Planilha1!D:D)</f>
        <v>#N/A</v>
      </c>
    </row>
    <row r="87" spans="1:2" hidden="1" x14ac:dyDescent="0.25">
      <c r="A87" s="25">
        <v>130423906</v>
      </c>
      <c r="B87" s="21" t="e">
        <f>_xlfn.XLOOKUP(A87,Planilha1!H:H,Planilha1!D:D)</f>
        <v>#N/A</v>
      </c>
    </row>
    <row r="88" spans="1:2" hidden="1" x14ac:dyDescent="0.25">
      <c r="A88" s="25">
        <v>132355010</v>
      </c>
      <c r="B88" s="21" t="e">
        <f>_xlfn.XLOOKUP(A88,Planilha1!H:H,Planilha1!D:D)</f>
        <v>#N/A</v>
      </c>
    </row>
    <row r="89" spans="1:2" hidden="1" x14ac:dyDescent="0.25">
      <c r="A89" s="25">
        <v>129974061</v>
      </c>
      <c r="B89" s="21" t="e">
        <f>_xlfn.XLOOKUP(A89,Planilha1!H:H,Planilha1!D:D)</f>
        <v>#N/A</v>
      </c>
    </row>
    <row r="90" spans="1:2" hidden="1" x14ac:dyDescent="0.25">
      <c r="A90" s="25">
        <v>129976822</v>
      </c>
      <c r="B90" s="21" t="e">
        <f>_xlfn.XLOOKUP(A90,Planilha1!H:H,Planilha1!D:D)</f>
        <v>#N/A</v>
      </c>
    </row>
    <row r="91" spans="1:2" hidden="1" x14ac:dyDescent="0.25">
      <c r="A91" s="25">
        <v>130004318</v>
      </c>
      <c r="B91" s="21" t="e">
        <f>_xlfn.XLOOKUP(A91,Planilha1!H:H,Planilha1!D:D)</f>
        <v>#N/A</v>
      </c>
    </row>
    <row r="92" spans="1:2" hidden="1" x14ac:dyDescent="0.25">
      <c r="A92" s="25">
        <v>129977128</v>
      </c>
      <c r="B92" s="21" t="e">
        <f>_xlfn.XLOOKUP(A92,Planilha1!H:H,Planilha1!D:D)</f>
        <v>#N/A</v>
      </c>
    </row>
    <row r="93" spans="1:2" hidden="1" x14ac:dyDescent="0.25">
      <c r="A93" s="25">
        <v>129975849</v>
      </c>
      <c r="B93" s="21" t="e">
        <f>_xlfn.XLOOKUP(A93,Planilha1!H:H,Planilha1!D:D)</f>
        <v>#N/A</v>
      </c>
    </row>
    <row r="94" spans="1:2" hidden="1" x14ac:dyDescent="0.25">
      <c r="A94" s="25">
        <v>131540275</v>
      </c>
      <c r="B94" s="21" t="e">
        <f>_xlfn.XLOOKUP(A94,Planilha1!H:H,Planilha1!D:D)</f>
        <v>#N/A</v>
      </c>
    </row>
    <row r="95" spans="1:2" hidden="1" x14ac:dyDescent="0.25">
      <c r="A95" s="25">
        <v>131539964</v>
      </c>
      <c r="B95" s="21" t="e">
        <f>_xlfn.XLOOKUP(A95,Planilha1!H:H,Planilha1!D:D)</f>
        <v>#N/A</v>
      </c>
    </row>
    <row r="96" spans="1:2" hidden="1" x14ac:dyDescent="0.25">
      <c r="A96" s="25">
        <v>131539948</v>
      </c>
      <c r="B96" s="21" t="e">
        <f>_xlfn.XLOOKUP(A96,Planilha1!H:H,Planilha1!D:D)</f>
        <v>#N/A</v>
      </c>
    </row>
    <row r="97" spans="1:4" hidden="1" x14ac:dyDescent="0.25">
      <c r="A97" s="25">
        <v>131540180</v>
      </c>
      <c r="B97" s="21" t="e">
        <f>_xlfn.XLOOKUP(A97,Planilha1!H:H,Planilha1!D:D)</f>
        <v>#N/A</v>
      </c>
    </row>
    <row r="98" spans="1:4" hidden="1" x14ac:dyDescent="0.25">
      <c r="A98" s="25">
        <v>129974097</v>
      </c>
      <c r="B98" s="21" t="e">
        <f>_xlfn.XLOOKUP(A98,Planilha1!H:H,Planilha1!D:D)</f>
        <v>#N/A</v>
      </c>
    </row>
    <row r="99" spans="1:4" hidden="1" x14ac:dyDescent="0.25">
      <c r="A99" s="25">
        <v>129975739</v>
      </c>
      <c r="B99" s="21" t="e">
        <f>_xlfn.XLOOKUP(A99,Planilha1!H:H,Planilha1!D:D)</f>
        <v>#N/A</v>
      </c>
    </row>
    <row r="100" spans="1:4" hidden="1" x14ac:dyDescent="0.25">
      <c r="A100" s="25">
        <v>129976306</v>
      </c>
      <c r="B100" s="21" t="e">
        <f>_xlfn.XLOOKUP(A100,Planilha1!H:H,Planilha1!D:D)</f>
        <v>#N/A</v>
      </c>
    </row>
    <row r="101" spans="1:4" hidden="1" x14ac:dyDescent="0.25">
      <c r="A101" s="25">
        <v>129975769</v>
      </c>
      <c r="B101" s="21" t="e">
        <f>_xlfn.XLOOKUP(A101,Planilha1!H:H,Planilha1!D:D)</f>
        <v>#N/A</v>
      </c>
    </row>
    <row r="102" spans="1:4" hidden="1" x14ac:dyDescent="0.25">
      <c r="A102" s="25">
        <v>130779350</v>
      </c>
      <c r="B102" s="21" t="e">
        <f>_xlfn.XLOOKUP(A102,Planilha1!H:H,Planilha1!D:D)</f>
        <v>#N/A</v>
      </c>
    </row>
    <row r="103" spans="1:4" hidden="1" x14ac:dyDescent="0.25">
      <c r="A103" s="25">
        <v>129975239</v>
      </c>
      <c r="B103" s="21" t="e">
        <f>_xlfn.XLOOKUP(A103,Planilha1!H:H,Planilha1!D:D)</f>
        <v>#N/A</v>
      </c>
    </row>
    <row r="104" spans="1:4" hidden="1" x14ac:dyDescent="0.25">
      <c r="A104" s="25">
        <v>129976898</v>
      </c>
      <c r="B104" s="21" t="e">
        <f>_xlfn.XLOOKUP(A104,Planilha1!H:H,Planilha1!D:D)</f>
        <v>#N/A</v>
      </c>
    </row>
    <row r="105" spans="1:4" hidden="1" x14ac:dyDescent="0.25">
      <c r="A105" s="25">
        <v>129977079</v>
      </c>
      <c r="B105" s="21" t="e">
        <f>_xlfn.XLOOKUP(A105,Planilha1!H:H,Planilha1!D:D)</f>
        <v>#N/A</v>
      </c>
    </row>
    <row r="106" spans="1:4" hidden="1" x14ac:dyDescent="0.25">
      <c r="A106" s="25">
        <v>129976805</v>
      </c>
      <c r="B106" s="21" t="e">
        <f>_xlfn.XLOOKUP(A106,Planilha1!H:H,Planilha1!D:D)</f>
        <v>#N/A</v>
      </c>
    </row>
    <row r="107" spans="1:4" hidden="1" x14ac:dyDescent="0.25">
      <c r="A107" s="25">
        <v>129976877</v>
      </c>
      <c r="B107" s="21" t="e">
        <f>_xlfn.XLOOKUP(A107,Planilha1!H:H,Planilha1!D:D)</f>
        <v>#N/A</v>
      </c>
    </row>
    <row r="108" spans="1:4" hidden="1" x14ac:dyDescent="0.25">
      <c r="A108" s="25">
        <v>129976221</v>
      </c>
      <c r="B108" s="21" t="e">
        <f>_xlfn.XLOOKUP(A108,Planilha1!H:H,Planilha1!D:D)</f>
        <v>#N/A</v>
      </c>
    </row>
    <row r="109" spans="1:4" x14ac:dyDescent="0.25">
      <c r="A109" s="25">
        <v>129976180</v>
      </c>
      <c r="B109" s="21" t="e">
        <f>_xlfn.XLOOKUP(A109,Planilha1!H:H,Planilha1!D:D)</f>
        <v>#N/A</v>
      </c>
      <c r="C109" s="21" t="e">
        <v>#N/A</v>
      </c>
      <c r="D109" s="21" t="s">
        <v>46</v>
      </c>
    </row>
    <row r="110" spans="1:4" x14ac:dyDescent="0.25">
      <c r="A110" s="25">
        <v>129976117</v>
      </c>
      <c r="B110" s="21" t="e">
        <f>_xlfn.XLOOKUP(A110,Planilha1!H:H,Planilha1!D:D)</f>
        <v>#N/A</v>
      </c>
      <c r="C110" s="21" t="e">
        <v>#N/A</v>
      </c>
      <c r="D110" s="21" t="s">
        <v>46</v>
      </c>
    </row>
    <row r="111" spans="1:4" x14ac:dyDescent="0.25">
      <c r="A111" s="25">
        <v>129975885</v>
      </c>
      <c r="B111" s="21" t="e">
        <f>_xlfn.XLOOKUP(A111,Planilha1!H:H,Planilha1!D:D)</f>
        <v>#N/A</v>
      </c>
      <c r="C111" s="21" t="e">
        <v>#N/A</v>
      </c>
      <c r="D111" s="21" t="s">
        <v>46</v>
      </c>
    </row>
    <row r="112" spans="1:4" x14ac:dyDescent="0.25">
      <c r="A112" s="25">
        <v>129975742</v>
      </c>
      <c r="B112" s="21" t="e">
        <f>_xlfn.XLOOKUP(A112,Planilha1!H:H,Planilha1!D:D)</f>
        <v>#N/A</v>
      </c>
      <c r="C112" s="21" t="e">
        <v>#N/A</v>
      </c>
      <c r="D112" s="21" t="s">
        <v>46</v>
      </c>
    </row>
    <row r="113" spans="1:4" x14ac:dyDescent="0.25">
      <c r="A113" s="25">
        <v>129975718</v>
      </c>
      <c r="B113" s="21" t="e">
        <f>_xlfn.XLOOKUP(A113,Planilha1!H:H,Planilha1!D:D)</f>
        <v>#N/A</v>
      </c>
      <c r="C113" s="21" t="e">
        <v>#N/A</v>
      </c>
      <c r="D113" s="21" t="s">
        <v>46</v>
      </c>
    </row>
    <row r="114" spans="1:4" x14ac:dyDescent="0.25">
      <c r="A114" s="25">
        <v>129975626</v>
      </c>
      <c r="B114" s="21" t="e">
        <f>_xlfn.XLOOKUP(A114,Planilha1!H:H,Planilha1!D:D)</f>
        <v>#N/A</v>
      </c>
      <c r="C114" s="21" t="e">
        <v>#N/A</v>
      </c>
      <c r="D114" s="21" t="s">
        <v>46</v>
      </c>
    </row>
    <row r="115" spans="1:4" x14ac:dyDescent="0.25">
      <c r="A115" s="25">
        <v>129975222</v>
      </c>
      <c r="B115" s="21" t="e">
        <f>_xlfn.XLOOKUP(A115,Planilha1!H:H,Planilha1!D:D)</f>
        <v>#N/A</v>
      </c>
      <c r="C115" s="21" t="e">
        <v>#N/A</v>
      </c>
      <c r="D115" s="21" t="s">
        <v>46</v>
      </c>
    </row>
    <row r="116" spans="1:4" x14ac:dyDescent="0.25">
      <c r="A116" s="25">
        <v>129975217</v>
      </c>
      <c r="B116" s="21" t="e">
        <f>_xlfn.XLOOKUP(A116,Planilha1!H:H,Planilha1!D:D)</f>
        <v>#N/A</v>
      </c>
      <c r="C116" s="21" t="e">
        <v>#N/A</v>
      </c>
      <c r="D116" s="21" t="s">
        <v>46</v>
      </c>
    </row>
    <row r="117" spans="1:4" x14ac:dyDescent="0.25">
      <c r="A117" s="25">
        <v>129973592</v>
      </c>
      <c r="B117" s="21" t="e">
        <f>_xlfn.XLOOKUP(A117,Planilha1!H:H,Planilha1!D:D)</f>
        <v>#N/A</v>
      </c>
      <c r="C117" s="21" t="e">
        <v>#N/A</v>
      </c>
      <c r="D117" s="21" t="s">
        <v>46</v>
      </c>
    </row>
    <row r="118" spans="1:4" x14ac:dyDescent="0.25">
      <c r="A118" s="25">
        <v>129975722</v>
      </c>
      <c r="B118" s="21" t="e">
        <f>_xlfn.XLOOKUP(A118,Planilha1!H:H,Planilha1!D:D)</f>
        <v>#N/A</v>
      </c>
      <c r="C118" s="21" t="e">
        <v>#N/A</v>
      </c>
      <c r="D118" s="21" t="s">
        <v>46</v>
      </c>
    </row>
    <row r="119" spans="1:4" x14ac:dyDescent="0.25">
      <c r="A119" s="25">
        <v>130320202</v>
      </c>
      <c r="B119" s="21" t="e">
        <f>_xlfn.XLOOKUP(A119,Planilha1!H:H,Planilha1!D:D)</f>
        <v>#N/A</v>
      </c>
      <c r="C119" s="21" t="e">
        <v>#N/A</v>
      </c>
      <c r="D119" s="21" t="s">
        <v>46</v>
      </c>
    </row>
    <row r="120" spans="1:4" x14ac:dyDescent="0.25">
      <c r="A120" s="25">
        <v>130779360</v>
      </c>
      <c r="B120" s="21" t="e">
        <f>_xlfn.XLOOKUP(A120,Planilha1!H:H,Planilha1!D:D)</f>
        <v>#N/A</v>
      </c>
      <c r="C120" s="21" t="e">
        <v>#N/A</v>
      </c>
      <c r="D120" s="21" t="s">
        <v>46</v>
      </c>
    </row>
    <row r="121" spans="1:4" x14ac:dyDescent="0.25">
      <c r="A121" s="25">
        <v>130779291</v>
      </c>
      <c r="B121" s="21" t="e">
        <f>_xlfn.XLOOKUP(A121,Planilha1!H:H,Planilha1!D:D)</f>
        <v>#N/A</v>
      </c>
      <c r="C121" s="21" t="e">
        <v>#N/A</v>
      </c>
      <c r="D121" s="21" t="s">
        <v>46</v>
      </c>
    </row>
    <row r="122" spans="1:4" x14ac:dyDescent="0.25">
      <c r="A122" s="25">
        <v>131164742</v>
      </c>
      <c r="B122" s="21" t="e">
        <f>_xlfn.XLOOKUP(A122,Planilha1!H:H,Planilha1!D:D)</f>
        <v>#N/A</v>
      </c>
      <c r="C122" s="21" t="e">
        <v>#N/A</v>
      </c>
      <c r="D122" s="21" t="s">
        <v>46</v>
      </c>
    </row>
    <row r="123" spans="1:4" x14ac:dyDescent="0.25">
      <c r="A123" s="25">
        <v>129904238</v>
      </c>
      <c r="B123" s="21" t="e">
        <f>_xlfn.XLOOKUP(A123,Planilha1!H:H,Planilha1!D:D)</f>
        <v>#N/A</v>
      </c>
      <c r="C123" s="21" t="e">
        <v>#N/A</v>
      </c>
      <c r="D123" s="21" t="s">
        <v>46</v>
      </c>
    </row>
    <row r="124" spans="1:4" hidden="1" x14ac:dyDescent="0.25">
      <c r="A124" s="25"/>
      <c r="B124" s="21" t="e">
        <f>_xlfn.XLOOKUP(A124,Planilha1!H:H,Planilha1!D:D)</f>
        <v>#N/A</v>
      </c>
    </row>
    <row r="125" spans="1:4" hidden="1" x14ac:dyDescent="0.25">
      <c r="A125" s="25"/>
      <c r="B125" s="21" t="e">
        <f>_xlfn.XLOOKUP(A125,Planilha1!H:H,Planilha1!D:D)</f>
        <v>#N/A</v>
      </c>
    </row>
    <row r="126" spans="1:4" hidden="1" x14ac:dyDescent="0.25">
      <c r="A126" s="25"/>
      <c r="B126" s="21" t="e">
        <f>_xlfn.XLOOKUP(A126,Planilha1!H:H,Planilha1!D:D)</f>
        <v>#N/A</v>
      </c>
    </row>
    <row r="127" spans="1:4" hidden="1" x14ac:dyDescent="0.25">
      <c r="A127" s="25"/>
      <c r="B127" s="21" t="e">
        <f>_xlfn.XLOOKUP(A127,Planilha1!H:H,Planilha1!D:D)</f>
        <v>#N/A</v>
      </c>
    </row>
    <row r="128" spans="1:4" hidden="1" x14ac:dyDescent="0.25">
      <c r="A128" s="25"/>
      <c r="B128" s="21" t="e">
        <f>_xlfn.XLOOKUP(A128,Planilha1!H:H,Planilha1!D:D)</f>
        <v>#N/A</v>
      </c>
    </row>
    <row r="129" spans="1:2" hidden="1" x14ac:dyDescent="0.25">
      <c r="A129" s="25"/>
      <c r="B129" s="21" t="e">
        <f>_xlfn.XLOOKUP(A129,Planilha1!H:H,Planilha1!D:D)</f>
        <v>#N/A</v>
      </c>
    </row>
    <row r="130" spans="1:2" hidden="1" x14ac:dyDescent="0.25">
      <c r="A130" s="25"/>
      <c r="B130" s="21" t="e">
        <f>_xlfn.XLOOKUP(A130,Planilha1!H:H,Planilha1!D:D)</f>
        <v>#N/A</v>
      </c>
    </row>
    <row r="131" spans="1:2" hidden="1" x14ac:dyDescent="0.25">
      <c r="A131" s="25"/>
      <c r="B131" s="21" t="e">
        <f>_xlfn.XLOOKUP(A131,Planilha1!H:H,Planilha1!D:D)</f>
        <v>#N/A</v>
      </c>
    </row>
    <row r="132" spans="1:2" hidden="1" x14ac:dyDescent="0.25">
      <c r="A132" s="25"/>
      <c r="B132" s="21" t="e">
        <f>_xlfn.XLOOKUP(A132,Planilha1!H:H,Planilha1!D:D)</f>
        <v>#N/A</v>
      </c>
    </row>
    <row r="133" spans="1:2" hidden="1" x14ac:dyDescent="0.25">
      <c r="A133" s="25"/>
      <c r="B133" s="21" t="e">
        <f>_xlfn.XLOOKUP(A133,Planilha1!H:H,Planilha1!D:D)</f>
        <v>#N/A</v>
      </c>
    </row>
    <row r="134" spans="1:2" hidden="1" x14ac:dyDescent="0.25">
      <c r="A134" s="25"/>
      <c r="B134" s="21" t="e">
        <f>_xlfn.XLOOKUP(A134,Planilha1!H:H,Planilha1!D:D)</f>
        <v>#N/A</v>
      </c>
    </row>
    <row r="135" spans="1:2" hidden="1" x14ac:dyDescent="0.25">
      <c r="A135" s="25"/>
      <c r="B135" s="21" t="e">
        <f>_xlfn.XLOOKUP(A135,Planilha1!H:H,Planilha1!D:D)</f>
        <v>#N/A</v>
      </c>
    </row>
    <row r="136" spans="1:2" hidden="1" x14ac:dyDescent="0.25">
      <c r="A136" s="25"/>
      <c r="B136" s="21" t="e">
        <f>_xlfn.XLOOKUP(A136,Planilha1!H:H,Planilha1!D:D)</f>
        <v>#N/A</v>
      </c>
    </row>
    <row r="137" spans="1:2" hidden="1" x14ac:dyDescent="0.25">
      <c r="A137" s="25"/>
      <c r="B137" s="21" t="e">
        <f>_xlfn.XLOOKUP(A137,Planilha1!H:H,Planilha1!D:D)</f>
        <v>#N/A</v>
      </c>
    </row>
    <row r="138" spans="1:2" hidden="1" x14ac:dyDescent="0.25">
      <c r="A138" s="25"/>
      <c r="B138" s="21" t="e">
        <f>_xlfn.XLOOKUP(A138,Planilha1!H:H,Planilha1!D:D)</f>
        <v>#N/A</v>
      </c>
    </row>
    <row r="139" spans="1:2" hidden="1" x14ac:dyDescent="0.25">
      <c r="A139" s="25"/>
      <c r="B139" s="21" t="e">
        <f>_xlfn.XLOOKUP(A139,Planilha1!H:H,Planilha1!D:D)</f>
        <v>#N/A</v>
      </c>
    </row>
    <row r="140" spans="1:2" hidden="1" x14ac:dyDescent="0.25">
      <c r="A140" s="25"/>
      <c r="B140" s="21" t="e">
        <f>_xlfn.XLOOKUP(A140,Planilha1!H:H,Planilha1!D:D)</f>
        <v>#N/A</v>
      </c>
    </row>
    <row r="141" spans="1:2" hidden="1" x14ac:dyDescent="0.25">
      <c r="A141" s="25"/>
      <c r="B141" s="21" t="e">
        <f>_xlfn.XLOOKUP(A141,Planilha1!H:H,Planilha1!D:D)</f>
        <v>#N/A</v>
      </c>
    </row>
    <row r="142" spans="1:2" hidden="1" x14ac:dyDescent="0.25">
      <c r="A142" s="25"/>
      <c r="B142" s="21" t="e">
        <f>_xlfn.XLOOKUP(A142,Planilha1!H:H,Planilha1!D:D)</f>
        <v>#N/A</v>
      </c>
    </row>
    <row r="143" spans="1:2" hidden="1" x14ac:dyDescent="0.25">
      <c r="A143" s="25"/>
      <c r="B143" s="21" t="e">
        <f>_xlfn.XLOOKUP(A143,Planilha1!H:H,Planilha1!D:D)</f>
        <v>#N/A</v>
      </c>
    </row>
    <row r="144" spans="1:2" hidden="1" x14ac:dyDescent="0.25">
      <c r="A144" s="25"/>
      <c r="B144" s="21" t="e">
        <f>_xlfn.XLOOKUP(A144,Planilha1!H:H,Planilha1!D:D)</f>
        <v>#N/A</v>
      </c>
    </row>
    <row r="145" spans="1:2" hidden="1" x14ac:dyDescent="0.25">
      <c r="A145" s="25"/>
      <c r="B145" s="21" t="e">
        <f>_xlfn.XLOOKUP(A145,Planilha1!H:H,Planilha1!D:D)</f>
        <v>#N/A</v>
      </c>
    </row>
    <row r="146" spans="1:2" hidden="1" x14ac:dyDescent="0.25">
      <c r="A146" s="25"/>
      <c r="B146" s="21" t="e">
        <f>_xlfn.XLOOKUP(A146,Planilha1!H:H,Planilha1!D:D)</f>
        <v>#N/A</v>
      </c>
    </row>
    <row r="147" spans="1:2" hidden="1" x14ac:dyDescent="0.25">
      <c r="A147" s="25"/>
      <c r="B147" s="21" t="e">
        <f>_xlfn.XLOOKUP(A147,Planilha1!H:H,Planilha1!D:D)</f>
        <v>#N/A</v>
      </c>
    </row>
    <row r="148" spans="1:2" hidden="1" x14ac:dyDescent="0.25">
      <c r="A148" s="25"/>
      <c r="B148" s="21" t="e">
        <f>_xlfn.XLOOKUP(A148,Planilha1!H:H,Planilha1!D:D)</f>
        <v>#N/A</v>
      </c>
    </row>
    <row r="149" spans="1:2" hidden="1" x14ac:dyDescent="0.25">
      <c r="A149" s="25"/>
      <c r="B149" s="21" t="e">
        <f>_xlfn.XLOOKUP(A149,Planilha1!H:H,Planilha1!D:D)</f>
        <v>#N/A</v>
      </c>
    </row>
    <row r="150" spans="1:2" hidden="1" x14ac:dyDescent="0.25">
      <c r="A150" s="25"/>
      <c r="B150" s="21" t="e">
        <f>_xlfn.XLOOKUP(A150,Planilha1!H:H,Planilha1!D:D)</f>
        <v>#N/A</v>
      </c>
    </row>
  </sheetData>
  <autoFilter ref="A1:E150" xr:uid="{BD5FAE7C-E080-4E2F-866F-03AD4D15B6B3}">
    <filterColumn colId="2">
      <customFilters>
        <customFilter operator="notEqual" val=" "/>
      </customFilters>
    </filterColumn>
  </autoFilter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QAFFA7D2F2TC-2102087286-485905</_dlc_DocId>
    <_dlc_DocIdUrl xmlns="01f4fd7c-51c3-4ad2-ae58-e5034556b4ea">
      <Url>https://allianzms.sharepoint.com/teams/BR0010-4356589/_layouts/15/DocIdRedir.aspx?ID=QAFFA7D2F2TC-2102087286-485905</Url>
      <Description>QAFFA7D2F2TC-2102087286-485905</Description>
    </_dlc_DocIdUrl>
  </documentManagement>
</p:properties>
</file>

<file path=customXml/itemProps1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32BFAD3-0D20-4F56-B0CA-1F4F48B38EA5}">
  <ds:schemaRefs>
    <ds:schemaRef ds:uri="http://schemas.microsoft.com/sharepoint/v3"/>
    <ds:schemaRef ds:uri="http://purl.org/dc/terms/"/>
    <ds:schemaRef ds:uri="ea6c6725-5210-4d6a-93cc-4cf85111ac5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1f4fd7c-51c3-4ad2-ae58-e5034556b4e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2025-06-25T18:15:17Z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915643602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- 24/06 e 25/05 (rejeições)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296bdc39-b345-4569-8966-998c0b2cd63c</vt:lpwstr>
  </property>
  <property fmtid="{D5CDD505-2E9C-101B-9397-08002B2CF9AE}" pid="23" name="_PreviousAdHocReviewCycleID">
    <vt:i4>-464715573</vt:i4>
  </property>
</Properties>
</file>