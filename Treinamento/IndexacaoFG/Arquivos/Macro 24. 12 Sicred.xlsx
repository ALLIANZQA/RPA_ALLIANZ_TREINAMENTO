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"/>
    </mc:Choice>
  </mc:AlternateContent>
  <xr:revisionPtr revIDLastSave="0" documentId="8_{D124CB54-CE05-4E48-A6A2-5FB2A366B190}" xr6:coauthVersionLast="47" xr6:coauthVersionMax="47" xr10:uidLastSave="{00000000-0000-0000-0000-000000000000}"/>
  <bookViews>
    <workbookView xWindow="-110" yWindow="-110" windowWidth="19420" windowHeight="11500" xr2:uid="{30FF193B-2E3D-49D4-9EE3-63A3C28C0933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" l="1"/>
  <c r="B51" i="1"/>
  <c r="K50" i="1"/>
  <c r="B50" i="1"/>
  <c r="K49" i="1"/>
  <c r="B49" i="1"/>
  <c r="K48" i="1"/>
  <c r="B48" i="1"/>
  <c r="K47" i="1"/>
  <c r="B47" i="1"/>
  <c r="K46" i="1"/>
  <c r="B46" i="1"/>
  <c r="K45" i="1"/>
  <c r="B45" i="1"/>
  <c r="K44" i="1"/>
  <c r="B44" i="1"/>
  <c r="K43" i="1"/>
  <c r="B43" i="1"/>
  <c r="K42" i="1"/>
  <c r="B42" i="1"/>
  <c r="K41" i="1"/>
  <c r="B41" i="1"/>
  <c r="K40" i="1"/>
  <c r="B40" i="1"/>
  <c r="K39" i="1"/>
  <c r="B39" i="1"/>
  <c r="K38" i="1"/>
  <c r="B38" i="1"/>
  <c r="K37" i="1"/>
  <c r="B37" i="1"/>
  <c r="K36" i="1"/>
  <c r="B36" i="1"/>
  <c r="K35" i="1"/>
  <c r="B35" i="1"/>
  <c r="K34" i="1"/>
  <c r="B34" i="1"/>
  <c r="K33" i="1"/>
  <c r="B33" i="1"/>
  <c r="K32" i="1"/>
  <c r="B32" i="1"/>
  <c r="K31" i="1"/>
  <c r="B31" i="1"/>
  <c r="K30" i="1"/>
  <c r="B30" i="1"/>
  <c r="K29" i="1"/>
  <c r="B29" i="1"/>
  <c r="K28" i="1"/>
  <c r="B28" i="1"/>
  <c r="K27" i="1"/>
  <c r="B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19" i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/>
  <c r="B11" i="1"/>
  <c r="K10" i="1"/>
  <c r="B10" i="1"/>
  <c r="K9" i="1"/>
  <c r="B9" i="1"/>
  <c r="K8" i="1"/>
  <c r="B8" i="1"/>
  <c r="K7" i="1"/>
  <c r="B7" i="1"/>
  <c r="K6" i="1"/>
  <c r="B6" i="1"/>
  <c r="K5" i="1"/>
  <c r="B5" i="1"/>
  <c r="K4" i="1"/>
  <c r="B4" i="1"/>
  <c r="K3" i="1"/>
  <c r="B3" i="1"/>
  <c r="K2" i="1"/>
  <c r="B2" i="1"/>
</calcChain>
</file>

<file path=xl/sharedStrings.xml><?xml version="1.0" encoding="utf-8"?>
<sst xmlns="http://schemas.openxmlformats.org/spreadsheetml/2006/main" count="264" uniqueCount="162">
  <si>
    <t>RAMO</t>
  </si>
  <si>
    <t>RAMOS</t>
  </si>
  <si>
    <t>MEDIADOR</t>
  </si>
  <si>
    <t>PROPOSTA AZ</t>
  </si>
  <si>
    <t>DT RECUSA</t>
  </si>
  <si>
    <t>MOTIVO RECUSA</t>
  </si>
  <si>
    <t>DT INI VIG</t>
  </si>
  <si>
    <t>TIPO RENOVAÇÃO</t>
  </si>
  <si>
    <t>NOME SEGURADO</t>
  </si>
  <si>
    <t>CPF SEGURADO</t>
  </si>
  <si>
    <t>codcoperativa</t>
  </si>
  <si>
    <t>ptoAtendimento</t>
  </si>
  <si>
    <t>Motivo de recusa detalhado - INFORMADO MANUALMENTE</t>
  </si>
  <si>
    <t>2025-12-24-02.37.31.997843</t>
  </si>
  <si>
    <t xml:space="preserve">Falta de Inspeção </t>
  </si>
  <si>
    <t>Seguro Novo</t>
  </si>
  <si>
    <t xml:space="preserve">SERGIO SOARES DA SILVA                       </t>
  </si>
  <si>
    <t> Inspeção de Risco</t>
  </si>
  <si>
    <t>2025-12-24-02.36.47.746520</t>
  </si>
  <si>
    <t>Falta Laudo Cautelar</t>
  </si>
  <si>
    <t xml:space="preserve">KATIA DREHMER                                </t>
  </si>
  <si>
    <t> Inspeção Veicular obrigatória</t>
  </si>
  <si>
    <t>2025-12-24-02.37.31.694883</t>
  </si>
  <si>
    <t xml:space="preserve">EUNICE DE MORAIS                             </t>
  </si>
  <si>
    <t>Inspeção de Risco</t>
  </si>
  <si>
    <t>2025-12-24-12.52.20.684418</t>
  </si>
  <si>
    <t xml:space="preserve">Vistoria Recusada </t>
  </si>
  <si>
    <t xml:space="preserve">ROBERTA DAL BEM                              </t>
  </si>
  <si>
    <t xml:space="preserve"> Cliente não enviou a imagem solicitada dentro do prazo estipulado - Foto:PAINEL DE INSTRUMENTOS COMPLETO COM O MOTOR LIGADO.</t>
  </si>
  <si>
    <t>2025-12-24-12.54.08.589291</t>
  </si>
  <si>
    <t xml:space="preserve">MARIA FATIMA DURIGON                         </t>
  </si>
  <si>
    <t>Cliente não enviou a imagem solicitada dentro do prazo estipulado - Foto: painel de instrumentos COMPLETO com o VEÍCULO LIGADO (motor em funcionamento) e das 4 diagonais</t>
  </si>
  <si>
    <t>2025-12-24-13.29.47.082026</t>
  </si>
  <si>
    <t>Renovação Externa</t>
  </si>
  <si>
    <t xml:space="preserve">LEONARA DE FATIMA DA SILVA NINOW MAYER       </t>
  </si>
  <si>
    <t>Cliente não enviou a imagem solicitada dentro do prazo estipulado - Foto: CRLV COMPLETO</t>
  </si>
  <si>
    <t>2025-12-24-11.16.21.947498</t>
  </si>
  <si>
    <t xml:space="preserve">Falta de Vistoria </t>
  </si>
  <si>
    <t>AGRO MELLO ASSESSORIA AMBIENTAL E AGRARIA LTD</t>
  </si>
  <si>
    <t>Vistoria Digital Obrigatória.</t>
  </si>
  <si>
    <t>2025-12-24-12.57.31.210915</t>
  </si>
  <si>
    <t xml:space="preserve">LARRI ARPINI ZAMBELLI                        </t>
  </si>
  <si>
    <t>Cliente não enviou a imagem solicitada dentro do prazo estipulado - Foto: diagonais DIANTEIRA DIREITA E ESQUERDA e GRAVAÇÃO DO CHASSI</t>
  </si>
  <si>
    <t>2025-12-24-12.04.54.745882</t>
  </si>
  <si>
    <t>Renovação Interna</t>
  </si>
  <si>
    <t xml:space="preserve">ELIETE APARECIDA MARCOLINO DE SOUZA E FRANCO </t>
  </si>
  <si>
    <t>2025-12-24-12.53.44.574813</t>
  </si>
  <si>
    <t xml:space="preserve">PEDRO IACZESZEN                              </t>
  </si>
  <si>
    <t xml:space="preserve"> Cliente não enviou a imagem solicitada dentro do prazo estipulado - Foto: PAINEL DE INSTRUMENTOS</t>
  </si>
  <si>
    <t>2025-12-24-11.04.14.045974</t>
  </si>
  <si>
    <t xml:space="preserve">BRUNA GONCALVES DA COSTA                     </t>
  </si>
  <si>
    <t>A IMAGEM SOLICITADA NÃO FOI ENCAMINHADA DE FORMA CORRETA - LINK EXPIRADO - CHASSI NA CARROCERIA</t>
  </si>
  <si>
    <t>2025-12-24-09.14.53.404508</t>
  </si>
  <si>
    <t xml:space="preserve">VOLYA LEITE FORTE                            </t>
  </si>
  <si>
    <t>MOTIVO DE RECUSA: A IMAGEM SOLICITADA NÃO FOI ENCAMINHADA DE FORMA CORRETA - LINK EXPIRADO - CHASSI GRAVADO NA CARROCERIA</t>
  </si>
  <si>
    <t>2025-12-24-13.31.28.122504</t>
  </si>
  <si>
    <t xml:space="preserve">CARNAYBA EMERALD BRAZIL LTDA ME              </t>
  </si>
  <si>
    <t>Cliente não enviou a imagem solicitada dentro do prazo estipulado - Foto: CHASSI GRAVADO NA CARROCERIA (Por baixo da longarina direita, na direção da porta do passageiro)</t>
  </si>
  <si>
    <t>2025-12-24-13.28.49.948079</t>
  </si>
  <si>
    <t xml:space="preserve">ALESSANDRO DE ANDRADE CATINI                 </t>
  </si>
  <si>
    <t>2025-12-24-12.52.54.365291</t>
  </si>
  <si>
    <t xml:space="preserve">M M DO NASCIMENTO TEIXEIRA EPP               </t>
  </si>
  <si>
    <t>FRUSTRADO, PRAZO PARA REENVIO EXPIRADO. FOTOS NÃO CORRIGIDAS:: Chassi (LOCAL INCORRETO) Justificativa de Dados Divergentes: SEM DIVERGENCIAS</t>
  </si>
  <si>
    <t>2025-12-24-07.33.21.254640</t>
  </si>
  <si>
    <t xml:space="preserve">SWELLEN EVANS QUEIROZ SILVA SCARDELAI        </t>
  </si>
  <si>
    <t>Dados Divergentes</t>
  </si>
  <si>
    <t>2025-12-24-09.15.54.403410</t>
  </si>
  <si>
    <t xml:space="preserve">ANA MARTA DETTENBORN                         </t>
  </si>
  <si>
    <t>MOTIVO DA RECUSA: VEÍCULO COM LUZ DE ÓLEO ACESA NO PAINE</t>
  </si>
  <si>
    <t>2025-12-24-09.17.51.930050</t>
  </si>
  <si>
    <t xml:space="preserve">FERNANDA ELOISA PARUSSOLO                    </t>
  </si>
  <si>
    <t>MOTIVO DA RECUSA: VEÍCULO COM LUZ DE ÓLEO ACESA NO PAINEL</t>
  </si>
  <si>
    <t>2025-12-24-12.56.55.716078</t>
  </si>
  <si>
    <t xml:space="preserve">RAFAEL ALANO PEREIRA                         </t>
  </si>
  <si>
    <t>Cliente não enviou a imagem solicitada dentro do prazo estipulado - Foto: CRLV COMPLETO DO VEICULO DA PROPOSTA (CRV NÃO É ACEITO).</t>
  </si>
  <si>
    <t>2025-12-24-09.51.22.204370</t>
  </si>
  <si>
    <t xml:space="preserve">Demais Motivos </t>
  </si>
  <si>
    <t xml:space="preserve">RAFAEL AUGUSTO FELL                          </t>
  </si>
  <si>
    <t>Recusa a pedido</t>
  </si>
  <si>
    <t>2025-12-24-10.51.02.545136</t>
  </si>
  <si>
    <t xml:space="preserve">MARIA APARECIDA VITOR DUARTE                 </t>
  </si>
  <si>
    <t>Vistoria Prévia Presencial Obrigatória.</t>
  </si>
  <si>
    <t>2025-12-24-02.37.31.056404</t>
  </si>
  <si>
    <t xml:space="preserve">DORACI ZANCHETA SLONGO                       </t>
  </si>
  <si>
    <t>2025-12-24-09.16.07.585473</t>
  </si>
  <si>
    <t xml:space="preserve">DOLORES MARIA SCARIOT BOGONI                 </t>
  </si>
  <si>
    <t>A IMAGEM SOLICITADA NÃO FOI ENCAMINHADA - LINK EXPIRADO -CHASSI</t>
  </si>
  <si>
    <t>2025-12-24-09.51.33.685808</t>
  </si>
  <si>
    <t xml:space="preserve">ROSA VANDA SPERAFICO                         </t>
  </si>
  <si>
    <t>Recusada a pedido</t>
  </si>
  <si>
    <t>2025-12-24-09.46.42.816965</t>
  </si>
  <si>
    <t>2025-12-24-10.36.55.630490</t>
  </si>
  <si>
    <t xml:space="preserve">PAULA MARIANO DA CRUZ ME                     </t>
  </si>
  <si>
    <t>2025-12-24-11.09.12.312202</t>
  </si>
  <si>
    <t xml:space="preserve">ROSANI MARIA WEISS KUNTZ                     </t>
  </si>
  <si>
    <t>2025-12-24-10.46.02.403395</t>
  </si>
  <si>
    <t xml:space="preserve">ALESSANDRO SANTOS DA SILVA AZAMBUJA          </t>
  </si>
  <si>
    <t>2025-12-24-10.55.55.433748</t>
  </si>
  <si>
    <t xml:space="preserve">VOLCIR CREMONINI                             </t>
  </si>
  <si>
    <t>2025-12-24-12.13.39.266111</t>
  </si>
  <si>
    <t xml:space="preserve">TIAGO ANDRADE DALLEGRAVE                     </t>
  </si>
  <si>
    <t xml:space="preserve"> Cliente não enviou a imagem solicitada dentro do prazo estipulado - Foto:PAINEL DE INSTRUMENTOS COM O MOTOR LIGADO</t>
  </si>
  <si>
    <t>2025-12-24-12.17.48.000175</t>
  </si>
  <si>
    <t xml:space="preserve">MARCELO FABIANO SCHAAB                       </t>
  </si>
  <si>
    <t>Cliente não enviou a imagem solicitada dentro do prazo estipulado - Foto: painel com o veículo LIGADO (motor em funcionamento) e foto do CRLV (CERTIFICADO DE REGISTRO E LICENCIAMENTO) COMPLETO.</t>
  </si>
  <si>
    <t>2025-12-24-12.52.28.509252</t>
  </si>
  <si>
    <t xml:space="preserve">ROSITA TEREZINHA GABBI DA LUZ                </t>
  </si>
  <si>
    <t xml:space="preserve"> Cliente não enviou a imagem solicitada dentro do prazo estipulado - Foto: PAINEL DE INSTRUMENTOS e diagonais completas</t>
  </si>
  <si>
    <t>Cliente não enviou a imagem solicitada dentro do prazo estipulado - Foto: CHASSI GRAVADO NA CARROCERIA no assoalho, na frente do banco do passageiro.</t>
  </si>
  <si>
    <t>2025-12-24-12.53.54.496943</t>
  </si>
  <si>
    <t xml:space="preserve">ANELISE RODRIGUES DE OLIVEIRA TORRES         </t>
  </si>
  <si>
    <t>Cliente não enviou a imagem solicitada dentro do prazo estipulado - Foto: PAINEL DE INSTRUMENTOS e diagonais completas</t>
  </si>
  <si>
    <t>2025-12-24-12.54.06.967618</t>
  </si>
  <si>
    <t xml:space="preserve">CRISTIANO BRUM VARREIRA ME                   </t>
  </si>
  <si>
    <t>Cliente não enviou a imagem solicitada dentro do prazo estipulado - Foto: 2 DIAGONAIS DIANTEIRAS</t>
  </si>
  <si>
    <t>2025-12-24-12.55.13.663811</t>
  </si>
  <si>
    <t>Endosso</t>
  </si>
  <si>
    <t xml:space="preserve">MARILIA APARECIDA BOMPANI                    </t>
  </si>
  <si>
    <t> Cliente não enviou a imagem solicitada dentro do prazo estipulado - Foto:CRLV COMPLETO (CRV NÃO É ACEITO)/PAINEL DE INSTRUMENTOS COMPLETO COM O MOTOR EM FUNCIONAMENTO.</t>
  </si>
  <si>
    <t>2025-12-24-12.55.26.339871</t>
  </si>
  <si>
    <t>Cliente não enviou a imagem solicitada dentro do prazo estipulado - Foto:CRLV COMPLETO (CRV NÃO É ACEITO) e motor completo.</t>
  </si>
  <si>
    <t>2025-12-24-12.55.27.738672</t>
  </si>
  <si>
    <t xml:space="preserve">A L MEDEIROS ME                              </t>
  </si>
  <si>
    <t>Cliente não enviou a imagem solicitada dentro do prazo estipulado - Foto:PAINEL DE INSTRUMENTOS COMPLETO COM O MOTOR LIGADO E O RPM EM FUNCIONAMENTO.</t>
  </si>
  <si>
    <t>2025-12-24-12.55.53.485481</t>
  </si>
  <si>
    <t xml:space="preserve">MARILENE TRENTIN                             </t>
  </si>
  <si>
    <t>Cliente não enviou a imagem solicitada dentro do prazo estipulado - Foto: PAINEL DE INSTRUMENTOS e CHASSI NA CARROCERIA</t>
  </si>
  <si>
    <t>2025-12-24-12.56.04.662486</t>
  </si>
  <si>
    <t xml:space="preserve">WANDERLEY MAXIMO DA SILVA LTDA ME            </t>
  </si>
  <si>
    <t>Cliente não enviou a imagem solicitada dentro do prazo estipulado - Foto: CHASSI NA CARROCERIA</t>
  </si>
  <si>
    <t>2025-12-24-13.27.40.223965</t>
  </si>
  <si>
    <t xml:space="preserve">ELIZANGELA ANTONIA PIAIA GAVA                </t>
  </si>
  <si>
    <t>Cliente não enviou a imagem solicitada dentro do prazo estipulado - Foto: PAINEL DE INSTRUMENTOS COM O MOTOR LIGADO.</t>
  </si>
  <si>
    <t>2025-12-24-13.27.48.242214</t>
  </si>
  <si>
    <t xml:space="preserve">FRANCISLAINE FALECO VIEIRA MACHADO           </t>
  </si>
  <si>
    <t>Cliente não enviou a imagem solicitada dentro do prazo estipulado - Foto: PAINEL DE INSTRUMENTOS COMPLETO COM O MOTOR LIGADO</t>
  </si>
  <si>
    <t>2025-12-24-13.27.14.670545</t>
  </si>
  <si>
    <t xml:space="preserve">DARLAN PATRICK HOHNKE BARCE                  </t>
  </si>
  <si>
    <t>Cliente não enviou a imagem solicitada dentro do prazo estipulado - Foto:CHASSI GRAVADO NO QUADRO DA MOTO (No tubo de direção, próximo ao amortecedor dianteiro direito)</t>
  </si>
  <si>
    <t>2025-12-24-13.28.25.193022</t>
  </si>
  <si>
    <t xml:space="preserve">JOSE APARECIDO VILAS BOAS DA HORA            </t>
  </si>
  <si>
    <t>Cliente não enviou a imagem solicitada dentro do prazo estipulado - Foto: CHASSI GRAVADO NA CARROCERIA</t>
  </si>
  <si>
    <t>2025-12-24-13.28.51.829969</t>
  </si>
  <si>
    <t xml:space="preserve">NILSON CESAR BATISTA DE SOUZA                </t>
  </si>
  <si>
    <t>2025-12-24-13.28.57.411149</t>
  </si>
  <si>
    <t xml:space="preserve">NELSON PAGEL                                 </t>
  </si>
  <si>
    <t>Cliente não enviou a imagem solicitada dentro do prazo estipulado - Foto: CRLV COMPLETO (ATPV NÃO É ACEITO).</t>
  </si>
  <si>
    <t>2025-12-24-13.29.22.941968</t>
  </si>
  <si>
    <t xml:space="preserve">LANDO SATURNINO DA SILVA                     </t>
  </si>
  <si>
    <t>Cliente não enviou a imagem solicitada dentro do prazo estipulado - Foto:CRLV ABERTO (CRV NÃO É ACEITO), onde seja possível confirmar todas as informações.</t>
  </si>
  <si>
    <t>2025-12-24-13.29.35.385854</t>
  </si>
  <si>
    <t xml:space="preserve">IVANIR JOSE SALDANHA                         </t>
  </si>
  <si>
    <t>Cliente não enviou a imagem solicitada dentro do prazo estipulado - Foto:CRLV COMPLETO (CRV NÃO É ACEITO).</t>
  </si>
  <si>
    <t>2025-12-24-13.30.16.010602</t>
  </si>
  <si>
    <t xml:space="preserve">MARCOS HENRIQUE SILVA                        </t>
  </si>
  <si>
    <t>Cliente não enviou a imagem solicitada dentro do prazo estipulado - Foto:CHASSI GRAVADO</t>
  </si>
  <si>
    <t>2025-12-24-13.31.02.707514</t>
  </si>
  <si>
    <t xml:space="preserve">FELIPE CRISTIANO BARTZ                       </t>
  </si>
  <si>
    <t>Cliente não enviou a imagem solicitada dentro do prazo estipulado - Foto: painel com o veículo LIGADO (motor em funcionamento) e foto da GRAVAÇÃO DO CHASSI, localizado. PAINEL CORTA FOGO</t>
  </si>
  <si>
    <t>2025-12-24-22.11.15.727372</t>
  </si>
  <si>
    <t>LEONARDO HAURA TRANSPORTES RODOVIARIOS LTDA M</t>
  </si>
  <si>
    <t>CLIENTE NÃO CORRIGIU AS FOTOS INCORRETAS - PRAZO EXPIRADO FOTO INCORRETA: Documento do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</si>
</sst>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6"/>
      <color rgb="FF414141"/>
      <name val="Allianz Neo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11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lianzms-my.sharepoint.com/personal/paula_cinali_allianz_com_br/Documents/&#193;rea%20de%20Trabalho/Macro_Sicredi%2024.12.xlsm" TargetMode="External"/><Relationship Id="rId1" Type="http://schemas.openxmlformats.org/officeDocument/2006/relationships/externalLinkPath" Target="&#193;rea%20de%20Trabalho/Macro_Sicredi%2024.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Macro"/>
      <sheetName val="Ramos"/>
      <sheetName val="Coop"/>
      <sheetName val="B_Suspensa"/>
    </sheetNames>
    <sheetDataSet>
      <sheetData sheetId="0"/>
      <sheetData sheetId="1"/>
      <sheetData sheetId="2">
        <row r="1">
          <cell r="A1" t="str">
            <v>Ramos</v>
          </cell>
          <cell r="B1" t="str">
            <v>Ramo_Concat</v>
          </cell>
        </row>
        <row r="2">
          <cell r="A2">
            <v>601</v>
          </cell>
          <cell r="B2">
            <v>601</v>
          </cell>
          <cell r="C2" t="str">
            <v xml:space="preserve"> Agrícola</v>
          </cell>
        </row>
        <row r="3">
          <cell r="A3">
            <v>602</v>
          </cell>
          <cell r="B3">
            <v>602</v>
          </cell>
          <cell r="C3" t="str">
            <v xml:space="preserve"> Benfeitorias e Equipamentos rurais</v>
          </cell>
        </row>
        <row r="4">
          <cell r="A4">
            <v>603</v>
          </cell>
          <cell r="B4">
            <v>603</v>
          </cell>
          <cell r="C4" t="str">
            <v xml:space="preserve"> Floresta</v>
          </cell>
        </row>
        <row r="5">
          <cell r="A5">
            <v>604</v>
          </cell>
          <cell r="B5">
            <v>604</v>
          </cell>
          <cell r="C5" t="str">
            <v xml:space="preserve"> Propriedades rurais</v>
          </cell>
        </row>
        <row r="6">
          <cell r="A6">
            <v>605</v>
          </cell>
          <cell r="B6">
            <v>605</v>
          </cell>
          <cell r="C6" t="str">
            <v xml:space="preserve"> Allianz Equipamentos Agrícolas</v>
          </cell>
        </row>
        <row r="7">
          <cell r="A7">
            <v>606</v>
          </cell>
          <cell r="B7">
            <v>606</v>
          </cell>
          <cell r="C7" t="str">
            <v xml:space="preserve"> Pecuário</v>
          </cell>
        </row>
        <row r="8">
          <cell r="A8">
            <v>655</v>
          </cell>
          <cell r="B8">
            <v>655</v>
          </cell>
          <cell r="C8" t="str">
            <v xml:space="preserve"> SEGURO AGRICOLA SEM COBERTURA DO FESR</v>
          </cell>
        </row>
        <row r="9">
          <cell r="A9">
            <v>656</v>
          </cell>
          <cell r="B9">
            <v>656</v>
          </cell>
          <cell r="C9" t="str">
            <v xml:space="preserve"> SEGURO AGRICOLA COM COBERTURA DO FESR</v>
          </cell>
        </row>
        <row r="10">
          <cell r="A10">
            <v>657</v>
          </cell>
          <cell r="B10">
            <v>657</v>
          </cell>
          <cell r="C10" t="str">
            <v xml:space="preserve"> SEGURO FLORESTAS SEM COBERTURA DO FESR</v>
          </cell>
        </row>
        <row r="11">
          <cell r="A11">
            <v>658</v>
          </cell>
          <cell r="B11">
            <v>658</v>
          </cell>
          <cell r="C11" t="str">
            <v xml:space="preserve"> SEGURO FLORESTAS COM COBERTURA DO FESR</v>
          </cell>
        </row>
        <row r="12">
          <cell r="A12">
            <v>659</v>
          </cell>
          <cell r="B12">
            <v>659</v>
          </cell>
          <cell r="C12" t="str">
            <v xml:space="preserve"> BENFEITORIAS PRODUTOS AGROPECUARIOS</v>
          </cell>
        </row>
        <row r="13">
          <cell r="A13">
            <v>660</v>
          </cell>
          <cell r="B13">
            <v>660</v>
          </cell>
          <cell r="C13" t="str">
            <v xml:space="preserve"> PENHOR RURAL</v>
          </cell>
        </row>
        <row r="14">
          <cell r="A14">
            <v>670</v>
          </cell>
          <cell r="B14">
            <v>670</v>
          </cell>
          <cell r="C14" t="str">
            <v xml:space="preserve"> SEGURO PECUARIO SEM COB.FESR</v>
          </cell>
        </row>
        <row r="15">
          <cell r="A15">
            <v>671</v>
          </cell>
          <cell r="B15">
            <v>671</v>
          </cell>
          <cell r="C15" t="str">
            <v xml:space="preserve"> SEGURO PECUARIO COM COB.FESR</v>
          </cell>
        </row>
        <row r="16">
          <cell r="A16">
            <v>672</v>
          </cell>
          <cell r="B16">
            <v>672</v>
          </cell>
          <cell r="C16" t="str">
            <v xml:space="preserve"> BENFEITORIAS PRODUTOS AGROPECUARIOS</v>
          </cell>
        </row>
        <row r="17">
          <cell r="A17">
            <v>673</v>
          </cell>
          <cell r="B17">
            <v>673</v>
          </cell>
          <cell r="C17" t="str">
            <v xml:space="preserve"> PENHOR RURAL</v>
          </cell>
        </row>
        <row r="18">
          <cell r="A18">
            <v>801</v>
          </cell>
          <cell r="B18">
            <v>801</v>
          </cell>
          <cell r="C18" t="str">
            <v xml:space="preserve"> Roubo</v>
          </cell>
        </row>
        <row r="19">
          <cell r="A19">
            <v>1221</v>
          </cell>
          <cell r="B19">
            <v>1221</v>
          </cell>
          <cell r="C19" t="str">
            <v xml:space="preserve"> Autogroup </v>
          </cell>
        </row>
        <row r="20">
          <cell r="A20">
            <v>1222</v>
          </cell>
          <cell r="B20">
            <v>1222</v>
          </cell>
          <cell r="C20" t="str">
            <v xml:space="preserve"> Autogroup </v>
          </cell>
        </row>
        <row r="21">
          <cell r="A21">
            <v>1223</v>
          </cell>
          <cell r="B21">
            <v>1223</v>
          </cell>
          <cell r="C21" t="str">
            <v xml:space="preserve"> Autogroup </v>
          </cell>
        </row>
        <row r="22">
          <cell r="A22">
            <v>1224</v>
          </cell>
          <cell r="B22">
            <v>1224</v>
          </cell>
          <cell r="C22" t="str">
            <v xml:space="preserve"> Autogroup </v>
          </cell>
        </row>
        <row r="23">
          <cell r="A23">
            <v>1211</v>
          </cell>
          <cell r="B23">
            <v>1211</v>
          </cell>
          <cell r="C23" t="str">
            <v xml:space="preserve"> Automóvel</v>
          </cell>
        </row>
        <row r="24">
          <cell r="A24">
            <v>1212</v>
          </cell>
          <cell r="B24">
            <v>1212</v>
          </cell>
          <cell r="C24" t="str">
            <v xml:space="preserve"> Moto</v>
          </cell>
        </row>
        <row r="25">
          <cell r="A25">
            <v>1213</v>
          </cell>
          <cell r="B25">
            <v>1213</v>
          </cell>
          <cell r="C25" t="str">
            <v xml:space="preserve"> Caminhão</v>
          </cell>
        </row>
        <row r="26">
          <cell r="A26">
            <v>342</v>
          </cell>
          <cell r="B26">
            <v>342</v>
          </cell>
          <cell r="C26" t="str">
            <v xml:space="preserve"> RESPONSABILIDADE CIVIL HANGAR AGCS</v>
          </cell>
        </row>
        <row r="27">
          <cell r="A27">
            <v>351</v>
          </cell>
          <cell r="B27">
            <v>351</v>
          </cell>
          <cell r="C27" t="str">
            <v xml:space="preserve"> RESPONSABILIDADE CIVIL HANGAR AGCS</v>
          </cell>
        </row>
        <row r="28">
          <cell r="A28">
            <v>352</v>
          </cell>
          <cell r="B28">
            <v>352</v>
          </cell>
          <cell r="C28" t="str">
            <v xml:space="preserve"> SATELITES AGCS</v>
          </cell>
        </row>
        <row r="29">
          <cell r="A29">
            <v>380</v>
          </cell>
          <cell r="B29">
            <v>380</v>
          </cell>
          <cell r="C29" t="str">
            <v xml:space="preserve"> Satélite AGCS</v>
          </cell>
        </row>
        <row r="30">
          <cell r="A30">
            <v>1130</v>
          </cell>
          <cell r="B30">
            <v>1130</v>
          </cell>
          <cell r="C30" t="str">
            <v xml:space="preserve"> Engenharia AGCS</v>
          </cell>
        </row>
        <row r="31">
          <cell r="A31">
            <v>1140</v>
          </cell>
          <cell r="B31">
            <v>1140</v>
          </cell>
          <cell r="C31" t="str">
            <v xml:space="preserve"> RISCOS DE ENGENHARIA AGCS</v>
          </cell>
        </row>
        <row r="32">
          <cell r="A32">
            <v>1430</v>
          </cell>
          <cell r="B32">
            <v>1430</v>
          </cell>
          <cell r="C32" t="str">
            <v xml:space="preserve"> RC Geral AGCS</v>
          </cell>
        </row>
        <row r="33">
          <cell r="A33">
            <v>1434</v>
          </cell>
          <cell r="B33">
            <v>1434</v>
          </cell>
          <cell r="C33" t="str">
            <v xml:space="preserve"> Riscos Ambientais AGCS</v>
          </cell>
        </row>
        <row r="34">
          <cell r="A34">
            <v>1435</v>
          </cell>
          <cell r="B34">
            <v>1435</v>
          </cell>
          <cell r="C34" t="str">
            <v xml:space="preserve"> RC All Risks AGCS</v>
          </cell>
        </row>
        <row r="35">
          <cell r="A35">
            <v>1440</v>
          </cell>
          <cell r="B35">
            <v>1440</v>
          </cell>
          <cell r="C35" t="str">
            <v xml:space="preserve"> RESPONSABILIDADE CIVIL DE ADMINISTRADORES E DIRETORES (D&amp;O)</v>
          </cell>
        </row>
        <row r="36">
          <cell r="A36">
            <v>1441</v>
          </cell>
          <cell r="B36">
            <v>1441</v>
          </cell>
          <cell r="C36" t="str">
            <v xml:space="preserve"> RESPONSABILIDADE CIVIL GERAL AGCS</v>
          </cell>
        </row>
        <row r="37">
          <cell r="A37">
            <v>1442</v>
          </cell>
          <cell r="B37">
            <v>1442</v>
          </cell>
          <cell r="C37" t="str">
            <v xml:space="preserve"> RESPONSABILIDADE CIVIL PROFISSIONAL AGCS</v>
          </cell>
        </row>
        <row r="38">
          <cell r="A38">
            <v>2030</v>
          </cell>
          <cell r="B38">
            <v>2030</v>
          </cell>
          <cell r="C38" t="str">
            <v xml:space="preserve"> RN AGCS</v>
          </cell>
        </row>
        <row r="39">
          <cell r="A39">
            <v>2031</v>
          </cell>
          <cell r="B39">
            <v>2031</v>
          </cell>
          <cell r="C39" t="str">
            <v xml:space="preserve"> RO AGCS</v>
          </cell>
        </row>
        <row r="40">
          <cell r="A40">
            <v>2032</v>
          </cell>
          <cell r="B40">
            <v>2032</v>
          </cell>
          <cell r="C40" t="str">
            <v xml:space="preserve"> Riscos de Petroleo AGCS</v>
          </cell>
        </row>
        <row r="41">
          <cell r="A41">
            <v>2033</v>
          </cell>
          <cell r="B41">
            <v>2033</v>
          </cell>
          <cell r="C41" t="str">
            <v xml:space="preserve"> Clima AGCS</v>
          </cell>
        </row>
        <row r="42">
          <cell r="A42">
            <v>2035</v>
          </cell>
          <cell r="B42">
            <v>2035</v>
          </cell>
          <cell r="C42" t="str">
            <v xml:space="preserve"> Riscos Cibernéticos AGCS</v>
          </cell>
        </row>
        <row r="43">
          <cell r="A43">
            <v>2042</v>
          </cell>
          <cell r="B43">
            <v>2042</v>
          </cell>
          <cell r="C43" t="str">
            <v xml:space="preserve"> RISCOS DE PETROLEO AGCS</v>
          </cell>
        </row>
        <row r="44">
          <cell r="A44">
            <v>2043</v>
          </cell>
          <cell r="B44">
            <v>2043</v>
          </cell>
          <cell r="C44" t="str">
            <v xml:space="preserve"> FM Global</v>
          </cell>
        </row>
        <row r="45">
          <cell r="A45">
            <v>2044</v>
          </cell>
          <cell r="B45">
            <v>2044</v>
          </cell>
          <cell r="C45" t="str">
            <v xml:space="preserve"> RISCOS NOMEADOS E OPERACIONAIS AGCS</v>
          </cell>
        </row>
        <row r="46">
          <cell r="A46">
            <v>357</v>
          </cell>
          <cell r="B46">
            <v>357</v>
          </cell>
          <cell r="C46" t="str">
            <v xml:space="preserve"> RESPONSABILIDADE CIVIL HANGAR</v>
          </cell>
        </row>
        <row r="47">
          <cell r="A47">
            <v>369</v>
          </cell>
          <cell r="B47">
            <v>369</v>
          </cell>
          <cell r="C47" t="str">
            <v xml:space="preserve"> RESPONSABILIDADE CIVIL HANGAR</v>
          </cell>
        </row>
        <row r="48">
          <cell r="A48">
            <v>370</v>
          </cell>
          <cell r="B48">
            <v>370</v>
          </cell>
          <cell r="C48" t="str">
            <v xml:space="preserve"> SATELITES</v>
          </cell>
        </row>
        <row r="49">
          <cell r="A49">
            <v>455</v>
          </cell>
          <cell r="B49">
            <v>455</v>
          </cell>
          <cell r="C49" t="str">
            <v xml:space="preserve"> INCENDIO TRADICIONAL</v>
          </cell>
        </row>
        <row r="50">
          <cell r="A50">
            <v>661</v>
          </cell>
          <cell r="B50">
            <v>661</v>
          </cell>
          <cell r="C50" t="str">
            <v xml:space="preserve"> SEGUROS ANIMAIS</v>
          </cell>
        </row>
        <row r="51">
          <cell r="A51">
            <v>802</v>
          </cell>
          <cell r="B51">
            <v>802</v>
          </cell>
          <cell r="C51" t="str">
            <v xml:space="preserve"> Roubo</v>
          </cell>
        </row>
        <row r="52">
          <cell r="A52">
            <v>855</v>
          </cell>
          <cell r="B52">
            <v>855</v>
          </cell>
          <cell r="C52" t="str">
            <v xml:space="preserve"> ROUBO</v>
          </cell>
        </row>
        <row r="53">
          <cell r="A53">
            <v>1101</v>
          </cell>
          <cell r="B53">
            <v>1101</v>
          </cell>
          <cell r="C53" t="str">
            <v xml:space="preserve"> Engenharia</v>
          </cell>
        </row>
        <row r="54">
          <cell r="A54">
            <v>1102</v>
          </cell>
          <cell r="B54">
            <v>1102</v>
          </cell>
          <cell r="C54" t="str">
            <v xml:space="preserve"> Allianz Equipamentos</v>
          </cell>
        </row>
        <row r="55">
          <cell r="A55">
            <v>1103</v>
          </cell>
          <cell r="B55">
            <v>1103</v>
          </cell>
          <cell r="C55" t="str">
            <v xml:space="preserve"> Construção</v>
          </cell>
        </row>
        <row r="56">
          <cell r="A56">
            <v>1104</v>
          </cell>
          <cell r="B56">
            <v>1104</v>
          </cell>
          <cell r="C56" t="str">
            <v xml:space="preserve"> Garantia MandatÃ³ria</v>
          </cell>
        </row>
        <row r="57">
          <cell r="A57">
            <v>1155</v>
          </cell>
          <cell r="B57">
            <v>1155</v>
          </cell>
          <cell r="C57" t="str">
            <v xml:space="preserve"> RISCOS DE ENGENHARIA</v>
          </cell>
        </row>
        <row r="58">
          <cell r="A58">
            <v>1214</v>
          </cell>
          <cell r="B58">
            <v>1214</v>
          </cell>
          <cell r="C58" t="str">
            <v xml:space="preserve"> Garantia Estendida</v>
          </cell>
        </row>
        <row r="59">
          <cell r="A59">
            <v>1267</v>
          </cell>
          <cell r="B59">
            <v>1267</v>
          </cell>
          <cell r="C59" t="str">
            <v xml:space="preserve"> RESPONSABILIDADE CIVIL FACULTATIVA</v>
          </cell>
        </row>
        <row r="60">
          <cell r="A60">
            <v>1401</v>
          </cell>
          <cell r="B60">
            <v>1401</v>
          </cell>
          <cell r="C60" t="str">
            <v xml:space="preserve"> RC Facility</v>
          </cell>
        </row>
        <row r="61">
          <cell r="A61">
            <v>1402</v>
          </cell>
          <cell r="B61">
            <v>1402</v>
          </cell>
          <cell r="C61" t="str">
            <v xml:space="preserve"> RC Geral</v>
          </cell>
        </row>
        <row r="62">
          <cell r="A62">
            <v>1403</v>
          </cell>
          <cell r="B62">
            <v>1403</v>
          </cell>
          <cell r="C62" t="str">
            <v xml:space="preserve"> Responsabilidade Civil Geral </v>
          </cell>
        </row>
        <row r="63">
          <cell r="A63">
            <v>1436</v>
          </cell>
          <cell r="B63">
            <v>1436</v>
          </cell>
          <cell r="C63" t="str">
            <v xml:space="preserve"> RC Profissional PME</v>
          </cell>
        </row>
        <row r="64">
          <cell r="A64">
            <v>1455</v>
          </cell>
          <cell r="B64">
            <v>1455</v>
          </cell>
          <cell r="C64" t="str">
            <v xml:space="preserve"> RESPONSABILIDADE CIVIL DE ADMINISTRADORES E DIRETORES (D&amp;O)</v>
          </cell>
        </row>
        <row r="65">
          <cell r="A65">
            <v>1456</v>
          </cell>
          <cell r="B65">
            <v>1456</v>
          </cell>
          <cell r="C65" t="str">
            <v xml:space="preserve"> RESPONSABILIDADE CIVIL GERAL</v>
          </cell>
        </row>
        <row r="66">
          <cell r="A66">
            <v>1457</v>
          </cell>
          <cell r="B66">
            <v>1457</v>
          </cell>
          <cell r="C66" t="str">
            <v xml:space="preserve"> RESPONSABILIDADE CIVIL PROFISSIONAL</v>
          </cell>
        </row>
        <row r="67">
          <cell r="A67">
            <v>1502</v>
          </cell>
          <cell r="B67">
            <v>1502</v>
          </cell>
          <cell r="C67" t="str">
            <v xml:space="preserve"> Garantía</v>
          </cell>
        </row>
        <row r="68">
          <cell r="A68">
            <v>1555</v>
          </cell>
          <cell r="B68">
            <v>1555</v>
          </cell>
          <cell r="C68" t="str">
            <v xml:space="preserve"> GARANTIA DE OBRIGACOES PRIVADAS</v>
          </cell>
        </row>
        <row r="69">
          <cell r="A69">
            <v>1557</v>
          </cell>
          <cell r="B69">
            <v>1557</v>
          </cell>
          <cell r="C69" t="str">
            <v xml:space="preserve"> GARANTIA DE OBRIGACOES PUBLICAS</v>
          </cell>
        </row>
        <row r="70">
          <cell r="A70">
            <v>1560</v>
          </cell>
          <cell r="B70">
            <v>1560</v>
          </cell>
          <cell r="C70" t="str">
            <v xml:space="preserve"> GARANTIA DE CONCESSOES PUBLICAS</v>
          </cell>
        </row>
        <row r="71">
          <cell r="A71">
            <v>1561</v>
          </cell>
          <cell r="B71">
            <v>1561</v>
          </cell>
          <cell r="C71" t="str">
            <v xml:space="preserve"> GARANTIA JUDICIAL</v>
          </cell>
        </row>
        <row r="72">
          <cell r="A72">
            <v>1562</v>
          </cell>
          <cell r="B72">
            <v>1562</v>
          </cell>
          <cell r="C72" t="str">
            <v xml:space="preserve"> GARANTIA DE OBRIG.PUBLICAS</v>
          </cell>
        </row>
        <row r="73">
          <cell r="A73">
            <v>1563</v>
          </cell>
          <cell r="B73">
            <v>1563</v>
          </cell>
          <cell r="C73" t="str">
            <v xml:space="preserve"> GARANTIA DE OBRIG.PRIVADAS</v>
          </cell>
        </row>
        <row r="74">
          <cell r="A74">
            <v>2005</v>
          </cell>
          <cell r="B74">
            <v>2005</v>
          </cell>
          <cell r="C74" t="str">
            <v xml:space="preserve"> Master</v>
          </cell>
        </row>
        <row r="75">
          <cell r="A75">
            <v>2006</v>
          </cell>
          <cell r="B75">
            <v>2006</v>
          </cell>
          <cell r="C75" t="str">
            <v xml:space="preserve"> Riscos Diversos</v>
          </cell>
        </row>
        <row r="76">
          <cell r="A76">
            <v>2007</v>
          </cell>
          <cell r="B76">
            <v>2007</v>
          </cell>
          <cell r="C76" t="str">
            <v xml:space="preserve"> RN</v>
          </cell>
        </row>
        <row r="77">
          <cell r="A77">
            <v>2008</v>
          </cell>
          <cell r="B77">
            <v>2008</v>
          </cell>
          <cell r="C77" t="str">
            <v xml:space="preserve"> RO</v>
          </cell>
        </row>
        <row r="78">
          <cell r="A78">
            <v>2009</v>
          </cell>
          <cell r="B78">
            <v>2009</v>
          </cell>
          <cell r="C78" t="str">
            <v xml:space="preserve"> Riscos de Petroleo</v>
          </cell>
        </row>
        <row r="79">
          <cell r="A79">
            <v>2025</v>
          </cell>
          <cell r="B79">
            <v>2025</v>
          </cell>
          <cell r="C79" t="str">
            <v xml:space="preserve"> Empresa Corporate</v>
          </cell>
        </row>
        <row r="80">
          <cell r="A80">
            <v>2058</v>
          </cell>
          <cell r="B80">
            <v>2058</v>
          </cell>
          <cell r="C80" t="str">
            <v xml:space="preserve"> RISCOS DIVERSOS </v>
          </cell>
        </row>
        <row r="81">
          <cell r="A81">
            <v>2059</v>
          </cell>
          <cell r="B81">
            <v>2059</v>
          </cell>
          <cell r="C81" t="str">
            <v xml:space="preserve"> RISCOS DIVERSOS </v>
          </cell>
        </row>
        <row r="82">
          <cell r="A82">
            <v>2060</v>
          </cell>
          <cell r="B82">
            <v>2060</v>
          </cell>
          <cell r="C82" t="str">
            <v xml:space="preserve"> RISCOS DIVERSOS </v>
          </cell>
        </row>
        <row r="83">
          <cell r="A83">
            <v>2061</v>
          </cell>
          <cell r="B83">
            <v>2061</v>
          </cell>
          <cell r="C83" t="str">
            <v xml:space="preserve"> RISCOS DIVERSOS </v>
          </cell>
        </row>
        <row r="84">
          <cell r="A84">
            <v>2063</v>
          </cell>
          <cell r="B84">
            <v>2063</v>
          </cell>
          <cell r="C84" t="str">
            <v xml:space="preserve"> RISCOS NOMEADOS E OPERACIONAIS</v>
          </cell>
        </row>
        <row r="85">
          <cell r="A85">
            <v>2064</v>
          </cell>
          <cell r="B85">
            <v>2064</v>
          </cell>
          <cell r="C85" t="str">
            <v xml:space="preserve"> RISCOS DE PETROLEO</v>
          </cell>
        </row>
        <row r="86">
          <cell r="A86">
            <v>2065</v>
          </cell>
          <cell r="B86">
            <v>2065</v>
          </cell>
          <cell r="C86" t="str">
            <v xml:space="preserve"> RISCOS DIVERSOS </v>
          </cell>
        </row>
        <row r="87">
          <cell r="A87">
            <v>2089</v>
          </cell>
          <cell r="B87">
            <v>2089</v>
          </cell>
          <cell r="C87" t="str">
            <v xml:space="preserve"> TRADICIONAL              </v>
          </cell>
        </row>
        <row r="88">
          <cell r="A88">
            <v>1229</v>
          </cell>
          <cell r="B88">
            <v>1229</v>
          </cell>
          <cell r="C88" t="str">
            <v xml:space="preserve"> Assistência Caminhão</v>
          </cell>
        </row>
        <row r="89">
          <cell r="A89">
            <v>1230</v>
          </cell>
          <cell r="B89">
            <v>1230</v>
          </cell>
          <cell r="C89" t="str">
            <v xml:space="preserve"> Assistência Automóvel</v>
          </cell>
        </row>
        <row r="90">
          <cell r="A90">
            <v>1232</v>
          </cell>
          <cell r="B90">
            <v>1232</v>
          </cell>
          <cell r="C90" t="str">
            <v xml:space="preserve"> Assistência Frota</v>
          </cell>
        </row>
        <row r="91">
          <cell r="A91">
            <v>1233</v>
          </cell>
          <cell r="B91">
            <v>1233</v>
          </cell>
          <cell r="C91" t="str">
            <v xml:space="preserve"> Assistência Moto</v>
          </cell>
        </row>
        <row r="92">
          <cell r="A92">
            <v>1255</v>
          </cell>
          <cell r="B92">
            <v>1255</v>
          </cell>
          <cell r="C92" t="str">
            <v xml:space="preserve"> CARTA VERDE</v>
          </cell>
        </row>
        <row r="93">
          <cell r="A93">
            <v>1256</v>
          </cell>
          <cell r="B93">
            <v>1256</v>
          </cell>
          <cell r="C93" t="str">
            <v xml:space="preserve"> Passeio  Individual</v>
          </cell>
        </row>
        <row r="94">
          <cell r="A94">
            <v>1257</v>
          </cell>
          <cell r="B94">
            <v>1257</v>
          </cell>
          <cell r="C94" t="str">
            <v xml:space="preserve"> Moto  Individual</v>
          </cell>
        </row>
        <row r="95">
          <cell r="A95">
            <v>1258</v>
          </cell>
          <cell r="B95">
            <v>1258</v>
          </cell>
          <cell r="C95" t="str">
            <v xml:space="preserve"> Caminhão  Individual</v>
          </cell>
        </row>
        <row r="96">
          <cell r="A96">
            <v>1259</v>
          </cell>
          <cell r="B96">
            <v>1259</v>
          </cell>
          <cell r="C96" t="str">
            <v xml:space="preserve"> Modelos Especiais </v>
          </cell>
        </row>
        <row r="97">
          <cell r="A97">
            <v>1260</v>
          </cell>
          <cell r="B97">
            <v>1260</v>
          </cell>
          <cell r="C97" t="str">
            <v xml:space="preserve"> Passeio  Frota</v>
          </cell>
        </row>
        <row r="98">
          <cell r="A98">
            <v>1261</v>
          </cell>
          <cell r="B98">
            <v>1261</v>
          </cell>
          <cell r="C98" t="str">
            <v xml:space="preserve"> Moto  Frota</v>
          </cell>
        </row>
        <row r="99">
          <cell r="A99">
            <v>1262</v>
          </cell>
          <cell r="B99">
            <v>1262</v>
          </cell>
          <cell r="C99" t="str">
            <v xml:space="preserve"> Caminhão  Frota</v>
          </cell>
        </row>
        <row r="100">
          <cell r="A100">
            <v>1263</v>
          </cell>
          <cell r="B100">
            <v>1263</v>
          </cell>
          <cell r="C100" t="str">
            <v xml:space="preserve"> Modelos Especiais </v>
          </cell>
        </row>
        <row r="101">
          <cell r="A101">
            <v>1266</v>
          </cell>
          <cell r="B101">
            <v>1266</v>
          </cell>
          <cell r="C101" t="str">
            <v xml:space="preserve"> DANOS PESSOAIS</v>
          </cell>
        </row>
        <row r="102">
          <cell r="A102">
            <v>1271</v>
          </cell>
          <cell r="B102">
            <v>1271</v>
          </cell>
          <cell r="C102" t="str">
            <v xml:space="preserve"> Automóvel Fast Track</v>
          </cell>
        </row>
        <row r="103">
          <cell r="A103">
            <v>1272</v>
          </cell>
          <cell r="B103">
            <v>1272</v>
          </cell>
          <cell r="C103" t="str">
            <v xml:space="preserve"> Moto Fast Track</v>
          </cell>
        </row>
        <row r="104">
          <cell r="A104">
            <v>1273</v>
          </cell>
          <cell r="B104">
            <v>1273</v>
          </cell>
          <cell r="C104" t="str">
            <v xml:space="preserve"> Caminhão Fast Track</v>
          </cell>
        </row>
        <row r="105">
          <cell r="A105">
            <v>1570</v>
          </cell>
          <cell r="B105">
            <v>1570</v>
          </cell>
          <cell r="C105" t="str">
            <v xml:space="preserve"> CREDITO INTERNO</v>
          </cell>
        </row>
        <row r="106">
          <cell r="A106">
            <v>1755</v>
          </cell>
          <cell r="B106">
            <v>1755</v>
          </cell>
          <cell r="C106" t="str">
            <v xml:space="preserve"> LUCROS CESSANTES</v>
          </cell>
        </row>
        <row r="107">
          <cell r="A107">
            <v>2001</v>
          </cell>
          <cell r="B107">
            <v>2001</v>
          </cell>
          <cell r="C107" t="str">
            <v xml:space="preserve"> Residencia</v>
          </cell>
        </row>
        <row r="108">
          <cell r="A108">
            <v>2002</v>
          </cell>
          <cell r="B108">
            <v>2002</v>
          </cell>
          <cell r="C108" t="str">
            <v xml:space="preserve"> Condomínio</v>
          </cell>
        </row>
        <row r="109">
          <cell r="A109">
            <v>2003</v>
          </cell>
          <cell r="B109">
            <v>2003</v>
          </cell>
          <cell r="C109" t="str">
            <v xml:space="preserve"> Imobiliária</v>
          </cell>
        </row>
        <row r="110">
          <cell r="A110">
            <v>2004</v>
          </cell>
          <cell r="B110">
            <v>2004</v>
          </cell>
          <cell r="C110" t="str">
            <v xml:space="preserve"> Empresa</v>
          </cell>
        </row>
        <row r="111">
          <cell r="A111">
            <v>2010</v>
          </cell>
          <cell r="B111">
            <v>2010</v>
          </cell>
          <cell r="C111" t="str">
            <v xml:space="preserve"> Habitacional  Global de Bancos</v>
          </cell>
        </row>
        <row r="112">
          <cell r="A112">
            <v>2011</v>
          </cell>
          <cell r="B112">
            <v>2011</v>
          </cell>
          <cell r="C112" t="str">
            <v xml:space="preserve"> Fiança Locaticia</v>
          </cell>
        </row>
        <row r="113">
          <cell r="A113">
            <v>2013</v>
          </cell>
          <cell r="B113">
            <v>2013</v>
          </cell>
          <cell r="C113" t="str">
            <v xml:space="preserve"> Residencia Digital</v>
          </cell>
        </row>
        <row r="114">
          <cell r="A114">
            <v>2020</v>
          </cell>
          <cell r="B114">
            <v>2020</v>
          </cell>
          <cell r="C114" t="str">
            <v xml:space="preserve"> Assistência Residência</v>
          </cell>
        </row>
        <row r="115">
          <cell r="A115">
            <v>2021</v>
          </cell>
          <cell r="B115">
            <v>2021</v>
          </cell>
          <cell r="C115" t="str">
            <v xml:space="preserve"> Assistência Condominio</v>
          </cell>
        </row>
        <row r="116">
          <cell r="A116">
            <v>2022</v>
          </cell>
          <cell r="B116">
            <v>2022</v>
          </cell>
          <cell r="C116" t="str">
            <v xml:space="preserve"> Assistência Empresa</v>
          </cell>
        </row>
        <row r="117">
          <cell r="A117">
            <v>2024</v>
          </cell>
          <cell r="B117">
            <v>2024</v>
          </cell>
          <cell r="C117" t="str">
            <v xml:space="preserve"> Empresa PME</v>
          </cell>
        </row>
        <row r="118">
          <cell r="A118">
            <v>2041</v>
          </cell>
          <cell r="B118">
            <v>2041</v>
          </cell>
          <cell r="C118" t="str">
            <v xml:space="preserve"> Global de Banco</v>
          </cell>
        </row>
        <row r="119">
          <cell r="A119">
            <v>2055</v>
          </cell>
          <cell r="B119">
            <v>2055</v>
          </cell>
          <cell r="C119" t="str">
            <v xml:space="preserve"> COMPREENSIVO RESIDENCIAL</v>
          </cell>
        </row>
        <row r="120">
          <cell r="A120">
            <v>2056</v>
          </cell>
          <cell r="B120">
            <v>2056</v>
          </cell>
          <cell r="C120" t="str">
            <v xml:space="preserve"> COMPREENSIVO CONDOMINIO</v>
          </cell>
        </row>
        <row r="121">
          <cell r="A121">
            <v>2057</v>
          </cell>
          <cell r="B121">
            <v>2057</v>
          </cell>
          <cell r="C121" t="str">
            <v xml:space="preserve"> COMPREENSIVO EMPRESARIAL</v>
          </cell>
        </row>
        <row r="122">
          <cell r="A122">
            <v>2062</v>
          </cell>
          <cell r="B122">
            <v>2062</v>
          </cell>
          <cell r="C122" t="str">
            <v xml:space="preserve"> GLOBAL DE BANCOS</v>
          </cell>
        </row>
        <row r="123">
          <cell r="A123">
            <v>2066</v>
          </cell>
          <cell r="B123">
            <v>2066</v>
          </cell>
          <cell r="C123" t="str">
            <v xml:space="preserve"> SEGURO HABITACIONAL DO SISTEMA FINANCEIRO DA HABITACAO</v>
          </cell>
        </row>
        <row r="124">
          <cell r="A124">
            <v>2067</v>
          </cell>
          <cell r="B124">
            <v>2067</v>
          </cell>
          <cell r="C124" t="str">
            <v xml:space="preserve"> HABITACIONAL </v>
          </cell>
        </row>
        <row r="125">
          <cell r="A125">
            <v>2068</v>
          </cell>
          <cell r="B125">
            <v>2068</v>
          </cell>
          <cell r="C125" t="str">
            <v xml:space="preserve"> FIANCA LOCATICIA</v>
          </cell>
        </row>
        <row r="126">
          <cell r="A126">
            <v>201</v>
          </cell>
          <cell r="B126">
            <v>201</v>
          </cell>
          <cell r="C126" t="str">
            <v xml:space="preserve"> Saúde GG</v>
          </cell>
        </row>
        <row r="127">
          <cell r="A127">
            <v>202</v>
          </cell>
          <cell r="B127">
            <v>202</v>
          </cell>
          <cell r="C127" t="str">
            <v xml:space="preserve"> Saúde PME</v>
          </cell>
        </row>
        <row r="128">
          <cell r="A128">
            <v>203</v>
          </cell>
          <cell r="B128">
            <v>203</v>
          </cell>
          <cell r="C128" t="str">
            <v xml:space="preserve"> Saúde Administrado</v>
          </cell>
        </row>
        <row r="129">
          <cell r="A129">
            <v>204</v>
          </cell>
          <cell r="B129">
            <v>204</v>
          </cell>
          <cell r="C129" t="str">
            <v xml:space="preserve"> Saúde CAS</v>
          </cell>
        </row>
        <row r="130">
          <cell r="A130">
            <v>330</v>
          </cell>
          <cell r="B130">
            <v>330</v>
          </cell>
          <cell r="C130" t="str">
            <v xml:space="preserve"> Náutica AGCS</v>
          </cell>
        </row>
        <row r="131">
          <cell r="A131">
            <v>331</v>
          </cell>
          <cell r="B131">
            <v>331</v>
          </cell>
          <cell r="C131" t="str">
            <v xml:space="preserve"> Cascos AGCS</v>
          </cell>
        </row>
        <row r="132">
          <cell r="A132">
            <v>332</v>
          </cell>
          <cell r="B132">
            <v>332</v>
          </cell>
          <cell r="C132" t="str">
            <v xml:space="preserve"> Aeronáutico </v>
          </cell>
        </row>
        <row r="133">
          <cell r="A133">
            <v>333</v>
          </cell>
          <cell r="B133">
            <v>333</v>
          </cell>
          <cell r="C133" t="str">
            <v xml:space="preserve"> Aero AGCS</v>
          </cell>
        </row>
        <row r="134">
          <cell r="A134">
            <v>334</v>
          </cell>
          <cell r="B134">
            <v>334</v>
          </cell>
          <cell r="C134" t="str">
            <v xml:space="preserve"> Cargo Import/Export AGCS</v>
          </cell>
        </row>
        <row r="135">
          <cell r="A135">
            <v>335</v>
          </cell>
          <cell r="B135">
            <v>335</v>
          </cell>
          <cell r="C135" t="str">
            <v xml:space="preserve"> Transporte Internacional </v>
          </cell>
        </row>
        <row r="136">
          <cell r="A136">
            <v>336</v>
          </cell>
          <cell r="B136">
            <v>336</v>
          </cell>
          <cell r="C136" t="str">
            <v xml:space="preserve"> Transporte Nacional AGCS</v>
          </cell>
        </row>
        <row r="137">
          <cell r="A137">
            <v>337</v>
          </cell>
          <cell r="B137">
            <v>337</v>
          </cell>
          <cell r="C137" t="str">
            <v xml:space="preserve"> RCTR</v>
          </cell>
        </row>
        <row r="138">
          <cell r="A138">
            <v>338</v>
          </cell>
          <cell r="B138">
            <v>338</v>
          </cell>
          <cell r="C138" t="str">
            <v xml:space="preserve"> Transporte Internacional </v>
          </cell>
        </row>
        <row r="139">
          <cell r="A139">
            <v>340</v>
          </cell>
          <cell r="B139">
            <v>340</v>
          </cell>
          <cell r="C139" t="str">
            <v xml:space="preserve"> MARITIMOS AGCS</v>
          </cell>
        </row>
        <row r="140">
          <cell r="A140">
            <v>341</v>
          </cell>
          <cell r="B140">
            <v>341</v>
          </cell>
          <cell r="C140" t="str">
            <v xml:space="preserve"> AERONAUTICOS AGCS</v>
          </cell>
        </row>
        <row r="141">
          <cell r="A141">
            <v>343</v>
          </cell>
          <cell r="B141">
            <v>343</v>
          </cell>
          <cell r="C141" t="str">
            <v xml:space="preserve"> TRANSPORTE NACIONAL AGCS</v>
          </cell>
        </row>
        <row r="142">
          <cell r="A142">
            <v>344</v>
          </cell>
          <cell r="B142">
            <v>344</v>
          </cell>
          <cell r="C142" t="str">
            <v xml:space="preserve"> TRANSPORTE INTERNACIONAL AGCS</v>
          </cell>
        </row>
        <row r="143">
          <cell r="A143">
            <v>346</v>
          </cell>
          <cell r="B143">
            <v>346</v>
          </cell>
          <cell r="C143" t="str">
            <v xml:space="preserve"> RESPONSABILIDADE CIVIL DO TRANSPORTADOR RODOVIARIO CARGA AGC</v>
          </cell>
        </row>
        <row r="144">
          <cell r="A144">
            <v>348</v>
          </cell>
          <cell r="B144">
            <v>348</v>
          </cell>
          <cell r="C144" t="str">
            <v xml:space="preserve"> SEGURO COMPREENSIVO PARA OPERADORES PORTUARIOS AGCS</v>
          </cell>
        </row>
        <row r="145">
          <cell r="A145">
            <v>349</v>
          </cell>
          <cell r="B145">
            <v>349</v>
          </cell>
          <cell r="C145" t="str">
            <v xml:space="preserve"> MARITIMOS  AGCS</v>
          </cell>
        </row>
        <row r="146">
          <cell r="A146">
            <v>350</v>
          </cell>
          <cell r="B146">
            <v>350</v>
          </cell>
          <cell r="C146" t="str">
            <v xml:space="preserve"> AERONAUTICOS AGCS</v>
          </cell>
        </row>
        <row r="147">
          <cell r="A147">
            <v>372</v>
          </cell>
          <cell r="B147">
            <v>372</v>
          </cell>
          <cell r="C147" t="str">
            <v xml:space="preserve"> Allianz Transporte RCTF</v>
          </cell>
        </row>
        <row r="148">
          <cell r="A148">
            <v>301</v>
          </cell>
          <cell r="B148">
            <v>301</v>
          </cell>
          <cell r="C148" t="str">
            <v xml:space="preserve"> Aeronáutico </v>
          </cell>
        </row>
        <row r="149">
          <cell r="A149">
            <v>302</v>
          </cell>
          <cell r="B149">
            <v>302</v>
          </cell>
          <cell r="C149" t="str">
            <v xml:space="preserve"> Aero</v>
          </cell>
        </row>
        <row r="150">
          <cell r="A150">
            <v>303</v>
          </cell>
          <cell r="B150">
            <v>303</v>
          </cell>
          <cell r="C150" t="str">
            <v xml:space="preserve"> Náutica</v>
          </cell>
        </row>
        <row r="151">
          <cell r="A151">
            <v>304</v>
          </cell>
          <cell r="B151">
            <v>304</v>
          </cell>
          <cell r="C151" t="str">
            <v xml:space="preserve"> Cascos</v>
          </cell>
        </row>
        <row r="152">
          <cell r="A152">
            <v>305</v>
          </cell>
          <cell r="B152">
            <v>305</v>
          </cell>
          <cell r="C152" t="str">
            <v xml:space="preserve"> Satélites</v>
          </cell>
        </row>
        <row r="153">
          <cell r="A153">
            <v>306</v>
          </cell>
          <cell r="B153">
            <v>306</v>
          </cell>
          <cell r="C153" t="str">
            <v xml:space="preserve"> Cargo Import/Export</v>
          </cell>
        </row>
        <row r="154">
          <cell r="A154">
            <v>307</v>
          </cell>
          <cell r="B154">
            <v>307</v>
          </cell>
          <cell r="C154" t="str">
            <v xml:space="preserve"> Transporte Internacional </v>
          </cell>
        </row>
        <row r="155">
          <cell r="A155">
            <v>308</v>
          </cell>
          <cell r="B155">
            <v>308</v>
          </cell>
          <cell r="C155" t="str">
            <v xml:space="preserve"> Transporte Nacional</v>
          </cell>
        </row>
        <row r="156">
          <cell r="A156">
            <v>309</v>
          </cell>
          <cell r="B156">
            <v>309</v>
          </cell>
          <cell r="C156" t="str">
            <v xml:space="preserve"> RCTR</v>
          </cell>
        </row>
        <row r="157">
          <cell r="A157">
            <v>310</v>
          </cell>
          <cell r="B157">
            <v>310</v>
          </cell>
          <cell r="C157" t="str">
            <v xml:space="preserve"> Transporte Internacional </v>
          </cell>
        </row>
        <row r="158">
          <cell r="A158">
            <v>311</v>
          </cell>
          <cell r="B158">
            <v>311</v>
          </cell>
          <cell r="C158" t="str">
            <v xml:space="preserve"> RCTR</v>
          </cell>
        </row>
        <row r="159">
          <cell r="A159">
            <v>312</v>
          </cell>
          <cell r="B159">
            <v>312</v>
          </cell>
          <cell r="C159" t="str">
            <v xml:space="preserve"> RCF</v>
          </cell>
        </row>
        <row r="160">
          <cell r="A160">
            <v>313</v>
          </cell>
          <cell r="B160">
            <v>313</v>
          </cell>
          <cell r="C160" t="str">
            <v xml:space="preserve"> Allianz Transporte RCTF</v>
          </cell>
        </row>
        <row r="161">
          <cell r="A161">
            <v>329</v>
          </cell>
          <cell r="B161">
            <v>329</v>
          </cell>
          <cell r="C161" t="str">
            <v xml:space="preserve"> RCF</v>
          </cell>
        </row>
        <row r="162">
          <cell r="A162">
            <v>339</v>
          </cell>
          <cell r="B162">
            <v>339</v>
          </cell>
          <cell r="C162" t="str">
            <v xml:space="preserve"> RCTR</v>
          </cell>
        </row>
        <row r="163">
          <cell r="A163">
            <v>345</v>
          </cell>
          <cell r="B163">
            <v>345</v>
          </cell>
          <cell r="C163" t="str">
            <v xml:space="preserve"> RESPONSABILIDADE CIVIL DO TRANSPORTADOR EM VIAGEM INTERNACIO</v>
          </cell>
        </row>
        <row r="164">
          <cell r="A164">
            <v>354</v>
          </cell>
          <cell r="B164">
            <v>354</v>
          </cell>
          <cell r="C164" t="str">
            <v xml:space="preserve"> RESP.C.T. RODOVIARIO INTERESTADUAL E INTERNACIONAL</v>
          </cell>
        </row>
        <row r="165">
          <cell r="A165">
            <v>355</v>
          </cell>
          <cell r="B165">
            <v>355</v>
          </cell>
          <cell r="C165" t="str">
            <v xml:space="preserve"> MARITIMOS</v>
          </cell>
        </row>
        <row r="166">
          <cell r="A166">
            <v>356</v>
          </cell>
          <cell r="B166">
            <v>356</v>
          </cell>
          <cell r="C166" t="str">
            <v xml:space="preserve"> AERONAUTICOS</v>
          </cell>
        </row>
        <row r="167">
          <cell r="A167">
            <v>358</v>
          </cell>
          <cell r="B167">
            <v>358</v>
          </cell>
          <cell r="C167" t="str">
            <v xml:space="preserve"> DPEM</v>
          </cell>
        </row>
        <row r="168">
          <cell r="A168">
            <v>359</v>
          </cell>
          <cell r="B168">
            <v>359</v>
          </cell>
          <cell r="C168" t="str">
            <v xml:space="preserve"> TRANSPORTE NACIONAL</v>
          </cell>
        </row>
        <row r="169">
          <cell r="A169">
            <v>360</v>
          </cell>
          <cell r="B169">
            <v>360</v>
          </cell>
          <cell r="C169" t="str">
            <v xml:space="preserve"> TRANSPORTE INTERNACIONAL</v>
          </cell>
        </row>
        <row r="170">
          <cell r="A170">
            <v>361</v>
          </cell>
          <cell r="B170">
            <v>361</v>
          </cell>
          <cell r="C170" t="str">
            <v xml:space="preserve"> RESPONSABILIDADE CIVIL DO TRANSPORTADOR EM VIAGEM INTERNACIO</v>
          </cell>
        </row>
        <row r="171">
          <cell r="A171">
            <v>362</v>
          </cell>
          <cell r="B171">
            <v>362</v>
          </cell>
          <cell r="C171" t="str">
            <v xml:space="preserve"> R.C.TRANSP.EM VIAG.INTERNACIONAL</v>
          </cell>
        </row>
        <row r="172">
          <cell r="A172">
            <v>363</v>
          </cell>
          <cell r="B172">
            <v>363</v>
          </cell>
          <cell r="C172" t="str">
            <v xml:space="preserve"> RESPONSABILIDADE CIVIL DO TRANSPORTADOR RODOVIARIO CARGA</v>
          </cell>
        </row>
        <row r="173">
          <cell r="A173">
            <v>364</v>
          </cell>
          <cell r="B173">
            <v>364</v>
          </cell>
          <cell r="C173" t="str">
            <v xml:space="preserve"> RESPONSABILIDADE CIVIL DO TRANSPORTADOR DESVIO DE CARGA</v>
          </cell>
        </row>
        <row r="174">
          <cell r="A174">
            <v>365</v>
          </cell>
          <cell r="B174">
            <v>365</v>
          </cell>
          <cell r="C174" t="str">
            <v xml:space="preserve"> RESPONSABILIDADE CIVIL DO OPERADOR DO TRANSPORTE MULTI MODAL</v>
          </cell>
        </row>
        <row r="175">
          <cell r="A175">
            <v>366</v>
          </cell>
          <cell r="B175">
            <v>366</v>
          </cell>
          <cell r="C175" t="str">
            <v xml:space="preserve"> SEGURO COMPREENSIVO PARA OPERADORES PORTUARIOS</v>
          </cell>
        </row>
        <row r="176">
          <cell r="A176">
            <v>367</v>
          </cell>
          <cell r="B176">
            <v>367</v>
          </cell>
          <cell r="C176" t="str">
            <v xml:space="preserve"> MARITIMOS</v>
          </cell>
        </row>
        <row r="177">
          <cell r="A177">
            <v>368</v>
          </cell>
          <cell r="B177">
            <v>368</v>
          </cell>
          <cell r="C177" t="str">
            <v xml:space="preserve"> AERONAUTICOS</v>
          </cell>
        </row>
        <row r="178">
          <cell r="A178">
            <v>1264</v>
          </cell>
          <cell r="B178">
            <v>1264</v>
          </cell>
          <cell r="C178" t="str">
            <v xml:space="preserve"> R.C.TRANSP.EM VIAG.INTERNACIONAL</v>
          </cell>
        </row>
        <row r="179">
          <cell r="A179">
            <v>101</v>
          </cell>
          <cell r="B179">
            <v>101</v>
          </cell>
          <cell r="C179" t="str">
            <v xml:space="preserve"> Acidentes Pessoais Individual</v>
          </cell>
        </row>
        <row r="180">
          <cell r="A180">
            <v>102</v>
          </cell>
          <cell r="B180">
            <v>102</v>
          </cell>
          <cell r="C180" t="str">
            <v xml:space="preserve"> Acidentes Pessoais Coletivo</v>
          </cell>
        </row>
        <row r="181">
          <cell r="A181">
            <v>103</v>
          </cell>
          <cell r="B181">
            <v>103</v>
          </cell>
          <cell r="C181" t="str">
            <v xml:space="preserve"> Vida Individual</v>
          </cell>
        </row>
        <row r="182">
          <cell r="A182">
            <v>104</v>
          </cell>
          <cell r="B182">
            <v>104</v>
          </cell>
          <cell r="C182" t="str">
            <v xml:space="preserve"> Vida Coletivo</v>
          </cell>
        </row>
        <row r="183">
          <cell r="A183">
            <v>105</v>
          </cell>
          <cell r="B183">
            <v>105</v>
          </cell>
          <cell r="C183" t="str">
            <v xml:space="preserve"> PPI </v>
          </cell>
        </row>
        <row r="184">
          <cell r="A184">
            <v>106</v>
          </cell>
          <cell r="B184">
            <v>106</v>
          </cell>
          <cell r="C184" t="str">
            <v xml:space="preserve"> Ticket Protector</v>
          </cell>
        </row>
        <row r="185">
          <cell r="A185">
            <v>107</v>
          </cell>
          <cell r="B185">
            <v>107</v>
          </cell>
          <cell r="C185" t="str">
            <v xml:space="preserve"> Acidentes Pessoais Coletivo</v>
          </cell>
        </row>
        <row r="186">
          <cell r="A186">
            <v>108</v>
          </cell>
          <cell r="B186">
            <v>108</v>
          </cell>
          <cell r="C186" t="str">
            <v xml:space="preserve"> Vida PME</v>
          </cell>
        </row>
        <row r="187">
          <cell r="A187">
            <v>111</v>
          </cell>
          <cell r="B187">
            <v>111</v>
          </cell>
          <cell r="C187" t="str">
            <v xml:space="preserve"> Assistência Vida</v>
          </cell>
        </row>
        <row r="188">
          <cell r="A188">
            <v>112</v>
          </cell>
          <cell r="B188">
            <v>112</v>
          </cell>
          <cell r="C188" t="str">
            <v xml:space="preserve"> Assistência Viagem</v>
          </cell>
        </row>
        <row r="189">
          <cell r="A189">
            <v>115</v>
          </cell>
          <cell r="B189">
            <v>115</v>
          </cell>
          <cell r="C189" t="str">
            <v xml:space="preserve"> Vida Individual</v>
          </cell>
        </row>
        <row r="190">
          <cell r="A190">
            <v>116</v>
          </cell>
          <cell r="B190">
            <v>116</v>
          </cell>
          <cell r="C190" t="str">
            <v xml:space="preserve"> Acidentes Pessoais Individual</v>
          </cell>
        </row>
        <row r="191">
          <cell r="A191">
            <v>155</v>
          </cell>
          <cell r="B191">
            <v>155</v>
          </cell>
          <cell r="C191" t="str">
            <v xml:space="preserve"> PRESTAMISTA</v>
          </cell>
        </row>
        <row r="192">
          <cell r="A192">
            <v>157</v>
          </cell>
          <cell r="B192">
            <v>157</v>
          </cell>
          <cell r="C192" t="str">
            <v xml:space="preserve"> ACIDENTES PESSOAIS</v>
          </cell>
        </row>
        <row r="193">
          <cell r="A193">
            <v>158</v>
          </cell>
          <cell r="B193">
            <v>158</v>
          </cell>
          <cell r="C193" t="str">
            <v xml:space="preserve"> AUXILIO FUNERAL</v>
          </cell>
        </row>
        <row r="194">
          <cell r="A194">
            <v>159</v>
          </cell>
          <cell r="B194">
            <v>159</v>
          </cell>
          <cell r="C194" t="str">
            <v xml:space="preserve"> ACIDENTES PESSOAIS COLETIVO</v>
          </cell>
        </row>
        <row r="195">
          <cell r="A195">
            <v>160</v>
          </cell>
          <cell r="B195">
            <v>160</v>
          </cell>
          <cell r="C195" t="str">
            <v xml:space="preserve"> TURISMO</v>
          </cell>
        </row>
        <row r="196">
          <cell r="A196">
            <v>161</v>
          </cell>
          <cell r="B196">
            <v>161</v>
          </cell>
          <cell r="C196" t="str">
            <v xml:space="preserve"> VIDA NOVO PME GLOBAL RENDA DE ENVENTOS ALEATORIOS</v>
          </cell>
        </row>
        <row r="197">
          <cell r="A197">
            <v>162</v>
          </cell>
          <cell r="B197">
            <v>162</v>
          </cell>
          <cell r="C197" t="str">
            <v xml:space="preserve"> ACIDENTES PESSOAIS PASSAGEIROS</v>
          </cell>
        </row>
        <row r="198">
          <cell r="A198">
            <v>163</v>
          </cell>
          <cell r="B198">
            <v>163</v>
          </cell>
          <cell r="C198" t="str">
            <v xml:space="preserve"> VIDA</v>
          </cell>
        </row>
        <row r="199">
          <cell r="A199">
            <v>163</v>
          </cell>
          <cell r="B199">
            <v>163</v>
          </cell>
          <cell r="C199" t="str">
            <v xml:space="preserve"> Vida</v>
          </cell>
        </row>
        <row r="200">
          <cell r="A200">
            <v>165</v>
          </cell>
          <cell r="B200">
            <v>165</v>
          </cell>
          <cell r="C200" t="str">
            <v xml:space="preserve"> VGBL/VAGP/VRGP/VRSA/VRI</v>
          </cell>
        </row>
        <row r="201">
          <cell r="A201">
            <v>166</v>
          </cell>
          <cell r="B201">
            <v>166</v>
          </cell>
          <cell r="C201" t="str">
            <v xml:space="preserve"> VIDA EM GRUPO</v>
          </cell>
        </row>
        <row r="202">
          <cell r="A202">
            <v>168</v>
          </cell>
          <cell r="B202">
            <v>168</v>
          </cell>
          <cell r="C202" t="str">
            <v xml:space="preserve"> ACIDENTES PESSOAIS</v>
          </cell>
        </row>
        <row r="203">
          <cell r="A203">
            <v>169</v>
          </cell>
          <cell r="B203">
            <v>169</v>
          </cell>
          <cell r="C203" t="str">
            <v xml:space="preserve"> VIDA</v>
          </cell>
        </row>
        <row r="204">
          <cell r="A204">
            <v>170</v>
          </cell>
          <cell r="B204">
            <v>170</v>
          </cell>
          <cell r="C204" t="str">
            <v xml:space="preserve"> PREVIDÊNCIA PRIVADA</v>
          </cell>
        </row>
        <row r="205">
          <cell r="A205">
            <v>1265</v>
          </cell>
          <cell r="B205">
            <v>1265</v>
          </cell>
          <cell r="C205" t="str">
            <v xml:space="preserve"> ACIDENTES PESSOAIS PASSAGEIROS</v>
          </cell>
        </row>
        <row r="206">
          <cell r="A206">
            <v>2012</v>
          </cell>
          <cell r="B206">
            <v>2012</v>
          </cell>
          <cell r="C206" t="str">
            <v xml:space="preserve"> Produto Viagem</v>
          </cell>
        </row>
        <row r="207">
          <cell r="A207">
            <v>609</v>
          </cell>
          <cell r="B207">
            <v>609</v>
          </cell>
          <cell r="C207" t="str">
            <v xml:space="preserve"> Granizo</v>
          </cell>
        </row>
        <row r="208">
          <cell r="A208">
            <v>1251</v>
          </cell>
          <cell r="B208">
            <v>1251</v>
          </cell>
          <cell r="C208" t="str">
            <v xml:space="preserve"> Frota Digital</v>
          </cell>
        </row>
        <row r="209">
          <cell r="A209">
            <v>1252</v>
          </cell>
          <cell r="B209">
            <v>1251</v>
          </cell>
          <cell r="C209" t="str">
            <v xml:space="preserve"> Frota Automóvel Digital</v>
          </cell>
        </row>
        <row r="210">
          <cell r="A210">
            <v>1253</v>
          </cell>
          <cell r="B210">
            <v>1253</v>
          </cell>
          <cell r="C210" t="str">
            <v xml:space="preserve"> Frota Automóvel Digital</v>
          </cell>
        </row>
        <row r="211">
          <cell r="A211">
            <v>1254</v>
          </cell>
          <cell r="B211">
            <v>1254</v>
          </cell>
          <cell r="C211" t="str">
            <v xml:space="preserve"> Frota Automóvel Digital</v>
          </cell>
        </row>
        <row r="212">
          <cell r="A212">
            <v>1240</v>
          </cell>
          <cell r="B212">
            <v>1240</v>
          </cell>
          <cell r="C212" t="str">
            <v xml:space="preserve"> Auto Individual Anual Migrado SASAM</v>
          </cell>
        </row>
        <row r="213">
          <cell r="A213">
            <v>2026</v>
          </cell>
          <cell r="B213">
            <v>2026</v>
          </cell>
          <cell r="C213" t="str">
            <v xml:space="preserve"> Residencia Migrado SASAM</v>
          </cell>
        </row>
        <row r="214">
          <cell r="A214">
            <v>2028</v>
          </cell>
          <cell r="B214">
            <v>2028</v>
          </cell>
          <cell r="C214" t="str">
            <v xml:space="preserve"> Empresa Migrado SASAM</v>
          </cell>
        </row>
        <row r="215">
          <cell r="A215">
            <v>1249</v>
          </cell>
          <cell r="B215">
            <v>1249</v>
          </cell>
          <cell r="C215" t="str">
            <v xml:space="preserve"> Auto Caixa Migrado SASAM</v>
          </cell>
        </row>
        <row r="216">
          <cell r="A216">
            <v>2027</v>
          </cell>
          <cell r="B216">
            <v>2027</v>
          </cell>
          <cell r="C216" t="str">
            <v xml:space="preserve"> Residencia Migrado SASAM</v>
          </cell>
        </row>
      </sheetData>
      <sheetData sheetId="3">
        <row r="1">
          <cell r="A1" t="str">
            <v>MEDIADOR</v>
          </cell>
          <cell r="B1" t="str">
            <v>CodCooperativa</v>
          </cell>
        </row>
        <row r="2">
          <cell r="A2">
            <v>4015876</v>
          </cell>
          <cell r="B2">
            <v>101</v>
          </cell>
        </row>
        <row r="3">
          <cell r="A3">
            <v>4015877</v>
          </cell>
          <cell r="B3">
            <v>102</v>
          </cell>
        </row>
        <row r="4">
          <cell r="A4">
            <v>4015878</v>
          </cell>
          <cell r="B4">
            <v>105</v>
          </cell>
        </row>
        <row r="5">
          <cell r="A5">
            <v>4015879</v>
          </cell>
          <cell r="B5">
            <v>106</v>
          </cell>
        </row>
        <row r="6">
          <cell r="A6">
            <v>4015880</v>
          </cell>
          <cell r="B6">
            <v>109</v>
          </cell>
        </row>
        <row r="7">
          <cell r="A7">
            <v>4015881</v>
          </cell>
          <cell r="B7">
            <v>116</v>
          </cell>
        </row>
        <row r="8">
          <cell r="A8">
            <v>4015882</v>
          </cell>
          <cell r="B8">
            <v>119</v>
          </cell>
        </row>
        <row r="9">
          <cell r="A9">
            <v>4015883</v>
          </cell>
          <cell r="B9">
            <v>131</v>
          </cell>
        </row>
        <row r="10">
          <cell r="A10">
            <v>4015884</v>
          </cell>
          <cell r="B10">
            <v>136</v>
          </cell>
        </row>
        <row r="11">
          <cell r="A11">
            <v>4015885</v>
          </cell>
          <cell r="B11">
            <v>155</v>
          </cell>
        </row>
        <row r="12">
          <cell r="A12">
            <v>4015886</v>
          </cell>
          <cell r="B12">
            <v>156</v>
          </cell>
        </row>
        <row r="13">
          <cell r="A13">
            <v>4015887</v>
          </cell>
          <cell r="B13">
            <v>157</v>
          </cell>
        </row>
        <row r="14">
          <cell r="A14">
            <v>4015888</v>
          </cell>
          <cell r="B14">
            <v>167</v>
          </cell>
        </row>
        <row r="15">
          <cell r="A15">
            <v>4015889</v>
          </cell>
          <cell r="B15">
            <v>179</v>
          </cell>
        </row>
        <row r="16">
          <cell r="A16">
            <v>4015890</v>
          </cell>
          <cell r="B16">
            <v>185</v>
          </cell>
        </row>
        <row r="17">
          <cell r="A17">
            <v>4015891</v>
          </cell>
          <cell r="B17">
            <v>202</v>
          </cell>
        </row>
        <row r="18">
          <cell r="A18">
            <v>4015892</v>
          </cell>
          <cell r="B18">
            <v>211</v>
          </cell>
        </row>
        <row r="19">
          <cell r="A19">
            <v>4015893</v>
          </cell>
          <cell r="B19">
            <v>217</v>
          </cell>
        </row>
        <row r="20">
          <cell r="A20">
            <v>4015894</v>
          </cell>
          <cell r="B20">
            <v>218</v>
          </cell>
        </row>
        <row r="21">
          <cell r="A21">
            <v>4015895</v>
          </cell>
          <cell r="B21">
            <v>221</v>
          </cell>
        </row>
        <row r="22">
          <cell r="A22">
            <v>4015896</v>
          </cell>
          <cell r="B22">
            <v>226</v>
          </cell>
        </row>
        <row r="23">
          <cell r="A23">
            <v>4015897</v>
          </cell>
          <cell r="B23">
            <v>228</v>
          </cell>
        </row>
        <row r="24">
          <cell r="A24">
            <v>4015898</v>
          </cell>
          <cell r="B24">
            <v>229</v>
          </cell>
        </row>
        <row r="25">
          <cell r="A25">
            <v>4015899</v>
          </cell>
          <cell r="B25">
            <v>230</v>
          </cell>
        </row>
        <row r="26">
          <cell r="A26">
            <v>4015900</v>
          </cell>
          <cell r="B26">
            <v>244</v>
          </cell>
        </row>
        <row r="27">
          <cell r="A27">
            <v>4015901</v>
          </cell>
          <cell r="B27">
            <v>247</v>
          </cell>
        </row>
        <row r="28">
          <cell r="A28">
            <v>4015902</v>
          </cell>
          <cell r="B28">
            <v>258</v>
          </cell>
        </row>
        <row r="29">
          <cell r="A29">
            <v>4015903</v>
          </cell>
          <cell r="B29">
            <v>259</v>
          </cell>
        </row>
        <row r="30">
          <cell r="A30">
            <v>4015904</v>
          </cell>
          <cell r="B30">
            <v>268</v>
          </cell>
        </row>
        <row r="31">
          <cell r="A31">
            <v>4015905</v>
          </cell>
          <cell r="B31">
            <v>304</v>
          </cell>
        </row>
        <row r="32">
          <cell r="A32">
            <v>4015906</v>
          </cell>
          <cell r="B32">
            <v>304</v>
          </cell>
        </row>
        <row r="33">
          <cell r="A33">
            <v>4015907</v>
          </cell>
          <cell r="B33">
            <v>306</v>
          </cell>
        </row>
        <row r="34">
          <cell r="A34">
            <v>4015908</v>
          </cell>
          <cell r="B34">
            <v>307</v>
          </cell>
        </row>
        <row r="35">
          <cell r="A35">
            <v>4015909</v>
          </cell>
          <cell r="B35">
            <v>313</v>
          </cell>
        </row>
        <row r="36">
          <cell r="A36">
            <v>4015910</v>
          </cell>
          <cell r="B36">
            <v>333</v>
          </cell>
        </row>
        <row r="37">
          <cell r="A37">
            <v>4015911</v>
          </cell>
          <cell r="B37">
            <v>361</v>
          </cell>
        </row>
        <row r="38">
          <cell r="A38">
            <v>4015912</v>
          </cell>
          <cell r="B38">
            <v>370</v>
          </cell>
        </row>
        <row r="39">
          <cell r="A39">
            <v>4015913</v>
          </cell>
          <cell r="B39">
            <v>403</v>
          </cell>
        </row>
        <row r="40">
          <cell r="A40">
            <v>4015914</v>
          </cell>
          <cell r="B40">
            <v>434</v>
          </cell>
        </row>
        <row r="41">
          <cell r="A41">
            <v>4015915</v>
          </cell>
          <cell r="B41">
            <v>437</v>
          </cell>
        </row>
        <row r="42">
          <cell r="A42">
            <v>4015916</v>
          </cell>
          <cell r="B42">
            <v>523</v>
          </cell>
        </row>
        <row r="43">
          <cell r="A43">
            <v>4015917</v>
          </cell>
          <cell r="B43">
            <v>651</v>
          </cell>
        </row>
        <row r="44">
          <cell r="A44">
            <v>4015918</v>
          </cell>
          <cell r="B44">
            <v>663</v>
          </cell>
        </row>
        <row r="45">
          <cell r="A45">
            <v>4015919</v>
          </cell>
          <cell r="B45">
            <v>703</v>
          </cell>
        </row>
        <row r="46">
          <cell r="A46">
            <v>4015920</v>
          </cell>
          <cell r="B46">
            <v>704</v>
          </cell>
        </row>
        <row r="47">
          <cell r="A47">
            <v>4015921</v>
          </cell>
          <cell r="B47">
            <v>710</v>
          </cell>
        </row>
        <row r="48">
          <cell r="A48">
            <v>4015922</v>
          </cell>
          <cell r="B48">
            <v>715</v>
          </cell>
        </row>
        <row r="49">
          <cell r="A49">
            <v>4015923</v>
          </cell>
          <cell r="B49">
            <v>717</v>
          </cell>
        </row>
        <row r="50">
          <cell r="A50">
            <v>4015924</v>
          </cell>
          <cell r="B50">
            <v>718</v>
          </cell>
        </row>
        <row r="51">
          <cell r="A51">
            <v>4015924</v>
          </cell>
          <cell r="B51">
            <v>718</v>
          </cell>
        </row>
        <row r="52">
          <cell r="A52">
            <v>4015925</v>
          </cell>
          <cell r="B52">
            <v>719</v>
          </cell>
        </row>
        <row r="53">
          <cell r="A53">
            <v>4015926</v>
          </cell>
          <cell r="B53">
            <v>720</v>
          </cell>
        </row>
        <row r="54">
          <cell r="A54">
            <v>4015927</v>
          </cell>
          <cell r="B54">
            <v>723</v>
          </cell>
        </row>
        <row r="55">
          <cell r="A55">
            <v>4015928</v>
          </cell>
          <cell r="B55">
            <v>725</v>
          </cell>
        </row>
        <row r="56">
          <cell r="A56">
            <v>4015929</v>
          </cell>
          <cell r="B56">
            <v>726</v>
          </cell>
        </row>
        <row r="57">
          <cell r="A57">
            <v>4015930</v>
          </cell>
          <cell r="B57">
            <v>727</v>
          </cell>
        </row>
        <row r="58">
          <cell r="A58">
            <v>4015931</v>
          </cell>
          <cell r="B58">
            <v>728</v>
          </cell>
        </row>
        <row r="59">
          <cell r="A59">
            <v>4015932</v>
          </cell>
          <cell r="B59">
            <v>730</v>
          </cell>
        </row>
        <row r="60">
          <cell r="A60">
            <v>4015933</v>
          </cell>
          <cell r="B60">
            <v>731</v>
          </cell>
        </row>
        <row r="61">
          <cell r="A61">
            <v>4015934</v>
          </cell>
          <cell r="B61">
            <v>736</v>
          </cell>
        </row>
        <row r="62">
          <cell r="A62">
            <v>4015935</v>
          </cell>
          <cell r="B62">
            <v>737</v>
          </cell>
        </row>
        <row r="63">
          <cell r="A63">
            <v>4015936</v>
          </cell>
          <cell r="B63">
            <v>738</v>
          </cell>
        </row>
        <row r="64">
          <cell r="A64">
            <v>4015937</v>
          </cell>
          <cell r="B64">
            <v>740</v>
          </cell>
        </row>
        <row r="65">
          <cell r="A65">
            <v>4015938</v>
          </cell>
          <cell r="B65">
            <v>747</v>
          </cell>
        </row>
        <row r="66">
          <cell r="A66">
            <v>4015939</v>
          </cell>
          <cell r="B66">
            <v>749</v>
          </cell>
        </row>
        <row r="67">
          <cell r="A67">
            <v>4015940</v>
          </cell>
          <cell r="B67">
            <v>751</v>
          </cell>
        </row>
        <row r="68">
          <cell r="A68">
            <v>4015941</v>
          </cell>
          <cell r="B68">
            <v>752</v>
          </cell>
        </row>
        <row r="69">
          <cell r="A69">
            <v>4015942</v>
          </cell>
          <cell r="B69">
            <v>753</v>
          </cell>
        </row>
        <row r="70">
          <cell r="A70">
            <v>4015943</v>
          </cell>
          <cell r="B70">
            <v>802</v>
          </cell>
        </row>
        <row r="71">
          <cell r="A71">
            <v>4015944</v>
          </cell>
          <cell r="B71">
            <v>804</v>
          </cell>
        </row>
        <row r="72">
          <cell r="A72">
            <v>4015945</v>
          </cell>
          <cell r="B72">
            <v>805</v>
          </cell>
        </row>
        <row r="73">
          <cell r="A73">
            <v>4015946</v>
          </cell>
          <cell r="B73">
            <v>806</v>
          </cell>
        </row>
        <row r="74">
          <cell r="A74">
            <v>4015947</v>
          </cell>
          <cell r="B74">
            <v>809</v>
          </cell>
        </row>
        <row r="75">
          <cell r="A75">
            <v>4015948</v>
          </cell>
          <cell r="B75">
            <v>810</v>
          </cell>
        </row>
        <row r="76">
          <cell r="A76">
            <v>4015949</v>
          </cell>
          <cell r="B76">
            <v>812</v>
          </cell>
        </row>
        <row r="77">
          <cell r="A77">
            <v>4015950</v>
          </cell>
          <cell r="B77">
            <v>818</v>
          </cell>
        </row>
        <row r="78">
          <cell r="A78">
            <v>4015951</v>
          </cell>
          <cell r="B78">
            <v>821</v>
          </cell>
        </row>
        <row r="79">
          <cell r="A79">
            <v>4015952</v>
          </cell>
          <cell r="B79">
            <v>826</v>
          </cell>
        </row>
        <row r="80">
          <cell r="A80">
            <v>4015953</v>
          </cell>
          <cell r="B80">
            <v>902</v>
          </cell>
        </row>
        <row r="81">
          <cell r="A81">
            <v>4015954</v>
          </cell>
          <cell r="B81">
            <v>903</v>
          </cell>
        </row>
        <row r="82">
          <cell r="A82">
            <v>4015955</v>
          </cell>
          <cell r="B82">
            <v>911</v>
          </cell>
        </row>
        <row r="83">
          <cell r="A83">
            <v>4015956</v>
          </cell>
          <cell r="B83">
            <v>913</v>
          </cell>
        </row>
        <row r="84">
          <cell r="A84">
            <v>4015957</v>
          </cell>
          <cell r="B84">
            <v>914</v>
          </cell>
        </row>
        <row r="85">
          <cell r="A85">
            <v>4015958</v>
          </cell>
          <cell r="B85">
            <v>916</v>
          </cell>
        </row>
        <row r="86">
          <cell r="A86">
            <v>4015959</v>
          </cell>
          <cell r="B86">
            <v>1006</v>
          </cell>
        </row>
        <row r="87">
          <cell r="A87">
            <v>4015960</v>
          </cell>
          <cell r="B87">
            <v>1702</v>
          </cell>
        </row>
        <row r="88">
          <cell r="A88">
            <v>4015961</v>
          </cell>
          <cell r="B88">
            <v>1703</v>
          </cell>
        </row>
        <row r="89">
          <cell r="A89">
            <v>4015962</v>
          </cell>
          <cell r="B89">
            <v>1704</v>
          </cell>
        </row>
        <row r="90">
          <cell r="A90">
            <v>4015963</v>
          </cell>
          <cell r="B90">
            <v>1705</v>
          </cell>
        </row>
        <row r="91">
          <cell r="A91">
            <v>4015964</v>
          </cell>
          <cell r="B91">
            <v>1706</v>
          </cell>
        </row>
        <row r="92">
          <cell r="A92">
            <v>4015965</v>
          </cell>
          <cell r="B92">
            <v>1707</v>
          </cell>
        </row>
        <row r="93">
          <cell r="A93">
            <v>4015966</v>
          </cell>
          <cell r="B93">
            <v>1709</v>
          </cell>
        </row>
        <row r="94">
          <cell r="A94">
            <v>4015967</v>
          </cell>
          <cell r="B94">
            <v>1710</v>
          </cell>
        </row>
        <row r="95">
          <cell r="A95">
            <v>4015968</v>
          </cell>
          <cell r="B95">
            <v>1711</v>
          </cell>
        </row>
        <row r="96">
          <cell r="A96">
            <v>4015969</v>
          </cell>
          <cell r="B96">
            <v>1712</v>
          </cell>
        </row>
        <row r="97">
          <cell r="A97">
            <v>4015970</v>
          </cell>
          <cell r="B97">
            <v>1713</v>
          </cell>
        </row>
        <row r="98">
          <cell r="A98">
            <v>4015971</v>
          </cell>
          <cell r="B98">
            <v>1714</v>
          </cell>
        </row>
        <row r="99">
          <cell r="A99">
            <v>4015972</v>
          </cell>
          <cell r="B99">
            <v>1715</v>
          </cell>
        </row>
        <row r="100">
          <cell r="A100">
            <v>4015973</v>
          </cell>
          <cell r="B100">
            <v>1716</v>
          </cell>
        </row>
        <row r="101">
          <cell r="A101">
            <v>4015974</v>
          </cell>
          <cell r="B101">
            <v>2001</v>
          </cell>
        </row>
        <row r="102">
          <cell r="A102">
            <v>4015975</v>
          </cell>
          <cell r="B102">
            <v>2002</v>
          </cell>
        </row>
        <row r="103">
          <cell r="A103">
            <v>4015976</v>
          </cell>
          <cell r="B103">
            <v>2003</v>
          </cell>
        </row>
        <row r="104">
          <cell r="A104">
            <v>4015977</v>
          </cell>
          <cell r="B104">
            <v>2004</v>
          </cell>
        </row>
        <row r="105">
          <cell r="A105">
            <v>4015978</v>
          </cell>
          <cell r="B105">
            <v>2005</v>
          </cell>
        </row>
        <row r="106">
          <cell r="A106">
            <v>4015979</v>
          </cell>
          <cell r="B106">
            <v>2101</v>
          </cell>
        </row>
        <row r="107">
          <cell r="A107">
            <v>4015980</v>
          </cell>
          <cell r="B107">
            <v>2102</v>
          </cell>
        </row>
        <row r="108">
          <cell r="A108">
            <v>4015981</v>
          </cell>
          <cell r="B108">
            <v>2103</v>
          </cell>
        </row>
        <row r="109">
          <cell r="A109">
            <v>4015982</v>
          </cell>
          <cell r="B109">
            <v>2104</v>
          </cell>
        </row>
        <row r="110">
          <cell r="A110">
            <v>4015983</v>
          </cell>
          <cell r="B110">
            <v>2201</v>
          </cell>
        </row>
        <row r="111">
          <cell r="A111">
            <v>4015984</v>
          </cell>
          <cell r="B111">
            <v>2202</v>
          </cell>
        </row>
        <row r="112">
          <cell r="A112">
            <v>4015985</v>
          </cell>
          <cell r="B112">
            <v>2203</v>
          </cell>
        </row>
        <row r="113">
          <cell r="A113">
            <v>4015986</v>
          </cell>
          <cell r="B113">
            <v>2204</v>
          </cell>
        </row>
        <row r="114">
          <cell r="A114">
            <v>4015987</v>
          </cell>
          <cell r="B114">
            <v>2205</v>
          </cell>
        </row>
        <row r="115">
          <cell r="A115">
            <v>4015988</v>
          </cell>
          <cell r="B115">
            <v>2206</v>
          </cell>
        </row>
        <row r="116">
          <cell r="A116">
            <v>4015989</v>
          </cell>
          <cell r="B116">
            <v>2207</v>
          </cell>
        </row>
        <row r="117">
          <cell r="A117">
            <v>4015990</v>
          </cell>
          <cell r="B117">
            <v>2209</v>
          </cell>
        </row>
        <row r="118">
          <cell r="A118">
            <v>4015991</v>
          </cell>
          <cell r="B118">
            <v>2210</v>
          </cell>
        </row>
        <row r="119">
          <cell r="A119">
            <v>4015992</v>
          </cell>
          <cell r="B119">
            <v>2211</v>
          </cell>
        </row>
        <row r="120">
          <cell r="A120">
            <v>4015993</v>
          </cell>
          <cell r="B120">
            <v>2212</v>
          </cell>
        </row>
        <row r="121">
          <cell r="A121">
            <v>4015994</v>
          </cell>
          <cell r="B121">
            <v>2216</v>
          </cell>
        </row>
        <row r="122">
          <cell r="A122">
            <v>4015995</v>
          </cell>
          <cell r="B122">
            <v>2301</v>
          </cell>
        </row>
        <row r="123">
          <cell r="A123">
            <v>4015996</v>
          </cell>
          <cell r="B123">
            <v>2302</v>
          </cell>
        </row>
        <row r="124">
          <cell r="A124">
            <v>4015997</v>
          </cell>
          <cell r="B124">
            <v>2305</v>
          </cell>
        </row>
        <row r="125">
          <cell r="A125">
            <v>4015998</v>
          </cell>
          <cell r="B125">
            <v>2306</v>
          </cell>
        </row>
        <row r="126">
          <cell r="A126">
            <v>4015999</v>
          </cell>
          <cell r="B126">
            <v>2307</v>
          </cell>
        </row>
        <row r="127">
          <cell r="A127">
            <v>4016000</v>
          </cell>
          <cell r="B127">
            <v>2602</v>
          </cell>
        </row>
        <row r="128">
          <cell r="A128">
            <v>4016001</v>
          </cell>
          <cell r="B128">
            <v>2604</v>
          </cell>
        </row>
        <row r="129">
          <cell r="A129">
            <v>4016002</v>
          </cell>
          <cell r="B129">
            <v>2606</v>
          </cell>
        </row>
        <row r="130">
          <cell r="A130">
            <v>4016003</v>
          </cell>
          <cell r="B130">
            <v>2607</v>
          </cell>
        </row>
        <row r="131">
          <cell r="A131">
            <v>4016004</v>
          </cell>
          <cell r="B131">
            <v>3003</v>
          </cell>
        </row>
        <row r="132">
          <cell r="A132">
            <v>4016005</v>
          </cell>
          <cell r="B132">
            <v>3004</v>
          </cell>
        </row>
        <row r="133">
          <cell r="A133">
            <v>4016006</v>
          </cell>
          <cell r="B133">
            <v>3009</v>
          </cell>
        </row>
        <row r="134">
          <cell r="A134">
            <v>4016007</v>
          </cell>
          <cell r="B134">
            <v>3013</v>
          </cell>
        </row>
        <row r="135">
          <cell r="A135">
            <v>4016008</v>
          </cell>
          <cell r="B135">
            <v>3021</v>
          </cell>
        </row>
        <row r="136">
          <cell r="A136">
            <v>4016009</v>
          </cell>
          <cell r="B136">
            <v>3022</v>
          </cell>
        </row>
        <row r="137">
          <cell r="A137">
            <v>4016010</v>
          </cell>
          <cell r="B137">
            <v>3023</v>
          </cell>
        </row>
        <row r="138">
          <cell r="A138">
            <v>4016011</v>
          </cell>
          <cell r="B138">
            <v>3027</v>
          </cell>
        </row>
        <row r="139">
          <cell r="A139">
            <v>4016012</v>
          </cell>
          <cell r="B139">
            <v>3031</v>
          </cell>
        </row>
        <row r="140">
          <cell r="A140">
            <v>4016013</v>
          </cell>
          <cell r="B140">
            <v>3032</v>
          </cell>
        </row>
        <row r="141">
          <cell r="A141">
            <v>4016014</v>
          </cell>
          <cell r="B141">
            <v>3033</v>
          </cell>
        </row>
        <row r="142">
          <cell r="A142">
            <v>4016015</v>
          </cell>
          <cell r="B142">
            <v>3138</v>
          </cell>
        </row>
        <row r="143">
          <cell r="A143">
            <v>4016016</v>
          </cell>
          <cell r="B143">
            <v>3828</v>
          </cell>
        </row>
        <row r="144">
          <cell r="A144">
            <v>4016017</v>
          </cell>
          <cell r="B144">
            <v>3830</v>
          </cell>
        </row>
        <row r="145">
          <cell r="A145">
            <v>4016018</v>
          </cell>
          <cell r="B145">
            <v>3950</v>
          </cell>
        </row>
        <row r="146">
          <cell r="A146">
            <v>4016019</v>
          </cell>
          <cell r="B146">
            <v>3953</v>
          </cell>
        </row>
        <row r="147">
          <cell r="A147">
            <v>4016020</v>
          </cell>
          <cell r="B147">
            <v>3955</v>
          </cell>
        </row>
        <row r="148">
          <cell r="A148">
            <v>4016021</v>
          </cell>
          <cell r="B148">
            <v>3980</v>
          </cell>
        </row>
        <row r="149">
          <cell r="A149">
            <v>4016022</v>
          </cell>
          <cell r="B149">
            <v>4371</v>
          </cell>
        </row>
        <row r="150">
          <cell r="A150">
            <v>4016023</v>
          </cell>
          <cell r="B150">
            <v>4501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DCB1-A4C8-434D-B41D-532D85DB5EF9}">
  <dimension ref="A1:M51"/>
  <sheetViews>
    <sheetView tabSelected="1" workbookViewId="0">
      <selection activeCell="F9" sqref="F9"/>
    </sheetView>
  </sheetViews>
  <sheetFormatPr defaultColWidth="14.36328125" defaultRowHeight="12.5" x14ac:dyDescent="0.25"/>
  <cols>
    <col min="5" max="5" width="25.26953125" customWidth="1"/>
    <col min="6" max="6" width="20.90625" customWidth="1"/>
  </cols>
  <sheetData>
    <row r="1" spans="1:13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4.5" x14ac:dyDescent="0.35">
      <c r="A2" s="3">
        <v>2013</v>
      </c>
      <c r="B2" s="3" t="str">
        <f>VLOOKUP(A2,[1]Ramos!A:C,3,FALSE)</f>
        <v xml:space="preserve"> Residencia Digital</v>
      </c>
      <c r="C2" s="3">
        <v>4015882</v>
      </c>
      <c r="D2" s="3">
        <v>135797706</v>
      </c>
      <c r="E2" s="3" t="s">
        <v>13</v>
      </c>
      <c r="F2" s="3" t="s">
        <v>14</v>
      </c>
      <c r="G2" s="4">
        <v>46001</v>
      </c>
      <c r="H2" s="3" t="s">
        <v>15</v>
      </c>
      <c r="I2" s="3" t="s">
        <v>16</v>
      </c>
      <c r="J2" s="3">
        <v>96010100097</v>
      </c>
      <c r="K2" s="3">
        <f>VLOOKUP(C2,[1]Coop!A:B,2,FALSE)</f>
        <v>119</v>
      </c>
      <c r="L2" s="3">
        <v>11</v>
      </c>
      <c r="M2" s="5" t="s">
        <v>17</v>
      </c>
    </row>
    <row r="3" spans="1:13" ht="14.5" x14ac:dyDescent="0.35">
      <c r="A3" s="3">
        <v>1211</v>
      </c>
      <c r="B3" s="3" t="str">
        <f>VLOOKUP(A3,[1]Ramos!A:C,3,FALSE)</f>
        <v xml:space="preserve"> Automóvel</v>
      </c>
      <c r="C3" s="3">
        <v>4015892</v>
      </c>
      <c r="D3" s="3">
        <v>135803565</v>
      </c>
      <c r="E3" s="3" t="s">
        <v>18</v>
      </c>
      <c r="F3" s="3" t="s">
        <v>19</v>
      </c>
      <c r="G3" s="4">
        <v>46002</v>
      </c>
      <c r="H3" s="3" t="s">
        <v>15</v>
      </c>
      <c r="I3" s="3" t="s">
        <v>20</v>
      </c>
      <c r="J3" s="3">
        <v>97128376020</v>
      </c>
      <c r="K3" s="3">
        <f>VLOOKUP(C3,[1]Coop!A:B,2,FALSE)</f>
        <v>211</v>
      </c>
      <c r="L3" s="3">
        <v>4</v>
      </c>
      <c r="M3" s="5" t="s">
        <v>21</v>
      </c>
    </row>
    <row r="4" spans="1:13" ht="14.5" x14ac:dyDescent="0.35">
      <c r="A4" s="3">
        <v>2013</v>
      </c>
      <c r="B4" s="3" t="str">
        <f>VLOOKUP(A4,[1]Ramos!A:C,3,FALSE)</f>
        <v xml:space="preserve"> Residencia Digital</v>
      </c>
      <c r="C4" s="3">
        <v>4016002</v>
      </c>
      <c r="D4" s="3">
        <v>135797519</v>
      </c>
      <c r="E4" s="3" t="s">
        <v>22</v>
      </c>
      <c r="F4" s="3" t="s">
        <v>14</v>
      </c>
      <c r="G4" s="4">
        <v>46001</v>
      </c>
      <c r="H4" s="3" t="s">
        <v>15</v>
      </c>
      <c r="I4" s="3" t="s">
        <v>23</v>
      </c>
      <c r="J4" s="3">
        <v>2692284976</v>
      </c>
      <c r="K4" s="3">
        <f>VLOOKUP(C4,[1]Coop!A:B,2,FALSE)</f>
        <v>2606</v>
      </c>
      <c r="L4" s="3">
        <v>24</v>
      </c>
      <c r="M4" s="5" t="s">
        <v>24</v>
      </c>
    </row>
    <row r="5" spans="1:13" ht="14.5" x14ac:dyDescent="0.35">
      <c r="A5" s="3">
        <v>1211</v>
      </c>
      <c r="B5" s="3" t="str">
        <f>VLOOKUP(A5,[1]Ramos!A:C,3,FALSE)</f>
        <v xml:space="preserve"> Automóvel</v>
      </c>
      <c r="C5" s="3">
        <v>4015916</v>
      </c>
      <c r="D5" s="3">
        <v>135873070</v>
      </c>
      <c r="E5" s="3" t="s">
        <v>25</v>
      </c>
      <c r="F5" s="3" t="s">
        <v>26</v>
      </c>
      <c r="G5" s="4">
        <v>46007</v>
      </c>
      <c r="H5" s="3" t="s">
        <v>15</v>
      </c>
      <c r="I5" s="3" t="s">
        <v>27</v>
      </c>
      <c r="J5" s="3">
        <v>82524688020</v>
      </c>
      <c r="K5" s="3">
        <f>VLOOKUP(C5,[1]Coop!A:B,2,FALSE)</f>
        <v>523</v>
      </c>
      <c r="L5" s="3">
        <v>2</v>
      </c>
      <c r="M5" s="5" t="s">
        <v>28</v>
      </c>
    </row>
    <row r="6" spans="1:13" ht="14.5" x14ac:dyDescent="0.35">
      <c r="A6" s="3">
        <v>1211</v>
      </c>
      <c r="B6" s="3" t="str">
        <f>VLOOKUP(A6,[1]Ramos!A:C,3,FALSE)</f>
        <v xml:space="preserve"> Automóvel</v>
      </c>
      <c r="C6" s="3">
        <v>4015894</v>
      </c>
      <c r="D6" s="3">
        <v>135862572</v>
      </c>
      <c r="E6" s="3" t="s">
        <v>29</v>
      </c>
      <c r="F6" s="3" t="s">
        <v>26</v>
      </c>
      <c r="G6" s="4">
        <v>46007</v>
      </c>
      <c r="H6" s="3" t="s">
        <v>15</v>
      </c>
      <c r="I6" s="3" t="s">
        <v>30</v>
      </c>
      <c r="J6" s="3">
        <v>349754039</v>
      </c>
      <c r="K6" s="3">
        <f>VLOOKUP(C6,[1]Coop!A:B,2,FALSE)</f>
        <v>218</v>
      </c>
      <c r="L6" s="3">
        <v>3</v>
      </c>
      <c r="M6" s="5" t="s">
        <v>31</v>
      </c>
    </row>
    <row r="7" spans="1:13" ht="14.5" x14ac:dyDescent="0.35">
      <c r="A7" s="3">
        <v>1211</v>
      </c>
      <c r="B7" s="3" t="str">
        <f>VLOOKUP(A7,[1]Ramos!A:C,3,FALSE)</f>
        <v xml:space="preserve"> Automóvel</v>
      </c>
      <c r="C7" s="3">
        <v>4015919</v>
      </c>
      <c r="D7" s="3">
        <v>135861662</v>
      </c>
      <c r="E7" s="3" t="s">
        <v>32</v>
      </c>
      <c r="F7" s="3" t="s">
        <v>26</v>
      </c>
      <c r="G7" s="4">
        <v>46006</v>
      </c>
      <c r="H7" s="3" t="s">
        <v>33</v>
      </c>
      <c r="I7" s="3" t="s">
        <v>34</v>
      </c>
      <c r="J7" s="3">
        <v>64209288004</v>
      </c>
      <c r="K7" s="3">
        <f>VLOOKUP(C7,[1]Coop!A:B,2,FALSE)</f>
        <v>703</v>
      </c>
      <c r="L7" s="3">
        <v>8</v>
      </c>
      <c r="M7" s="5" t="s">
        <v>35</v>
      </c>
    </row>
    <row r="8" spans="1:13" ht="14.5" x14ac:dyDescent="0.35">
      <c r="A8" s="3">
        <v>1211</v>
      </c>
      <c r="B8" s="3" t="str">
        <f>VLOOKUP(A8,[1]Ramos!A:C,3,FALSE)</f>
        <v xml:space="preserve"> Automóvel</v>
      </c>
      <c r="C8" s="3">
        <v>4015948</v>
      </c>
      <c r="D8" s="3">
        <v>135892257</v>
      </c>
      <c r="E8" s="3" t="s">
        <v>36</v>
      </c>
      <c r="F8" s="3" t="s">
        <v>37</v>
      </c>
      <c r="G8" s="4">
        <v>46007</v>
      </c>
      <c r="H8" s="3" t="s">
        <v>15</v>
      </c>
      <c r="I8" s="3" t="s">
        <v>38</v>
      </c>
      <c r="J8" s="6">
        <v>45814800000000</v>
      </c>
      <c r="K8" s="3">
        <f>VLOOKUP(C8,[1]Coop!A:B,2,FALSE)</f>
        <v>810</v>
      </c>
      <c r="L8" s="3">
        <v>34</v>
      </c>
      <c r="M8" s="5" t="s">
        <v>39</v>
      </c>
    </row>
    <row r="9" spans="1:13" ht="14.5" x14ac:dyDescent="0.35">
      <c r="A9" s="3">
        <v>1211</v>
      </c>
      <c r="B9" s="3" t="str">
        <f>VLOOKUP(A9,[1]Ramos!A:C,3,FALSE)</f>
        <v xml:space="preserve"> Automóvel</v>
      </c>
      <c r="C9" s="3">
        <v>4015880</v>
      </c>
      <c r="D9" s="3">
        <v>135886892</v>
      </c>
      <c r="E9" s="3" t="s">
        <v>40</v>
      </c>
      <c r="F9" s="3" t="s">
        <v>26</v>
      </c>
      <c r="G9" s="4">
        <v>46007</v>
      </c>
      <c r="H9" s="3" t="s">
        <v>15</v>
      </c>
      <c r="I9" s="3" t="s">
        <v>41</v>
      </c>
      <c r="J9" s="3">
        <v>70430454015</v>
      </c>
      <c r="K9" s="3">
        <f>VLOOKUP(C9,[1]Coop!A:B,2,FALSE)</f>
        <v>109</v>
      </c>
      <c r="L9" s="3">
        <v>10</v>
      </c>
      <c r="M9" s="5" t="s">
        <v>42</v>
      </c>
    </row>
    <row r="10" spans="1:13" ht="14.5" x14ac:dyDescent="0.35">
      <c r="A10" s="3">
        <v>1211</v>
      </c>
      <c r="B10" s="3" t="str">
        <f>VLOOKUP(A10,[1]Ramos!A:C,3,FALSE)</f>
        <v xml:space="preserve"> Automóvel</v>
      </c>
      <c r="C10" s="3">
        <v>4015957</v>
      </c>
      <c r="D10" s="3">
        <v>135893499</v>
      </c>
      <c r="E10" s="3" t="s">
        <v>43</v>
      </c>
      <c r="F10" s="3" t="s">
        <v>37</v>
      </c>
      <c r="G10" s="4">
        <v>46007</v>
      </c>
      <c r="H10" s="3" t="s">
        <v>44</v>
      </c>
      <c r="I10" s="3" t="s">
        <v>45</v>
      </c>
      <c r="J10" s="6">
        <v>31841000000000</v>
      </c>
      <c r="K10" s="3">
        <f>VLOOKUP(C10,[1]Coop!A:B,2,FALSE)</f>
        <v>914</v>
      </c>
      <c r="L10" s="3">
        <v>11</v>
      </c>
      <c r="M10" s="5" t="s">
        <v>39</v>
      </c>
    </row>
    <row r="11" spans="1:13" ht="14.5" x14ac:dyDescent="0.35">
      <c r="A11" s="3">
        <v>1211</v>
      </c>
      <c r="B11" s="3" t="str">
        <f>VLOOKUP(A11,[1]Ramos!A:C,3,FALSE)</f>
        <v xml:space="preserve"> Automóvel</v>
      </c>
      <c r="C11" s="3">
        <v>4015925</v>
      </c>
      <c r="D11" s="3">
        <v>135907860</v>
      </c>
      <c r="E11" s="3" t="s">
        <v>46</v>
      </c>
      <c r="F11" s="3" t="s">
        <v>26</v>
      </c>
      <c r="G11" s="4">
        <v>46008</v>
      </c>
      <c r="H11" s="3" t="s">
        <v>15</v>
      </c>
      <c r="I11" s="3" t="s">
        <v>47</v>
      </c>
      <c r="J11" s="3">
        <v>5367659950</v>
      </c>
      <c r="K11" s="3">
        <f>VLOOKUP(C11,[1]Coop!A:B,2,FALSE)</f>
        <v>719</v>
      </c>
      <c r="L11" s="3">
        <v>34</v>
      </c>
      <c r="M11" s="5" t="s">
        <v>48</v>
      </c>
    </row>
    <row r="12" spans="1:13" ht="14.5" x14ac:dyDescent="0.35">
      <c r="A12" s="3">
        <v>1211</v>
      </c>
      <c r="B12" s="3" t="str">
        <f>VLOOKUP(A12,[1]Ramos!A:C,3,FALSE)</f>
        <v xml:space="preserve"> Automóvel</v>
      </c>
      <c r="C12" s="3">
        <v>4015923</v>
      </c>
      <c r="D12" s="3">
        <v>135883668</v>
      </c>
      <c r="E12" s="3" t="s">
        <v>49</v>
      </c>
      <c r="F12" s="3" t="s">
        <v>26</v>
      </c>
      <c r="G12" s="4">
        <v>46007</v>
      </c>
      <c r="H12" s="3" t="s">
        <v>15</v>
      </c>
      <c r="I12" s="3" t="s">
        <v>50</v>
      </c>
      <c r="J12" s="3">
        <v>6612753960</v>
      </c>
      <c r="K12" s="3">
        <f>VLOOKUP(C12,[1]Coop!A:B,2,FALSE)</f>
        <v>717</v>
      </c>
      <c r="L12" s="3">
        <v>10</v>
      </c>
      <c r="M12" s="5" t="s">
        <v>51</v>
      </c>
    </row>
    <row r="13" spans="1:13" ht="14.5" x14ac:dyDescent="0.35">
      <c r="A13" s="3">
        <v>1211</v>
      </c>
      <c r="B13" s="3" t="str">
        <f>VLOOKUP(A13,[1]Ramos!A:C,3,FALSE)</f>
        <v xml:space="preserve"> Automóvel</v>
      </c>
      <c r="C13" s="3">
        <v>4015983</v>
      </c>
      <c r="D13" s="3">
        <v>135905733</v>
      </c>
      <c r="E13" s="3" t="s">
        <v>52</v>
      </c>
      <c r="F13" s="3" t="s">
        <v>26</v>
      </c>
      <c r="G13" s="4">
        <v>46008</v>
      </c>
      <c r="H13" s="3" t="s">
        <v>33</v>
      </c>
      <c r="I13" s="3" t="s">
        <v>53</v>
      </c>
      <c r="J13" s="3">
        <v>5249435408</v>
      </c>
      <c r="K13" s="3">
        <f>VLOOKUP(C13,[1]Coop!A:B,2,FALSE)</f>
        <v>2201</v>
      </c>
      <c r="L13" s="3">
        <v>3</v>
      </c>
      <c r="M13" s="5" t="s">
        <v>54</v>
      </c>
    </row>
    <row r="14" spans="1:13" ht="14.5" x14ac:dyDescent="0.35">
      <c r="A14" s="3">
        <v>1211</v>
      </c>
      <c r="B14" s="3" t="str">
        <f>VLOOKUP(A14,[1]Ramos!A:C,3,FALSE)</f>
        <v xml:space="preserve"> Automóvel</v>
      </c>
      <c r="C14" s="3">
        <v>4015989</v>
      </c>
      <c r="D14" s="3">
        <v>135922388</v>
      </c>
      <c r="E14" s="3" t="s">
        <v>55</v>
      </c>
      <c r="F14" s="3" t="s">
        <v>26</v>
      </c>
      <c r="G14" s="4">
        <v>46009</v>
      </c>
      <c r="H14" s="3" t="s">
        <v>15</v>
      </c>
      <c r="I14" s="3" t="s">
        <v>56</v>
      </c>
      <c r="J14" s="6">
        <v>29311000000000</v>
      </c>
      <c r="K14" s="3">
        <f>VLOOKUP(C14,[1]Coop!A:B,2,FALSE)</f>
        <v>2207</v>
      </c>
      <c r="L14" s="3">
        <v>2</v>
      </c>
      <c r="M14" s="7" t="s">
        <v>57</v>
      </c>
    </row>
    <row r="15" spans="1:13" ht="14.5" x14ac:dyDescent="0.35">
      <c r="A15" s="3">
        <v>1211</v>
      </c>
      <c r="B15" s="3" t="str">
        <f>VLOOKUP(A15,[1]Ramos!A:C,3,FALSE)</f>
        <v xml:space="preserve"> Automóvel</v>
      </c>
      <c r="C15" s="3">
        <v>4015931</v>
      </c>
      <c r="D15" s="3">
        <v>135919468</v>
      </c>
      <c r="E15" s="3" t="s">
        <v>58</v>
      </c>
      <c r="F15" s="3" t="s">
        <v>26</v>
      </c>
      <c r="G15" s="4">
        <v>46009</v>
      </c>
      <c r="H15" s="3" t="s">
        <v>15</v>
      </c>
      <c r="I15" s="3" t="s">
        <v>59</v>
      </c>
      <c r="J15" s="3">
        <v>10360694942</v>
      </c>
      <c r="K15" s="3">
        <f>VLOOKUP(C15,[1]Coop!A:B,2,FALSE)</f>
        <v>728</v>
      </c>
      <c r="L15" s="3">
        <v>15</v>
      </c>
      <c r="M15" s="5" t="s">
        <v>35</v>
      </c>
    </row>
    <row r="16" spans="1:13" ht="14.5" x14ac:dyDescent="0.35">
      <c r="A16" s="3">
        <v>1211</v>
      </c>
      <c r="B16" s="3" t="str">
        <f>VLOOKUP(A16,[1]Ramos!A:C,3,FALSE)</f>
        <v xml:space="preserve"> Automóvel</v>
      </c>
      <c r="C16" s="3">
        <v>4015948</v>
      </c>
      <c r="D16" s="3">
        <v>135930396</v>
      </c>
      <c r="E16" s="3" t="s">
        <v>60</v>
      </c>
      <c r="F16" s="3" t="s">
        <v>26</v>
      </c>
      <c r="G16" s="4">
        <v>46009</v>
      </c>
      <c r="H16" s="3" t="s">
        <v>15</v>
      </c>
      <c r="I16" s="3" t="s">
        <v>61</v>
      </c>
      <c r="J16" s="6">
        <v>38243900000000</v>
      </c>
      <c r="K16" s="3">
        <f>VLOOKUP(C16,[1]Coop!A:B,2,FALSE)</f>
        <v>810</v>
      </c>
      <c r="L16" s="3">
        <v>18</v>
      </c>
      <c r="M16" s="5" t="s">
        <v>62</v>
      </c>
    </row>
    <row r="17" spans="1:13" ht="14.5" x14ac:dyDescent="0.35">
      <c r="A17" s="3">
        <v>1211</v>
      </c>
      <c r="B17" s="3" t="str">
        <f>VLOOKUP(A17,[1]Ramos!A:C,3,FALSE)</f>
        <v xml:space="preserve"> Automóvel</v>
      </c>
      <c r="C17" s="3">
        <v>4015948</v>
      </c>
      <c r="D17" s="3">
        <v>135921630</v>
      </c>
      <c r="E17" s="3" t="s">
        <v>63</v>
      </c>
      <c r="F17" s="3" t="s">
        <v>26</v>
      </c>
      <c r="G17" s="4">
        <v>46009</v>
      </c>
      <c r="H17" s="3" t="s">
        <v>15</v>
      </c>
      <c r="I17" s="3" t="s">
        <v>64</v>
      </c>
      <c r="J17" s="3">
        <v>72948825172</v>
      </c>
      <c r="K17" s="3">
        <f>VLOOKUP(C17,[1]Coop!A:B,2,FALSE)</f>
        <v>810</v>
      </c>
      <c r="L17" s="3">
        <v>34</v>
      </c>
      <c r="M17" s="7" t="s">
        <v>65</v>
      </c>
    </row>
    <row r="18" spans="1:13" ht="14.5" x14ac:dyDescent="0.35">
      <c r="A18" s="3">
        <v>1211</v>
      </c>
      <c r="B18" s="3" t="str">
        <f>VLOOKUP(A18,[1]Ramos!A:C,3,FALSE)</f>
        <v xml:space="preserve"> Automóvel</v>
      </c>
      <c r="C18" s="3">
        <v>4015886</v>
      </c>
      <c r="D18" s="3">
        <v>135943426</v>
      </c>
      <c r="E18" s="3" t="s">
        <v>66</v>
      </c>
      <c r="F18" s="3" t="s">
        <v>26</v>
      </c>
      <c r="G18" s="4">
        <v>46010</v>
      </c>
      <c r="H18" s="3" t="s">
        <v>44</v>
      </c>
      <c r="I18" s="3" t="s">
        <v>67</v>
      </c>
      <c r="J18" s="3">
        <v>2803738058</v>
      </c>
      <c r="K18" s="3">
        <f>VLOOKUP(C18,[1]Coop!A:B,2,FALSE)</f>
        <v>156</v>
      </c>
      <c r="L18" s="3">
        <v>4</v>
      </c>
      <c r="M18" s="5" t="s">
        <v>68</v>
      </c>
    </row>
    <row r="19" spans="1:13" ht="14.5" x14ac:dyDescent="0.35">
      <c r="A19" s="3">
        <v>1211</v>
      </c>
      <c r="B19" s="3" t="str">
        <f>VLOOKUP(A19,[1]Ramos!A:C,3,FALSE)</f>
        <v xml:space="preserve"> Automóvel</v>
      </c>
      <c r="C19" s="3">
        <v>4015907</v>
      </c>
      <c r="D19" s="3">
        <v>135929788</v>
      </c>
      <c r="E19" s="3" t="s">
        <v>69</v>
      </c>
      <c r="F19" s="3" t="s">
        <v>26</v>
      </c>
      <c r="G19" s="4">
        <v>46009</v>
      </c>
      <c r="H19" s="3" t="s">
        <v>15</v>
      </c>
      <c r="I19" s="3" t="s">
        <v>70</v>
      </c>
      <c r="J19" s="3">
        <v>2290557021</v>
      </c>
      <c r="K19" s="3">
        <f>VLOOKUP(C19,[1]Coop!A:B,2,FALSE)</f>
        <v>306</v>
      </c>
      <c r="L19" s="3">
        <v>10</v>
      </c>
      <c r="M19" s="5" t="s">
        <v>71</v>
      </c>
    </row>
    <row r="20" spans="1:13" ht="14.5" x14ac:dyDescent="0.35">
      <c r="A20" s="3">
        <v>1211</v>
      </c>
      <c r="B20" s="3" t="str">
        <f>VLOOKUP(A20,[1]Ramos!A:C,3,FALSE)</f>
        <v xml:space="preserve"> Automóvel</v>
      </c>
      <c r="C20" s="3">
        <v>4016001</v>
      </c>
      <c r="D20" s="3">
        <v>135868690</v>
      </c>
      <c r="E20" s="3" t="s">
        <v>72</v>
      </c>
      <c r="F20" s="3" t="s">
        <v>26</v>
      </c>
      <c r="G20" s="4">
        <v>46006</v>
      </c>
      <c r="H20" s="3" t="s">
        <v>15</v>
      </c>
      <c r="I20" s="3" t="s">
        <v>73</v>
      </c>
      <c r="J20" s="3">
        <v>3624840908</v>
      </c>
      <c r="K20" s="3">
        <f>VLOOKUP(C20,[1]Coop!A:B,2,FALSE)</f>
        <v>2604</v>
      </c>
      <c r="L20" s="3">
        <v>2</v>
      </c>
      <c r="M20" s="5" t="s">
        <v>74</v>
      </c>
    </row>
    <row r="21" spans="1:13" ht="14.5" x14ac:dyDescent="0.35">
      <c r="A21" s="3">
        <v>1211</v>
      </c>
      <c r="B21" s="3" t="str">
        <f>VLOOKUP(A21,[1]Ramos!A:C,3,FALSE)</f>
        <v xml:space="preserve"> Automóvel</v>
      </c>
      <c r="C21" s="3">
        <v>4015889</v>
      </c>
      <c r="D21" s="3">
        <v>135997740</v>
      </c>
      <c r="E21" s="3" t="s">
        <v>75</v>
      </c>
      <c r="F21" s="3" t="s">
        <v>76</v>
      </c>
      <c r="G21" s="4">
        <v>46014</v>
      </c>
      <c r="H21" s="3" t="s">
        <v>15</v>
      </c>
      <c r="I21" s="3" t="s">
        <v>77</v>
      </c>
      <c r="J21" s="3">
        <v>3006677013</v>
      </c>
      <c r="K21" s="3">
        <f>VLOOKUP(C21,[1]Coop!A:B,2,FALSE)</f>
        <v>179</v>
      </c>
      <c r="L21" s="3">
        <v>6</v>
      </c>
      <c r="M21" s="5" t="s">
        <v>78</v>
      </c>
    </row>
    <row r="22" spans="1:13" ht="14.5" x14ac:dyDescent="0.35">
      <c r="A22" s="3">
        <v>1211</v>
      </c>
      <c r="B22" s="3" t="str">
        <f>VLOOKUP(A22,[1]Ramos!A:C,3,FALSE)</f>
        <v xml:space="preserve"> Automóvel</v>
      </c>
      <c r="C22" s="3">
        <v>4015954</v>
      </c>
      <c r="D22" s="3">
        <v>135998909</v>
      </c>
      <c r="E22" s="3" t="s">
        <v>79</v>
      </c>
      <c r="F22" s="3" t="s">
        <v>37</v>
      </c>
      <c r="G22" s="4">
        <v>46021</v>
      </c>
      <c r="H22" s="3" t="s">
        <v>33</v>
      </c>
      <c r="I22" s="3" t="s">
        <v>80</v>
      </c>
      <c r="J22" s="3">
        <v>50140264191</v>
      </c>
      <c r="K22" s="3">
        <f>VLOOKUP(C22,[1]Coop!A:B,2,FALSE)</f>
        <v>903</v>
      </c>
      <c r="L22" s="3">
        <v>17</v>
      </c>
      <c r="M22" s="5" t="s">
        <v>81</v>
      </c>
    </row>
    <row r="23" spans="1:13" ht="14.5" x14ac:dyDescent="0.35">
      <c r="A23" s="3">
        <v>2013</v>
      </c>
      <c r="B23" s="3" t="str">
        <f>VLOOKUP(A23,[1]Ramos!A:C,3,FALSE)</f>
        <v xml:space="preserve"> Residencia Digital</v>
      </c>
      <c r="C23" s="3">
        <v>4015921</v>
      </c>
      <c r="D23" s="3">
        <v>135787533</v>
      </c>
      <c r="E23" s="3" t="s">
        <v>82</v>
      </c>
      <c r="F23" s="3" t="s">
        <v>14</v>
      </c>
      <c r="G23" s="4">
        <v>46001</v>
      </c>
      <c r="H23" s="3" t="s">
        <v>33</v>
      </c>
      <c r="I23" s="3" t="s">
        <v>83</v>
      </c>
      <c r="J23" s="3">
        <v>1616048034</v>
      </c>
      <c r="K23" s="3">
        <f>VLOOKUP(C23,[1]Coop!A:B,2,FALSE)</f>
        <v>710</v>
      </c>
      <c r="L23" s="3">
        <v>54</v>
      </c>
      <c r="M23" s="5" t="s">
        <v>24</v>
      </c>
    </row>
    <row r="24" spans="1:13" ht="14.5" x14ac:dyDescent="0.35">
      <c r="A24" s="3">
        <v>1211</v>
      </c>
      <c r="B24" s="3" t="str">
        <f>VLOOKUP(A24,[1]Ramos!A:C,3,FALSE)</f>
        <v xml:space="preserve"> Automóvel</v>
      </c>
      <c r="C24" s="3">
        <v>4015949</v>
      </c>
      <c r="D24" s="3">
        <v>135881459</v>
      </c>
      <c r="E24" s="3" t="s">
        <v>84</v>
      </c>
      <c r="F24" s="3" t="s">
        <v>26</v>
      </c>
      <c r="G24" s="4">
        <v>46007</v>
      </c>
      <c r="H24" s="3" t="s">
        <v>15</v>
      </c>
      <c r="I24" s="3" t="s">
        <v>85</v>
      </c>
      <c r="J24" s="3">
        <v>46035958915</v>
      </c>
      <c r="K24" s="3">
        <f>VLOOKUP(C24,[1]Coop!A:B,2,FALSE)</f>
        <v>812</v>
      </c>
      <c r="L24" s="3">
        <v>6</v>
      </c>
      <c r="M24" s="5" t="s">
        <v>86</v>
      </c>
    </row>
    <row r="25" spans="1:13" ht="14.5" x14ac:dyDescent="0.35">
      <c r="A25" s="3">
        <v>1211</v>
      </c>
      <c r="B25" s="3" t="str">
        <f>VLOOKUP(A25,[1]Ramos!A:C,3,FALSE)</f>
        <v xml:space="preserve"> Automóvel</v>
      </c>
      <c r="C25" s="3">
        <v>4015876</v>
      </c>
      <c r="D25" s="3">
        <v>136012941</v>
      </c>
      <c r="E25" s="3" t="s">
        <v>87</v>
      </c>
      <c r="F25" s="3" t="s">
        <v>76</v>
      </c>
      <c r="G25" s="4">
        <v>46015</v>
      </c>
      <c r="H25" s="3" t="s">
        <v>15</v>
      </c>
      <c r="I25" s="3" t="s">
        <v>88</v>
      </c>
      <c r="J25" s="3">
        <v>99643316068</v>
      </c>
      <c r="K25" s="3">
        <f>VLOOKUP(C25,[1]Coop!A:B,2,FALSE)</f>
        <v>101</v>
      </c>
      <c r="L25" s="3">
        <v>9</v>
      </c>
      <c r="M25" s="5" t="s">
        <v>89</v>
      </c>
    </row>
    <row r="26" spans="1:13" ht="14.5" x14ac:dyDescent="0.35">
      <c r="A26" s="3">
        <v>1211</v>
      </c>
      <c r="B26" s="3" t="str">
        <f>VLOOKUP(A26,[1]Ramos!A:C,3,FALSE)</f>
        <v xml:space="preserve"> Automóvel</v>
      </c>
      <c r="C26" s="3">
        <v>4015876</v>
      </c>
      <c r="D26" s="3">
        <v>136012526</v>
      </c>
      <c r="E26" s="3" t="s">
        <v>90</v>
      </c>
      <c r="F26" s="3" t="s">
        <v>76</v>
      </c>
      <c r="G26" s="4">
        <v>46015</v>
      </c>
      <c r="H26" s="3" t="s">
        <v>15</v>
      </c>
      <c r="I26" s="3" t="s">
        <v>88</v>
      </c>
      <c r="J26" s="3">
        <v>99643316068</v>
      </c>
      <c r="K26" s="3">
        <f>VLOOKUP(C26,[1]Coop!A:B,2,FALSE)</f>
        <v>101</v>
      </c>
      <c r="L26" s="3">
        <v>9</v>
      </c>
      <c r="M26" s="5" t="s">
        <v>89</v>
      </c>
    </row>
    <row r="27" spans="1:13" ht="14.5" x14ac:dyDescent="0.35">
      <c r="A27" s="3">
        <v>1213</v>
      </c>
      <c r="B27" s="3" t="str">
        <f>VLOOKUP(A27,[1]Ramos!A:C,3,FALSE)</f>
        <v xml:space="preserve"> Caminhão</v>
      </c>
      <c r="C27" s="3">
        <v>4015893</v>
      </c>
      <c r="D27" s="3">
        <v>136013908</v>
      </c>
      <c r="E27" s="3" t="s">
        <v>91</v>
      </c>
      <c r="F27" s="3" t="s">
        <v>76</v>
      </c>
      <c r="G27" s="4">
        <v>46028</v>
      </c>
      <c r="H27" s="3" t="s">
        <v>44</v>
      </c>
      <c r="I27" s="3" t="s">
        <v>92</v>
      </c>
      <c r="J27" s="6">
        <v>20496200000000</v>
      </c>
      <c r="K27" s="3">
        <f>VLOOKUP(C27,[1]Coop!A:B,2,FALSE)</f>
        <v>217</v>
      </c>
      <c r="L27" s="3">
        <v>34</v>
      </c>
      <c r="M27" s="5" t="s">
        <v>89</v>
      </c>
    </row>
    <row r="28" spans="1:13" ht="14.5" x14ac:dyDescent="0.35">
      <c r="A28" s="3">
        <v>1211</v>
      </c>
      <c r="B28" s="3" t="str">
        <f>VLOOKUP(A28,[1]Ramos!A:C,3,FALSE)</f>
        <v xml:space="preserve"> Automóvel</v>
      </c>
      <c r="C28" s="3">
        <v>4015886</v>
      </c>
      <c r="D28" s="3">
        <v>136014872</v>
      </c>
      <c r="E28" s="3" t="s">
        <v>93</v>
      </c>
      <c r="F28" s="3" t="s">
        <v>76</v>
      </c>
      <c r="G28" s="4">
        <v>46017</v>
      </c>
      <c r="H28" s="3" t="s">
        <v>44</v>
      </c>
      <c r="I28" s="3" t="s">
        <v>94</v>
      </c>
      <c r="J28" s="3">
        <v>60068256000</v>
      </c>
      <c r="K28" s="3">
        <f>VLOOKUP(C28,[1]Coop!A:B,2,FALSE)</f>
        <v>156</v>
      </c>
      <c r="L28" s="3">
        <v>9</v>
      </c>
      <c r="M28" s="5" t="s">
        <v>89</v>
      </c>
    </row>
    <row r="29" spans="1:13" ht="14.5" x14ac:dyDescent="0.35">
      <c r="A29" s="3">
        <v>1211</v>
      </c>
      <c r="B29" s="3" t="str">
        <f>VLOOKUP(A29,[1]Ramos!A:C,3,FALSE)</f>
        <v xml:space="preserve"> Automóvel</v>
      </c>
      <c r="C29" s="3">
        <v>4015954</v>
      </c>
      <c r="D29" s="3">
        <v>136013505</v>
      </c>
      <c r="E29" s="3" t="s">
        <v>95</v>
      </c>
      <c r="F29" s="3" t="s">
        <v>76</v>
      </c>
      <c r="G29" s="4">
        <v>46017</v>
      </c>
      <c r="H29" s="3" t="s">
        <v>44</v>
      </c>
      <c r="I29" s="3" t="s">
        <v>96</v>
      </c>
      <c r="J29" s="3">
        <v>58300171134</v>
      </c>
      <c r="K29" s="3">
        <f>VLOOKUP(C29,[1]Coop!A:B,2,FALSE)</f>
        <v>903</v>
      </c>
      <c r="L29" s="3">
        <v>2</v>
      </c>
      <c r="M29" s="5" t="s">
        <v>89</v>
      </c>
    </row>
    <row r="30" spans="1:13" ht="14.5" x14ac:dyDescent="0.35">
      <c r="A30" s="3">
        <v>1211</v>
      </c>
      <c r="B30" s="3" t="str">
        <f>VLOOKUP(A30,[1]Ramos!A:C,3,FALSE)</f>
        <v xml:space="preserve"> Automóvel</v>
      </c>
      <c r="C30" s="3">
        <v>4015902</v>
      </c>
      <c r="D30" s="3">
        <v>136014374</v>
      </c>
      <c r="E30" s="3" t="s">
        <v>97</v>
      </c>
      <c r="F30" s="3" t="s">
        <v>76</v>
      </c>
      <c r="G30" s="4">
        <v>46025</v>
      </c>
      <c r="H30" s="4" t="s">
        <v>44</v>
      </c>
      <c r="I30" s="3" t="s">
        <v>98</v>
      </c>
      <c r="J30" s="3">
        <v>12345725087</v>
      </c>
      <c r="K30" s="3">
        <f>VLOOKUP(C30,[1]Coop!A:B,2,FALSE)</f>
        <v>258</v>
      </c>
      <c r="L30" s="3">
        <v>7</v>
      </c>
      <c r="M30" s="5" t="s">
        <v>89</v>
      </c>
    </row>
    <row r="31" spans="1:13" ht="14.5" x14ac:dyDescent="0.35">
      <c r="A31" s="3">
        <v>1212</v>
      </c>
      <c r="B31" s="3" t="str">
        <f>VLOOKUP(A31,[1]Ramos!A:C,3,FALSE)</f>
        <v xml:space="preserve"> Moto</v>
      </c>
      <c r="C31" s="3">
        <v>4016002</v>
      </c>
      <c r="D31" s="3">
        <v>135899343</v>
      </c>
      <c r="E31" s="3" t="s">
        <v>99</v>
      </c>
      <c r="F31" s="3" t="s">
        <v>26</v>
      </c>
      <c r="G31" s="4">
        <v>46008</v>
      </c>
      <c r="H31" s="3" t="s">
        <v>15</v>
      </c>
      <c r="I31" s="3" t="s">
        <v>100</v>
      </c>
      <c r="J31" s="3">
        <v>5706153990</v>
      </c>
      <c r="K31" s="3">
        <f>VLOOKUP(C31,[1]Coop!A:B,2,FALSE)</f>
        <v>2606</v>
      </c>
      <c r="L31" s="3">
        <v>33</v>
      </c>
      <c r="M31" s="5" t="s">
        <v>101</v>
      </c>
    </row>
    <row r="32" spans="1:13" ht="14.5" x14ac:dyDescent="0.35">
      <c r="A32" s="3">
        <v>1211</v>
      </c>
      <c r="B32" s="3" t="str">
        <f>VLOOKUP(A32,[1]Ramos!A:C,3,FALSE)</f>
        <v xml:space="preserve"> Automóvel</v>
      </c>
      <c r="C32" s="3">
        <v>4015936</v>
      </c>
      <c r="D32" s="3">
        <v>135865147</v>
      </c>
      <c r="E32" s="3" t="s">
        <v>102</v>
      </c>
      <c r="F32" s="3" t="s">
        <v>26</v>
      </c>
      <c r="G32" s="4">
        <v>46006</v>
      </c>
      <c r="H32" s="3" t="s">
        <v>15</v>
      </c>
      <c r="I32" s="3" t="s">
        <v>103</v>
      </c>
      <c r="J32" s="3">
        <v>4070817980</v>
      </c>
      <c r="K32" s="3">
        <f>VLOOKUP(C32,[1]Coop!A:B,2,FALSE)</f>
        <v>738</v>
      </c>
      <c r="L32" s="3">
        <v>7</v>
      </c>
      <c r="M32" s="5" t="s">
        <v>104</v>
      </c>
    </row>
    <row r="33" spans="1:13" ht="14.5" x14ac:dyDescent="0.35">
      <c r="A33" s="3">
        <v>1211</v>
      </c>
      <c r="B33" s="3" t="str">
        <f>VLOOKUP(A33,[1]Ramos!A:C,3,FALSE)</f>
        <v xml:space="preserve"> Automóvel</v>
      </c>
      <c r="C33" s="3">
        <v>4015916</v>
      </c>
      <c r="D33" s="3">
        <v>135867078</v>
      </c>
      <c r="E33" s="3" t="s">
        <v>105</v>
      </c>
      <c r="F33" s="3" t="s">
        <v>26</v>
      </c>
      <c r="G33" s="4">
        <v>46006</v>
      </c>
      <c r="H33" s="3" t="s">
        <v>33</v>
      </c>
      <c r="I33" s="3" t="s">
        <v>106</v>
      </c>
      <c r="J33" s="3">
        <v>63356783068</v>
      </c>
      <c r="K33" s="3">
        <f>VLOOKUP(C33,[1]Coop!A:B,2,FALSE)</f>
        <v>523</v>
      </c>
      <c r="L33" s="3" t="s">
        <v>107</v>
      </c>
      <c r="M33" s="7" t="s">
        <v>108</v>
      </c>
    </row>
    <row r="34" spans="1:13" ht="14.5" x14ac:dyDescent="0.35">
      <c r="A34" s="3">
        <v>1211</v>
      </c>
      <c r="B34" s="3" t="str">
        <f>VLOOKUP(A34,[1]Ramos!A:C,3,FALSE)</f>
        <v xml:space="preserve"> Automóvel</v>
      </c>
      <c r="C34" s="3">
        <v>4016004</v>
      </c>
      <c r="D34" s="3">
        <v>135880622</v>
      </c>
      <c r="E34" s="3" t="s">
        <v>109</v>
      </c>
      <c r="F34" s="3" t="s">
        <v>26</v>
      </c>
      <c r="G34" s="4">
        <v>46007</v>
      </c>
      <c r="H34" s="3" t="s">
        <v>15</v>
      </c>
      <c r="I34" s="3" t="s">
        <v>110</v>
      </c>
      <c r="J34" s="3">
        <v>40154260886</v>
      </c>
      <c r="K34" s="3">
        <f>VLOOKUP(C34,[1]Coop!A:B,2,FALSE)</f>
        <v>3003</v>
      </c>
      <c r="L34" s="3">
        <v>14</v>
      </c>
      <c r="M34" s="7" t="s">
        <v>111</v>
      </c>
    </row>
    <row r="35" spans="1:13" ht="14.5" x14ac:dyDescent="0.35">
      <c r="A35" s="3">
        <v>1211</v>
      </c>
      <c r="B35" s="3" t="str">
        <f>VLOOKUP(A35,[1]Ramos!A:C,3,FALSE)</f>
        <v xml:space="preserve"> Automóvel</v>
      </c>
      <c r="C35" s="3">
        <v>4015918</v>
      </c>
      <c r="D35" s="3">
        <v>135889468</v>
      </c>
      <c r="E35" s="3" t="s">
        <v>112</v>
      </c>
      <c r="F35" s="3" t="s">
        <v>26</v>
      </c>
      <c r="G35" s="4">
        <v>46007</v>
      </c>
      <c r="H35" s="3" t="s">
        <v>15</v>
      </c>
      <c r="I35" s="3" t="s">
        <v>113</v>
      </c>
      <c r="J35" s="6">
        <v>27313400000000</v>
      </c>
      <c r="K35" s="3">
        <f>VLOOKUP(C35,[1]Coop!A:B,2,FALSE)</f>
        <v>663</v>
      </c>
      <c r="L35" s="3">
        <v>3</v>
      </c>
      <c r="M35" s="7" t="s">
        <v>114</v>
      </c>
    </row>
    <row r="36" spans="1:13" ht="14.5" x14ac:dyDescent="0.35">
      <c r="A36" s="3">
        <v>1211</v>
      </c>
      <c r="B36" s="3" t="str">
        <f>VLOOKUP(A36,[1]Ramos!A:C,3,FALSE)</f>
        <v xml:space="preserve"> Automóvel</v>
      </c>
      <c r="C36" s="3">
        <v>4015923</v>
      </c>
      <c r="D36" s="3">
        <v>135284295</v>
      </c>
      <c r="E36" s="3" t="s">
        <v>115</v>
      </c>
      <c r="F36" s="3" t="s">
        <v>26</v>
      </c>
      <c r="G36" s="4">
        <v>46007</v>
      </c>
      <c r="H36" s="3" t="s">
        <v>116</v>
      </c>
      <c r="I36" s="3" t="s">
        <v>117</v>
      </c>
      <c r="J36" s="3">
        <v>42342635834</v>
      </c>
      <c r="K36" s="3">
        <f>VLOOKUP(C36,[1]Coop!A:B,2,FALSE)</f>
        <v>717</v>
      </c>
      <c r="L36" s="3">
        <v>16</v>
      </c>
      <c r="M36" s="7" t="s">
        <v>118</v>
      </c>
    </row>
    <row r="37" spans="1:13" ht="14.5" x14ac:dyDescent="0.35">
      <c r="A37" s="3">
        <v>1211</v>
      </c>
      <c r="B37" s="3" t="str">
        <f>VLOOKUP(A37,[1]Ramos!A:C,3,FALSE)</f>
        <v xml:space="preserve"> Automóvel</v>
      </c>
      <c r="C37" s="3">
        <v>4015925</v>
      </c>
      <c r="D37" s="3">
        <v>135907271</v>
      </c>
      <c r="E37" s="3" t="s">
        <v>119</v>
      </c>
      <c r="F37" s="3" t="s">
        <v>26</v>
      </c>
      <c r="G37" s="4">
        <v>46008</v>
      </c>
      <c r="H37" s="3" t="s">
        <v>15</v>
      </c>
      <c r="I37" s="3" t="s">
        <v>47</v>
      </c>
      <c r="J37" s="3">
        <v>5367659950</v>
      </c>
      <c r="K37" s="3">
        <f>VLOOKUP(C37,[1]Coop!A:B,2,FALSE)</f>
        <v>719</v>
      </c>
      <c r="L37" s="3">
        <v>34</v>
      </c>
      <c r="M37" s="7" t="s">
        <v>120</v>
      </c>
    </row>
    <row r="38" spans="1:13" ht="14.5" x14ac:dyDescent="0.35">
      <c r="A38" s="3">
        <v>1211</v>
      </c>
      <c r="B38" s="3" t="str">
        <f>VLOOKUP(A38,[1]Ramos!A:C,3,FALSE)</f>
        <v xml:space="preserve"> Automóvel</v>
      </c>
      <c r="C38" s="3">
        <v>4015950</v>
      </c>
      <c r="D38" s="3">
        <v>135908899</v>
      </c>
      <c r="E38" s="3" t="s">
        <v>121</v>
      </c>
      <c r="F38" s="3" t="s">
        <v>26</v>
      </c>
      <c r="G38" s="4">
        <v>46008</v>
      </c>
      <c r="H38" s="3" t="s">
        <v>15</v>
      </c>
      <c r="I38" s="3" t="s">
        <v>122</v>
      </c>
      <c r="J38" s="6">
        <v>34697500000000</v>
      </c>
      <c r="K38" s="3">
        <f>VLOOKUP(C38,[1]Coop!A:B,2,FALSE)</f>
        <v>818</v>
      </c>
      <c r="L38" s="3">
        <v>22</v>
      </c>
      <c r="M38" s="7" t="s">
        <v>123</v>
      </c>
    </row>
    <row r="39" spans="1:13" ht="14.5" x14ac:dyDescent="0.35">
      <c r="A39" s="3">
        <v>1211</v>
      </c>
      <c r="B39" s="3" t="str">
        <f>VLOOKUP(A39,[1]Ramos!A:C,3,FALSE)</f>
        <v xml:space="preserve"> Automóvel</v>
      </c>
      <c r="C39" s="3">
        <v>4015949</v>
      </c>
      <c r="D39" s="3">
        <v>135904320</v>
      </c>
      <c r="E39" s="3" t="s">
        <v>124</v>
      </c>
      <c r="F39" s="3" t="s">
        <v>26</v>
      </c>
      <c r="G39" s="4">
        <v>46008</v>
      </c>
      <c r="H39" s="3" t="s">
        <v>15</v>
      </c>
      <c r="I39" s="3" t="s">
        <v>125</v>
      </c>
      <c r="J39" s="3">
        <v>82021040178</v>
      </c>
      <c r="K39" s="3">
        <f>VLOOKUP(C39,[1]Coop!A:B,2,FALSE)</f>
        <v>812</v>
      </c>
      <c r="L39" s="3">
        <v>22</v>
      </c>
      <c r="M39" s="7" t="s">
        <v>126</v>
      </c>
    </row>
    <row r="40" spans="1:13" ht="14.5" x14ac:dyDescent="0.35">
      <c r="A40" s="3">
        <v>1211</v>
      </c>
      <c r="B40" s="3" t="str">
        <f>VLOOKUP(A40,[1]Ramos!A:C,3,FALSE)</f>
        <v xml:space="preserve"> Automóvel</v>
      </c>
      <c r="C40" s="3">
        <v>4015951</v>
      </c>
      <c r="D40" s="3">
        <v>135909882</v>
      </c>
      <c r="E40" s="3" t="s">
        <v>127</v>
      </c>
      <c r="F40" s="3" t="s">
        <v>26</v>
      </c>
      <c r="G40" s="4">
        <v>46008</v>
      </c>
      <c r="H40" s="3" t="s">
        <v>15</v>
      </c>
      <c r="I40" s="3" t="s">
        <v>128</v>
      </c>
      <c r="J40" s="6">
        <v>55961800000000</v>
      </c>
      <c r="K40" s="3">
        <f>VLOOKUP(C40,[1]Coop!A:B,2,FALSE)</f>
        <v>821</v>
      </c>
      <c r="L40" s="3">
        <v>15</v>
      </c>
      <c r="M40" s="7" t="s">
        <v>129</v>
      </c>
    </row>
    <row r="41" spans="1:13" ht="14.5" x14ac:dyDescent="0.35">
      <c r="A41" s="3">
        <v>1211</v>
      </c>
      <c r="B41" s="3" t="str">
        <f>VLOOKUP(A41,[1]Ramos!A:C,3,FALSE)</f>
        <v xml:space="preserve"> Automóvel</v>
      </c>
      <c r="C41" s="3">
        <v>4015930</v>
      </c>
      <c r="D41" s="3">
        <v>135858382</v>
      </c>
      <c r="E41" s="3" t="s">
        <v>130</v>
      </c>
      <c r="F41" s="3" t="s">
        <v>26</v>
      </c>
      <c r="G41" s="4">
        <v>46006</v>
      </c>
      <c r="H41" s="3" t="s">
        <v>15</v>
      </c>
      <c r="I41" s="3" t="s">
        <v>131</v>
      </c>
      <c r="J41" s="3">
        <v>3364018928</v>
      </c>
      <c r="K41" s="3">
        <f>VLOOKUP(C41,[1]Coop!A:B,2,FALSE)</f>
        <v>727</v>
      </c>
      <c r="L41" s="3">
        <v>16</v>
      </c>
      <c r="M41" s="7" t="s">
        <v>132</v>
      </c>
    </row>
    <row r="42" spans="1:13" ht="14.5" x14ac:dyDescent="0.35">
      <c r="A42" s="3">
        <v>1211</v>
      </c>
      <c r="B42" s="3" t="str">
        <f>VLOOKUP(A42,[1]Ramos!A:C,3,FALSE)</f>
        <v xml:space="preserve"> Automóvel</v>
      </c>
      <c r="C42" s="3">
        <v>4016009</v>
      </c>
      <c r="D42" s="3">
        <v>135901487</v>
      </c>
      <c r="E42" s="3" t="s">
        <v>133</v>
      </c>
      <c r="F42" s="3" t="s">
        <v>26</v>
      </c>
      <c r="G42" s="4">
        <v>46008</v>
      </c>
      <c r="H42" s="3" t="s">
        <v>15</v>
      </c>
      <c r="I42" s="3" t="s">
        <v>134</v>
      </c>
      <c r="J42" s="3">
        <v>36525204836</v>
      </c>
      <c r="K42" s="3">
        <f>VLOOKUP(C42,[1]Coop!A:B,2,FALSE)</f>
        <v>3022</v>
      </c>
      <c r="L42" s="3">
        <v>27</v>
      </c>
      <c r="M42" s="7" t="s">
        <v>135</v>
      </c>
    </row>
    <row r="43" spans="1:13" ht="14.5" x14ac:dyDescent="0.35">
      <c r="A43" s="3">
        <v>1212</v>
      </c>
      <c r="B43" s="3" t="str">
        <f>VLOOKUP(A43,[1]Ramos!A:C,3,FALSE)</f>
        <v xml:space="preserve"> Moto</v>
      </c>
      <c r="C43" s="3">
        <v>4015922</v>
      </c>
      <c r="D43" s="3">
        <v>131651261</v>
      </c>
      <c r="E43" s="3" t="s">
        <v>136</v>
      </c>
      <c r="F43" s="3" t="s">
        <v>26</v>
      </c>
      <c r="G43" s="4">
        <v>46009</v>
      </c>
      <c r="H43" s="3" t="s">
        <v>116</v>
      </c>
      <c r="I43" s="3" t="s">
        <v>137</v>
      </c>
      <c r="J43" s="3">
        <v>8415877951</v>
      </c>
      <c r="K43" s="3">
        <f>VLOOKUP(C43,[1]Coop!A:B,2,FALSE)</f>
        <v>715</v>
      </c>
      <c r="L43" s="3">
        <v>17</v>
      </c>
      <c r="M43" s="7" t="s">
        <v>138</v>
      </c>
    </row>
    <row r="44" spans="1:13" ht="14.5" x14ac:dyDescent="0.35">
      <c r="A44" s="3">
        <v>1211</v>
      </c>
      <c r="B44" s="3" t="str">
        <f>VLOOKUP(A44,[1]Ramos!A:C,3,FALSE)</f>
        <v xml:space="preserve"> Automóvel</v>
      </c>
      <c r="C44" s="3">
        <v>4015946</v>
      </c>
      <c r="D44" s="3">
        <v>135882321</v>
      </c>
      <c r="E44" s="3" t="s">
        <v>139</v>
      </c>
      <c r="F44" s="3" t="s">
        <v>26</v>
      </c>
      <c r="G44" s="4">
        <v>46007</v>
      </c>
      <c r="H44" s="3" t="s">
        <v>44</v>
      </c>
      <c r="I44" s="3" t="s">
        <v>140</v>
      </c>
      <c r="J44" s="3">
        <v>63533847187</v>
      </c>
      <c r="K44" s="3">
        <f>VLOOKUP(C44,[1]Coop!A:B,2,FALSE)</f>
        <v>806</v>
      </c>
      <c r="L44" s="3">
        <v>2</v>
      </c>
      <c r="M44" s="7" t="s">
        <v>141</v>
      </c>
    </row>
    <row r="45" spans="1:13" ht="14.5" x14ac:dyDescent="0.35">
      <c r="A45" s="3">
        <v>1211</v>
      </c>
      <c r="B45" s="3" t="str">
        <f>VLOOKUP(A45,[1]Ramos!A:C,3,FALSE)</f>
        <v xml:space="preserve"> Automóvel</v>
      </c>
      <c r="C45" s="3">
        <v>4015931</v>
      </c>
      <c r="D45" s="3">
        <v>135889934</v>
      </c>
      <c r="E45" s="3" t="s">
        <v>142</v>
      </c>
      <c r="F45" s="3" t="s">
        <v>26</v>
      </c>
      <c r="G45" s="4">
        <v>46007</v>
      </c>
      <c r="H45" s="3" t="s">
        <v>15</v>
      </c>
      <c r="I45" s="3" t="s">
        <v>143</v>
      </c>
      <c r="J45" s="3">
        <v>11728201802</v>
      </c>
      <c r="K45" s="3">
        <f>VLOOKUP(C45,[1]Coop!A:B,2,FALSE)</f>
        <v>728</v>
      </c>
      <c r="L45" s="3">
        <v>19</v>
      </c>
      <c r="M45" s="7" t="s">
        <v>132</v>
      </c>
    </row>
    <row r="46" spans="1:13" ht="14.5" x14ac:dyDescent="0.35">
      <c r="A46" s="3">
        <v>1211</v>
      </c>
      <c r="B46" s="3" t="str">
        <f>VLOOKUP(A46,[1]Ramos!A:C,3,FALSE)</f>
        <v xml:space="preserve"> Automóvel</v>
      </c>
      <c r="C46" s="3">
        <v>4015936</v>
      </c>
      <c r="D46" s="3">
        <v>135902878</v>
      </c>
      <c r="E46" s="3" t="s">
        <v>144</v>
      </c>
      <c r="F46" s="3" t="s">
        <v>26</v>
      </c>
      <c r="G46" s="4">
        <v>46008</v>
      </c>
      <c r="H46" s="3" t="s">
        <v>15</v>
      </c>
      <c r="I46" s="3" t="s">
        <v>145</v>
      </c>
      <c r="J46" s="3">
        <v>62022172949</v>
      </c>
      <c r="K46" s="3">
        <f>VLOOKUP(C46,[1]Coop!A:B,2,FALSE)</f>
        <v>738</v>
      </c>
      <c r="L46" s="3">
        <v>6</v>
      </c>
      <c r="M46" s="7" t="s">
        <v>146</v>
      </c>
    </row>
    <row r="47" spans="1:13" ht="14.5" x14ac:dyDescent="0.35">
      <c r="A47" s="3">
        <v>1211</v>
      </c>
      <c r="B47" s="3" t="str">
        <f>VLOOKUP(A47,[1]Ramos!A:C,3,FALSE)</f>
        <v xml:space="preserve"> Automóvel</v>
      </c>
      <c r="C47" s="3">
        <v>4015954</v>
      </c>
      <c r="D47" s="3">
        <v>135910956</v>
      </c>
      <c r="E47" s="3" t="s">
        <v>147</v>
      </c>
      <c r="F47" s="3" t="s">
        <v>26</v>
      </c>
      <c r="G47" s="4">
        <v>46008</v>
      </c>
      <c r="H47" s="3" t="s">
        <v>15</v>
      </c>
      <c r="I47" s="3" t="s">
        <v>148</v>
      </c>
      <c r="J47" s="3">
        <v>6239322105</v>
      </c>
      <c r="K47" s="3">
        <f>VLOOKUP(C47,[1]Coop!A:B,2,FALSE)</f>
        <v>903</v>
      </c>
      <c r="L47" s="3">
        <v>28</v>
      </c>
      <c r="M47" s="7" t="s">
        <v>149</v>
      </c>
    </row>
    <row r="48" spans="1:13" ht="14.5" x14ac:dyDescent="0.35">
      <c r="A48" s="3">
        <v>1211</v>
      </c>
      <c r="B48" s="3" t="str">
        <f>VLOOKUP(A48,[1]Ramos!A:C,3,FALSE)</f>
        <v xml:space="preserve"> Automóvel</v>
      </c>
      <c r="C48" s="3">
        <v>4015936</v>
      </c>
      <c r="D48" s="3">
        <v>135168026</v>
      </c>
      <c r="E48" s="3" t="s">
        <v>150</v>
      </c>
      <c r="F48" s="3" t="s">
        <v>26</v>
      </c>
      <c r="G48" s="4">
        <v>46008</v>
      </c>
      <c r="H48" s="3" t="s">
        <v>116</v>
      </c>
      <c r="I48" s="3" t="s">
        <v>151</v>
      </c>
      <c r="J48" s="3">
        <v>2898175951</v>
      </c>
      <c r="K48" s="3">
        <f>VLOOKUP(C48,[1]Coop!A:B,2,FALSE)</f>
        <v>738</v>
      </c>
      <c r="L48" s="3">
        <v>10</v>
      </c>
      <c r="M48" s="7" t="s">
        <v>152</v>
      </c>
    </row>
    <row r="49" spans="1:13" ht="14.5" x14ac:dyDescent="0.35">
      <c r="A49" s="3">
        <v>1213</v>
      </c>
      <c r="B49" s="3" t="str">
        <f>VLOOKUP(A49,[1]Ramos!A:C,3,FALSE)</f>
        <v xml:space="preserve"> Caminhão</v>
      </c>
      <c r="C49" s="3">
        <v>4015895</v>
      </c>
      <c r="D49" s="3">
        <v>135876842</v>
      </c>
      <c r="E49" s="3" t="s">
        <v>153</v>
      </c>
      <c r="F49" s="3" t="s">
        <v>26</v>
      </c>
      <c r="G49" s="4">
        <v>46007</v>
      </c>
      <c r="H49" s="3" t="s">
        <v>15</v>
      </c>
      <c r="I49" s="3" t="s">
        <v>154</v>
      </c>
      <c r="J49" s="3">
        <v>5393782675</v>
      </c>
      <c r="K49" s="3">
        <f>VLOOKUP(C49,[1]Coop!A:B,2,FALSE)</f>
        <v>221</v>
      </c>
      <c r="L49" s="3">
        <v>18</v>
      </c>
      <c r="M49" s="7" t="s">
        <v>155</v>
      </c>
    </row>
    <row r="50" spans="1:13" ht="14.5" x14ac:dyDescent="0.35">
      <c r="A50" s="3">
        <v>1211</v>
      </c>
      <c r="B50" s="3" t="str">
        <f>VLOOKUP(A50,[1]Ramos!A:C,3,FALSE)</f>
        <v xml:space="preserve"> Automóvel</v>
      </c>
      <c r="C50" s="3">
        <v>4015886</v>
      </c>
      <c r="D50" s="3">
        <v>135873218</v>
      </c>
      <c r="E50" s="3" t="s">
        <v>156</v>
      </c>
      <c r="F50" s="3" t="s">
        <v>26</v>
      </c>
      <c r="G50" s="4">
        <v>46007</v>
      </c>
      <c r="H50" s="3" t="s">
        <v>15</v>
      </c>
      <c r="I50" s="3" t="s">
        <v>157</v>
      </c>
      <c r="J50" s="3">
        <v>786542039</v>
      </c>
      <c r="K50" s="3">
        <f>VLOOKUP(C50,[1]Coop!A:B,2,FALSE)</f>
        <v>156</v>
      </c>
      <c r="L50" s="3">
        <v>10</v>
      </c>
      <c r="M50" s="7" t="s">
        <v>158</v>
      </c>
    </row>
    <row r="51" spans="1:13" ht="14.5" x14ac:dyDescent="0.35">
      <c r="A51" s="3">
        <v>1211</v>
      </c>
      <c r="B51" s="3" t="str">
        <f>VLOOKUP(A51,[1]Ramos!A:C,3,FALSE)</f>
        <v xml:space="preserve"> Automóvel</v>
      </c>
      <c r="C51" s="3">
        <v>4015932</v>
      </c>
      <c r="D51" s="3">
        <v>131203867</v>
      </c>
      <c r="E51" s="3" t="s">
        <v>159</v>
      </c>
      <c r="F51" s="3" t="s">
        <v>26</v>
      </c>
      <c r="G51" s="4">
        <v>46009</v>
      </c>
      <c r="H51" s="3" t="s">
        <v>116</v>
      </c>
      <c r="I51" s="3" t="s">
        <v>160</v>
      </c>
      <c r="J51" s="6">
        <v>10737400000000</v>
      </c>
      <c r="K51" s="3">
        <f>VLOOKUP(C51,[1]Coop!A:B,2,FALSE)</f>
        <v>730</v>
      </c>
      <c r="L51" s="3">
        <v>11</v>
      </c>
      <c r="M51" s="7" t="s">
        <v>161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2025-12-26T21:37:29Z</dcterms:created>
  <dcterms:modified xsi:type="dcterms:W3CDTF">2025-12-26T21:38:17Z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2025-12-26T21:38:14Z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f41051fa-3070-4c8d-b928-c83c09801558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1946484356</vt:i4>
  </property>
  <property fmtid="{D5CDD505-2E9C-101B-9397-08002B2CF9AE}" pid="11" name="_NewReviewCycle">
    <vt:lpwstr/>
  </property>
  <property fmtid="{D5CDD505-2E9C-101B-9397-08002B2CF9AE}" pid="12" name="_EmailSubject">
    <vt:lpwstr>Indexação sicred 24.12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