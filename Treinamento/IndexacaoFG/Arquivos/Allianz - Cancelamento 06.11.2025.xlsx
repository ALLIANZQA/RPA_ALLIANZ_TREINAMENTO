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81" documentId="13_ncr:1_{369B9181-CEAA-4D60-9537-67A333A9F52B}" xr6:coauthVersionLast="47" xr6:coauthVersionMax="47" xr10:uidLastSave="{42B329E4-20CF-4157-8EFB-BE71016ACD73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CANCELAMENTO!$A$1:$T$108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7" i="1" l="1"/>
  <c r="Q57" i="1"/>
  <c r="R56" i="1"/>
  <c r="Q56" i="1"/>
  <c r="R55" i="1"/>
  <c r="Q55" i="1"/>
</calcChain>
</file>

<file path=xl/sharedStrings.xml><?xml version="1.0" encoding="utf-8"?>
<sst xmlns="http://schemas.openxmlformats.org/spreadsheetml/2006/main" count="719" uniqueCount="242">
  <si>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</si>
  <si>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</si>
  <si>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</si>
  <si>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</si>
  <si>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</si>
  <si>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</si>
  <si>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</si>
  <si>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</si>
  <si>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</si>
  <si>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</si>
  <si>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</si>
  <si>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</si>
  <si>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</si>
  <si>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</si>
  <si>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</si>
  <si>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</si>
  <si>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</si>
  <si>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</si>
  <si>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</si>
  <si>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</si>
  <si>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</si>
  <si>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</si>
  <si>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</si>
  <si>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ADRIANA ALVES ANTUNES FOGACA</t>
  </si>
  <si>
    <t>*</t>
  </si>
  <si>
    <t>FUC0A52</t>
  </si>
  <si>
    <t>EFETIVOU UMA NOVA PROPOSTA COM A MESMA CIA</t>
  </si>
  <si>
    <t>CANCELAR APÓLICE</t>
  </si>
  <si>
    <t> 02/01/1967</t>
  </si>
  <si>
    <t>NÃO HÁ DÉBITO AGENDADO</t>
  </si>
  <si>
    <t>ALLIANZ</t>
  </si>
  <si>
    <t>Apolice Cancelada</t>
  </si>
  <si>
    <t>BIANCA DANTAS RODRIGUES</t>
  </si>
  <si>
    <t>*003454249579</t>
  </si>
  <si>
    <t>SRT0G08</t>
  </si>
  <si>
    <t>JURANDIR TAVARES DE CARVALHO</t>
  </si>
  <si>
    <t>*003454248589</t>
  </si>
  <si>
    <t>FDO6758</t>
  </si>
  <si>
    <t>C.C. NÃO É SANTANDER</t>
  </si>
  <si>
    <t>CLAYTON DA SILVA DE SA</t>
  </si>
  <si>
    <t>*003454241780</t>
  </si>
  <si>
    <t>LRH9C10</t>
  </si>
  <si>
    <t>EFETIVOU UMA NOVA PROPOSTA COM A CONGÊNERE</t>
  </si>
  <si>
    <t>NIKOLAS FONSECA FARIAS</t>
  </si>
  <si>
    <t>*003449854309</t>
  </si>
  <si>
    <t>FRY0D93</t>
  </si>
  <si>
    <t>INIBIR RENOVAÇÃO</t>
  </si>
  <si>
    <t>Renovação inibida.</t>
  </si>
  <si>
    <t>DAIANA CASTOR LINS</t>
  </si>
  <si>
    <t>*003449862669</t>
  </si>
  <si>
    <t>SJN7D22</t>
  </si>
  <si>
    <t>Renovação inibida. Proposta ativa digitada pelo autocompara.</t>
  </si>
  <si>
    <t>ARI SALES BENTO</t>
  </si>
  <si>
    <t>dlb1710</t>
  </si>
  <si>
    <t xml:space="preserve"> -</t>
  </si>
  <si>
    <t>Renovação ja consta cancelada.</t>
  </si>
  <si>
    <t>ELEKSANDRA CIBELE GUSMAN VENDRAMINI</t>
  </si>
  <si>
    <t>EBW3H50</t>
  </si>
  <si>
    <t>CANCELAR PROPOSTA</t>
  </si>
  <si>
    <t>Proposta cancelada.</t>
  </si>
  <si>
    <t>MARCIO CARDOSO DE OLIVEIRA</t>
  </si>
  <si>
    <t>RDT8H06</t>
  </si>
  <si>
    <t>PAULO EDISON PIONER</t>
  </si>
  <si>
    <t>ggi1h34</t>
  </si>
  <si>
    <t>CARLOS PIRES PEIXOTO</t>
  </si>
  <si>
    <t>RBB3C80</t>
  </si>
  <si>
    <t>CARLOS ALBERTO MARANI</t>
  </si>
  <si>
    <t>EYZ6462</t>
  </si>
  <si>
    <t>28/06/1968 </t>
  </si>
  <si>
    <t>JOSE APARECIDO DE OLIVEIRA</t>
  </si>
  <si>
    <t>gel7a35</t>
  </si>
  <si>
    <t> 22/02/1969</t>
  </si>
  <si>
    <t>RODRIGO VENDRAMINI</t>
  </si>
  <si>
    <t>BKU1G10</t>
  </si>
  <si>
    <t>18/03/1978 </t>
  </si>
  <si>
    <t>ROSIVELTA MARIA DE ANDRADE SILVA</t>
  </si>
  <si>
    <t>RZS7G73</t>
  </si>
  <si>
    <t>BLOQUEADO</t>
  </si>
  <si>
    <t>17147996000165</t>
  </si>
  <si>
    <t>CINTIA DALVANA KORSCHNER</t>
  </si>
  <si>
    <t>JDB9e90</t>
  </si>
  <si>
    <t>ODERI MARCELO HELLMANN</t>
  </si>
  <si>
    <t>KRH1922</t>
  </si>
  <si>
    <t>GISELE GAMBIN SCHIAVON</t>
  </si>
  <si>
    <t>TLL8G94</t>
  </si>
  <si>
    <t>CARLOS ALBERTO SANTIAGO DE MELO JUNIOR</t>
  </si>
  <si>
    <t>OZX7D85</t>
  </si>
  <si>
    <t>A Apolice já se encontra cancelada</t>
  </si>
  <si>
    <t>SIDINEI STESKO BUJDANOVICZ</t>
  </si>
  <si>
    <t>QIC0145</t>
  </si>
  <si>
    <t>ANDREZZA PACHER TENORIO DOS SANTOS</t>
  </si>
  <si>
    <t>FET8016</t>
  </si>
  <si>
    <t>ISABEL FERREIRA</t>
  </si>
  <si>
    <t>SOJ4H30</t>
  </si>
  <si>
    <t>MARIA NAZARE PEREIRA GOULART</t>
  </si>
  <si>
    <t>KZB8581</t>
  </si>
  <si>
    <t>JOSE RAIMUNDO RAMOS DE ARAUJO JUNIOR</t>
  </si>
  <si>
    <t>ROL0C94</t>
  </si>
  <si>
    <t>LILIANE SANTOS FERNANDES</t>
  </si>
  <si>
    <t>STA6E35</t>
  </si>
  <si>
    <t>RONALDO DE ABREU ALVES</t>
  </si>
  <si>
    <t>PZC0F70</t>
  </si>
  <si>
    <t>Proposta ja consta recusada.</t>
  </si>
  <si>
    <t>JAIRO JOSE DOS SANTOS</t>
  </si>
  <si>
    <t>PDJ6261</t>
  </si>
  <si>
    <t>KAREN JANAINA GONCALVES BRAGANCA</t>
  </si>
  <si>
    <t>QCV8A72</t>
  </si>
  <si>
    <t>JOAO VICTOR ALVES DE OLIVEIRA</t>
  </si>
  <si>
    <t>SNS2J67</t>
  </si>
  <si>
    <t>FRANCISCA CELIA MAGALHAES LEITAO</t>
  </si>
  <si>
    <t>RUJ6E88</t>
  </si>
  <si>
    <t>ADERSON RODRIGUES DE FIGUEIREDO</t>
  </si>
  <si>
    <t>QCN0696</t>
  </si>
  <si>
    <t>LUIZ FERNANDO GUMIERO CUSTODIO DIAS</t>
  </si>
  <si>
    <t>ESN5D54</t>
  </si>
  <si>
    <t>GEAZI DE PAULA MOREIRA</t>
  </si>
  <si>
    <t>003449860800</t>
  </si>
  <si>
    <t>RFM4E64</t>
  </si>
  <si>
    <t>PAULO CLARET SILVA</t>
  </si>
  <si>
    <t>QPE1207</t>
  </si>
  <si>
    <t>RICARDO PEINADO</t>
  </si>
  <si>
    <t>FYK2643</t>
  </si>
  <si>
    <t>GELSON DOS REIS</t>
  </si>
  <si>
    <t>JBV6A96</t>
  </si>
  <si>
    <t>CAROLINE STIEBORSKI</t>
  </si>
  <si>
    <t>003449847522</t>
  </si>
  <si>
    <t>JAH4B87</t>
  </si>
  <si>
    <t>0129</t>
  </si>
  <si>
    <t>DEBITADO</t>
  </si>
  <si>
    <t>03899114108</t>
  </si>
  <si>
    <t>JESSICA PAULINO</t>
  </si>
  <si>
    <t>RAP4C20</t>
  </si>
  <si>
    <t>CARLA FRANCIELE MARQUETI PETRUCCI</t>
  </si>
  <si>
    <t>003449864352</t>
  </si>
  <si>
    <t>DWJ9811</t>
  </si>
  <si>
    <t>ISRRAEL CALCADAS PETRUCCI</t>
  </si>
  <si>
    <t>03383681831</t>
  </si>
  <si>
    <t>EDUARDO LUIZ ROMANO POVRESLO</t>
  </si>
  <si>
    <t>GJF3D07</t>
  </si>
  <si>
    <t>0167</t>
  </si>
  <si>
    <t>05679996707</t>
  </si>
  <si>
    <t>FTB7C86</t>
  </si>
  <si>
    <t>ELIANA DEZONTINE SANTEIRO DE CAMPOS</t>
  </si>
  <si>
    <t>003449851944</t>
  </si>
  <si>
    <t>BYI0834</t>
  </si>
  <si>
    <t>0035</t>
  </si>
  <si>
    <t>VANIA KARLA DE SOUZA COSTA</t>
  </si>
  <si>
    <t>EZQ2676</t>
  </si>
  <si>
    <t>0390</t>
  </si>
  <si>
    <t>GLAUCIENE DE OLIVEIRA FABRICIO MENESES</t>
  </si>
  <si>
    <t>EGV4948</t>
  </si>
  <si>
    <t>GEAN CARLOS GONCALVES DE SOUZA</t>
  </si>
  <si>
    <t>003450127373</t>
  </si>
  <si>
    <t>EUR7B92</t>
  </si>
  <si>
    <t>-</t>
  </si>
  <si>
    <t>MARIA DO PILAR DE ARAUJO CARVALHO</t>
  </si>
  <si>
    <t>FMG7G11</t>
  </si>
  <si>
    <t>TIAGO LUCIO TAVARES CAMARA</t>
  </si>
  <si>
    <t>FXP3720</t>
  </si>
  <si>
    <t>NEULEANE MOURA DE CARVALHO MORENO</t>
  </si>
  <si>
    <t>EUQ2A24</t>
  </si>
  <si>
    <t>GLORIA SENHORA DOS SANTOS COSTA</t>
  </si>
  <si>
    <t>GCK0186</t>
  </si>
  <si>
    <t>CELSO CAVALCANTI MENDES</t>
  </si>
  <si>
    <t>FPG7C53</t>
  </si>
  <si>
    <t>MARIANA ROCHA FLORES</t>
  </si>
  <si>
    <t>REQ3H15</t>
  </si>
  <si>
    <t>CRISTINA HELENA STEIN PAVAN</t>
  </si>
  <si>
    <t>FQX9277</t>
  </si>
  <si>
    <t xml:space="preserve"> 30/06/1962</t>
  </si>
  <si>
    <t>SILVANA BUDAG BECKER BUBNIAK</t>
  </si>
  <si>
    <t>003450136008</t>
  </si>
  <si>
    <t>QHG3343</t>
  </si>
  <si>
    <t>Arlei David Silveira Bubniak</t>
  </si>
  <si>
    <t>889.953.059-91</t>
  </si>
  <si>
    <t>ALESSANDRO ZANETTI</t>
  </si>
  <si>
    <t>HFB1640</t>
  </si>
  <si>
    <t xml:space="preserve"> 22/05/1974</t>
  </si>
  <si>
    <t>BIANCA DELLA LIBERA DA SILVA</t>
  </si>
  <si>
    <t>KYW5931</t>
  </si>
  <si>
    <t>00713952962</t>
  </si>
  <si>
    <t>DIEGO MIGUEL VARGAS SANTOS</t>
  </si>
  <si>
    <t>SEQ6B41</t>
  </si>
  <si>
    <t>SOLICITAÇÃO DO SEGURADO</t>
  </si>
  <si>
    <t>1290</t>
  </si>
  <si>
    <t>01050368-5</t>
  </si>
  <si>
    <t>WAC</t>
  </si>
  <si>
    <t>VENDEU O VEÍCULO</t>
  </si>
  <si>
    <t>02246749867</t>
  </si>
  <si>
    <t>CESAR PINHEIRO RODRIGUES</t>
  </si>
  <si>
    <t>003450135018</t>
  </si>
  <si>
    <t>UGA4C28</t>
  </si>
  <si>
    <t>0721</t>
  </si>
  <si>
    <t xml:space="preserve">NÃO POSSUÍ INTERESSE </t>
  </si>
  <si>
    <t>ENIO MORAES DA SILVA</t>
  </si>
  <si>
    <t>NUI0H55</t>
  </si>
  <si>
    <t>ANDREA PASCHOALINI MORAES DA S</t>
  </si>
  <si>
    <t>000010035845</t>
  </si>
  <si>
    <t>1.177,04</t>
  </si>
  <si>
    <t>NÃO INFORMADO</t>
  </si>
  <si>
    <t>CARLOS ROBERTO DA SILVA</t>
  </si>
  <si>
    <t>003450131410</t>
  </si>
  <si>
    <t>OUW0I14</t>
  </si>
  <si>
    <t>000010844471</t>
  </si>
  <si>
    <t>97,33</t>
  </si>
  <si>
    <t>973,30</t>
  </si>
  <si>
    <t>013020164000122</t>
  </si>
  <si>
    <t>INSTITUTO SARKIS DE ODONTOLOGIA S/S LTDA</t>
  </si>
  <si>
    <t>TJY5C95</t>
  </si>
  <si>
    <t>000130003121</t>
  </si>
  <si>
    <t>389,53</t>
  </si>
  <si>
    <t>3.895,36</t>
  </si>
  <si>
    <t>HASSAN PARACAT</t>
  </si>
  <si>
    <t>003450130871</t>
  </si>
  <si>
    <t>SEM9A80</t>
  </si>
  <si>
    <t>000010473734</t>
  </si>
  <si>
    <t>323,14</t>
  </si>
  <si>
    <t xml:space="preserve">3.231,40 </t>
  </si>
  <si>
    <t>KERLANIA DE FRANCA GUIMARAES DE SOUZA</t>
  </si>
  <si>
    <t>RZE1I76</t>
  </si>
  <si>
    <t>000010899063</t>
  </si>
  <si>
    <t>781,50</t>
  </si>
  <si>
    <t>7.815,09</t>
  </si>
  <si>
    <t>E-MAIL</t>
  </si>
  <si>
    <t>LAZARA RAQUEL DOS SANTOS SERANTONI</t>
  </si>
  <si>
    <t>FXI8204</t>
  </si>
  <si>
    <t>000010849599</t>
  </si>
  <si>
    <t>195,90</t>
  </si>
  <si>
    <t>1.959,19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</si>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</sst>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14" fontId="5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65" fontId="0" fillId="0" borderId="1" xfId="0" quotePrefix="1" applyNumberFormat="1" applyBorder="1" applyAlignment="1">
      <alignment horizontal="center"/>
    </xf>
    <xf numFmtId="14" fontId="0" fillId="5" borderId="1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sheetPr filterMode="1"/>
  <dimension ref="A1:BH128"/>
  <sheetViews>
    <sheetView tabSelected="1" zoomScale="95" zoomScaleNormal="95" workbookViewId="0">
      <selection activeCell="C63" sqref="C63"/>
    </sheetView>
  </sheetViews>
  <sheetFormatPr defaultRowHeight="15"/>
  <cols>
    <col min="1" max="1" width="15.5703125" style="9" customWidth="1"/>
    <col min="2" max="2" width="38.140625" style="9" customWidth="1"/>
    <col min="3" max="3" width="22.140625" style="9" customWidth="1"/>
    <col min="4" max="4" width="14.140625" style="9" customWidth="1"/>
    <col min="5" max="5" width="9.140625" style="9" customWidth="1"/>
    <col min="6" max="6" width="16.28515625" style="9" customWidth="1"/>
    <col min="7" max="7" width="20.140625" style="9" customWidth="1"/>
    <col min="8" max="8" width="27.5703125" style="11" hidden="1" customWidth="1"/>
    <col min="9" max="9" width="44" style="9" hidden="1" customWidth="1"/>
    <col min="10" max="10" width="26.7109375" style="9" hidden="1" customWidth="1"/>
    <col min="11" max="11" width="17.85546875" style="11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0.140625" style="11" hidden="1" customWidth="1"/>
    <col min="18" max="18" width="20.5703125" style="11" hidden="1" customWidth="1"/>
    <col min="19" max="19" width="31.5703125" style="9" hidden="1" customWidth="1"/>
    <col min="20" max="20" width="21.42578125" style="9" hidden="1" customWidth="1"/>
    <col min="21" max="21" width="16.42578125" style="9" hidden="1" customWidth="1"/>
    <col min="22" max="22" width="42.140625" style="9" hidden="1" customWidth="1"/>
    <col min="23" max="23" width="58" style="9" customWidth="1"/>
    <col min="24" max="16384" width="9.140625" style="9"/>
  </cols>
  <sheetData>
    <row r="1" spans="1:60" s="12" customFormat="1" ht="69.95" customHeight="1">
      <c r="A1" s="23" t="s">
        <v>0</v>
      </c>
      <c r="B1" s="23" t="s">
        <v>1</v>
      </c>
      <c r="C1" s="24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5" t="s">
        <v>7</v>
      </c>
      <c r="I1" s="23" t="s">
        <v>8</v>
      </c>
      <c r="J1" s="23" t="s">
        <v>9</v>
      </c>
      <c r="K1" s="25" t="s">
        <v>10</v>
      </c>
      <c r="L1" s="23" t="s">
        <v>11</v>
      </c>
      <c r="M1" s="23" t="s">
        <v>12</v>
      </c>
      <c r="N1" s="23" t="s">
        <v>13</v>
      </c>
      <c r="O1" s="26" t="s">
        <v>14</v>
      </c>
      <c r="P1" s="26" t="s">
        <v>15</v>
      </c>
      <c r="Q1" s="25" t="s">
        <v>16</v>
      </c>
      <c r="R1" s="25" t="s">
        <v>17</v>
      </c>
      <c r="S1" s="23" t="s">
        <v>6</v>
      </c>
      <c r="T1" s="25" t="s">
        <v>18</v>
      </c>
      <c r="U1" s="25" t="s">
        <v>19</v>
      </c>
      <c r="V1" s="25" t="s">
        <v>20</v>
      </c>
      <c r="W1" s="23" t="s">
        <v>21</v>
      </c>
      <c r="BH1" t="s">
        <v>22</v>
      </c>
    </row>
    <row r="2" spans="1:60" s="27" customFormat="1" hidden="1">
      <c r="A2" s="13">
        <v>8584226893</v>
      </c>
      <c r="B2" s="13" t="s">
        <v>23</v>
      </c>
      <c r="C2" s="29">
        <v>135206422</v>
      </c>
      <c r="D2" s="29" t="s">
        <v>24</v>
      </c>
      <c r="E2" s="13" t="s">
        <v>25</v>
      </c>
      <c r="F2" s="13" t="s">
        <v>26</v>
      </c>
      <c r="G2" s="13" t="s">
        <v>27</v>
      </c>
      <c r="H2" s="36">
        <v>45964.372356145832</v>
      </c>
      <c r="I2" s="13" t="s">
        <v>23</v>
      </c>
      <c r="J2" s="13">
        <v>8584226893</v>
      </c>
      <c r="K2" s="33" t="s">
        <v>28</v>
      </c>
      <c r="L2" s="13">
        <v>33</v>
      </c>
      <c r="M2" s="29">
        <v>382</v>
      </c>
      <c r="N2" s="13">
        <v>30016722</v>
      </c>
      <c r="O2" s="31">
        <v>279.01</v>
      </c>
      <c r="P2" s="31">
        <v>1953.18</v>
      </c>
      <c r="Q2" s="13" t="s">
        <v>24</v>
      </c>
      <c r="R2" s="14">
        <v>45989</v>
      </c>
      <c r="S2" s="13" t="s">
        <v>29</v>
      </c>
      <c r="T2" s="13" t="s">
        <v>30</v>
      </c>
      <c r="U2" s="13"/>
      <c r="V2" s="13"/>
      <c r="W2" s="13" t="s">
        <v>31</v>
      </c>
    </row>
    <row r="3" spans="1:60" s="27" customFormat="1" hidden="1">
      <c r="A3" s="29">
        <v>5864923729</v>
      </c>
      <c r="B3" s="13" t="s">
        <v>32</v>
      </c>
      <c r="C3" s="29">
        <v>135224450</v>
      </c>
      <c r="D3" s="13" t="s">
        <v>33</v>
      </c>
      <c r="E3" s="13" t="s">
        <v>34</v>
      </c>
      <c r="F3" s="13" t="s">
        <v>26</v>
      </c>
      <c r="G3" s="13" t="s">
        <v>27</v>
      </c>
      <c r="H3" s="36">
        <v>45966.336085312498</v>
      </c>
      <c r="I3" s="13" t="s">
        <v>32</v>
      </c>
      <c r="J3" s="29">
        <v>5864923729</v>
      </c>
      <c r="K3" s="22">
        <v>32156</v>
      </c>
      <c r="L3" s="13">
        <v>33</v>
      </c>
      <c r="M3" s="29">
        <v>2046</v>
      </c>
      <c r="N3" s="13">
        <v>10156823</v>
      </c>
      <c r="O3" s="32">
        <v>2834.22</v>
      </c>
      <c r="P3" s="32">
        <v>2834.22</v>
      </c>
      <c r="Q3" s="13" t="s">
        <v>24</v>
      </c>
      <c r="R3" s="22">
        <v>45990</v>
      </c>
      <c r="S3" s="13" t="s">
        <v>29</v>
      </c>
      <c r="T3" s="13" t="s">
        <v>30</v>
      </c>
      <c r="U3" s="13"/>
      <c r="V3" s="13"/>
      <c r="W3" s="13" t="s">
        <v>31</v>
      </c>
    </row>
    <row r="4" spans="1:60" s="27" customFormat="1" hidden="1">
      <c r="A4" s="13">
        <v>41562526472</v>
      </c>
      <c r="B4" s="13" t="s">
        <v>35</v>
      </c>
      <c r="C4" s="29">
        <v>135206509</v>
      </c>
      <c r="D4" s="13" t="s">
        <v>36</v>
      </c>
      <c r="E4" s="13" t="s">
        <v>37</v>
      </c>
      <c r="F4" s="13" t="s">
        <v>26</v>
      </c>
      <c r="G4" s="13" t="s">
        <v>27</v>
      </c>
      <c r="H4" s="36">
        <v>45966.598429548612</v>
      </c>
      <c r="I4" s="13" t="s">
        <v>35</v>
      </c>
      <c r="J4" s="13">
        <v>41562526472</v>
      </c>
      <c r="K4" s="22">
        <v>20317</v>
      </c>
      <c r="L4" s="13" t="s">
        <v>24</v>
      </c>
      <c r="M4" s="13" t="s">
        <v>24</v>
      </c>
      <c r="N4" s="13" t="s">
        <v>24</v>
      </c>
      <c r="O4" s="30">
        <v>181.1</v>
      </c>
      <c r="P4" s="30">
        <v>1811.05</v>
      </c>
      <c r="Q4" s="13" t="s">
        <v>24</v>
      </c>
      <c r="R4" s="22">
        <v>45989</v>
      </c>
      <c r="S4" s="13" t="s">
        <v>38</v>
      </c>
      <c r="T4" s="13" t="s">
        <v>30</v>
      </c>
      <c r="U4" s="13"/>
      <c r="V4" s="13"/>
      <c r="W4" s="13" t="s">
        <v>31</v>
      </c>
    </row>
    <row r="5" spans="1:60" s="27" customFormat="1" hidden="1">
      <c r="A5" s="13">
        <v>5679996707</v>
      </c>
      <c r="B5" s="13" t="s">
        <v>39</v>
      </c>
      <c r="C5" s="29">
        <v>135110556</v>
      </c>
      <c r="D5" s="13" t="s">
        <v>40</v>
      </c>
      <c r="E5" s="13" t="s">
        <v>41</v>
      </c>
      <c r="F5" s="13" t="s">
        <v>42</v>
      </c>
      <c r="G5" s="13" t="s">
        <v>27</v>
      </c>
      <c r="H5" s="36">
        <v>45966.559500405092</v>
      </c>
      <c r="I5" s="13" t="s">
        <v>39</v>
      </c>
      <c r="J5" s="13">
        <v>5679996707</v>
      </c>
      <c r="K5" s="22">
        <v>30315</v>
      </c>
      <c r="L5" s="13">
        <v>33</v>
      </c>
      <c r="M5" s="13">
        <v>1528</v>
      </c>
      <c r="N5" s="13">
        <v>10270710</v>
      </c>
      <c r="O5" s="30">
        <v>198.05</v>
      </c>
      <c r="P5" s="30">
        <v>1980.54</v>
      </c>
      <c r="Q5" s="13" t="s">
        <v>24</v>
      </c>
      <c r="R5" s="22">
        <v>45983</v>
      </c>
      <c r="S5" s="13" t="s">
        <v>29</v>
      </c>
      <c r="T5" s="13" t="s">
        <v>30</v>
      </c>
      <c r="U5" s="13"/>
      <c r="V5" s="13"/>
      <c r="W5" s="13" t="s">
        <v>31</v>
      </c>
    </row>
    <row r="6" spans="1:60" s="27" customFormat="1">
      <c r="A6" s="13">
        <v>44357793823</v>
      </c>
      <c r="B6" s="13" t="s">
        <v>43</v>
      </c>
      <c r="C6" s="29">
        <v>130183860</v>
      </c>
      <c r="D6" s="29" t="s">
        <v>44</v>
      </c>
      <c r="E6" s="33" t="s">
        <v>45</v>
      </c>
      <c r="F6" s="13" t="s">
        <v>42</v>
      </c>
      <c r="G6" s="13" t="s">
        <v>46</v>
      </c>
      <c r="H6" s="36">
        <v>45966.541435312502</v>
      </c>
      <c r="I6" s="13" t="s">
        <v>43</v>
      </c>
      <c r="J6" s="13">
        <v>44357793823</v>
      </c>
      <c r="K6" s="22">
        <v>34394</v>
      </c>
      <c r="L6" s="13">
        <v>33</v>
      </c>
      <c r="M6" s="29">
        <v>4460</v>
      </c>
      <c r="N6" s="13">
        <v>10495469</v>
      </c>
      <c r="O6" s="32">
        <v>271.56</v>
      </c>
      <c r="P6" s="31">
        <v>2344.9</v>
      </c>
      <c r="Q6" s="13" t="s">
        <v>24</v>
      </c>
      <c r="R6" s="13" t="s">
        <v>24</v>
      </c>
      <c r="S6" s="13" t="s">
        <v>29</v>
      </c>
      <c r="T6" s="13" t="s">
        <v>30</v>
      </c>
      <c r="U6" s="13"/>
      <c r="V6" s="13"/>
      <c r="W6" s="33" t="s">
        <v>47</v>
      </c>
    </row>
    <row r="7" spans="1:60" s="27" customFormat="1">
      <c r="A7" s="13">
        <v>1630481505</v>
      </c>
      <c r="B7" s="13" t="s">
        <v>48</v>
      </c>
      <c r="C7" s="29">
        <v>130351949</v>
      </c>
      <c r="D7" s="13" t="s">
        <v>49</v>
      </c>
      <c r="E7" s="13" t="s">
        <v>50</v>
      </c>
      <c r="F7" s="13" t="s">
        <v>26</v>
      </c>
      <c r="G7" s="13" t="s">
        <v>46</v>
      </c>
      <c r="H7" s="36">
        <v>45966.559799930546</v>
      </c>
      <c r="I7" s="13" t="s">
        <v>48</v>
      </c>
      <c r="J7" s="13">
        <v>1630481505</v>
      </c>
      <c r="K7" s="22">
        <v>31304</v>
      </c>
      <c r="L7" s="13">
        <v>33</v>
      </c>
      <c r="M7" s="29">
        <v>3041</v>
      </c>
      <c r="N7" s="13">
        <v>10917174</v>
      </c>
      <c r="O7" s="30">
        <v>155.16999999999999</v>
      </c>
      <c r="P7" s="30">
        <v>1551.65</v>
      </c>
      <c r="Q7" s="13" t="s">
        <v>24</v>
      </c>
      <c r="R7" s="13" t="s">
        <v>24</v>
      </c>
      <c r="S7" s="13" t="s">
        <v>29</v>
      </c>
      <c r="T7" s="13" t="s">
        <v>30</v>
      </c>
      <c r="U7" s="13"/>
      <c r="V7" s="13"/>
      <c r="W7" s="13" t="s">
        <v>51</v>
      </c>
    </row>
    <row r="8" spans="1:60" s="27" customFormat="1">
      <c r="A8" s="19">
        <v>22064750819</v>
      </c>
      <c r="B8" s="19" t="s">
        <v>52</v>
      </c>
      <c r="C8" s="35">
        <v>135278803</v>
      </c>
      <c r="D8" s="19">
        <v>3453862038</v>
      </c>
      <c r="E8" s="19" t="s">
        <v>53</v>
      </c>
      <c r="F8" s="19" t="s">
        <v>42</v>
      </c>
      <c r="G8" s="19" t="s">
        <v>46</v>
      </c>
      <c r="H8" s="36">
        <v>45965.352971574073</v>
      </c>
      <c r="I8" s="19" t="s">
        <v>52</v>
      </c>
      <c r="J8" s="19">
        <v>22064750819</v>
      </c>
      <c r="K8" s="36">
        <v>30085</v>
      </c>
      <c r="L8" s="19">
        <v>33</v>
      </c>
      <c r="M8" s="19">
        <v>4562</v>
      </c>
      <c r="N8" s="19">
        <v>10027007</v>
      </c>
      <c r="O8" s="37">
        <v>1129.4100000000001</v>
      </c>
      <c r="P8" s="37">
        <v>2258.83</v>
      </c>
      <c r="Q8" s="19" t="s">
        <v>54</v>
      </c>
      <c r="R8" s="19" t="s">
        <v>54</v>
      </c>
      <c r="S8" s="19" t="s">
        <v>29</v>
      </c>
      <c r="T8" s="13" t="s">
        <v>30</v>
      </c>
      <c r="U8" s="13"/>
      <c r="V8" s="13"/>
      <c r="W8" s="19" t="s">
        <v>55</v>
      </c>
    </row>
    <row r="9" spans="1:60" s="27" customFormat="1" hidden="1">
      <c r="A9" s="19">
        <v>28882234819</v>
      </c>
      <c r="B9" s="19" t="s">
        <v>56</v>
      </c>
      <c r="C9" s="35">
        <v>135007116</v>
      </c>
      <c r="D9" s="19">
        <v>3454233101</v>
      </c>
      <c r="E9" s="19" t="s">
        <v>57</v>
      </c>
      <c r="F9" s="19" t="s">
        <v>42</v>
      </c>
      <c r="G9" s="19" t="s">
        <v>58</v>
      </c>
      <c r="H9" s="36">
        <v>45965.407005891197</v>
      </c>
      <c r="I9" s="19" t="s">
        <v>56</v>
      </c>
      <c r="J9" s="19">
        <v>28882234819</v>
      </c>
      <c r="K9" s="36">
        <v>29479</v>
      </c>
      <c r="L9" s="19">
        <v>33</v>
      </c>
      <c r="M9" s="19">
        <v>505</v>
      </c>
      <c r="N9" s="19">
        <v>1011946</v>
      </c>
      <c r="O9" s="37">
        <v>217.94</v>
      </c>
      <c r="P9" s="37">
        <v>2179.41</v>
      </c>
      <c r="Q9" s="19" t="s">
        <v>54</v>
      </c>
      <c r="R9" s="19" t="s">
        <v>54</v>
      </c>
      <c r="S9" s="19" t="s">
        <v>29</v>
      </c>
      <c r="T9" s="13" t="s">
        <v>30</v>
      </c>
      <c r="U9" s="13"/>
      <c r="V9" s="13"/>
      <c r="W9" s="19" t="s">
        <v>59</v>
      </c>
    </row>
    <row r="10" spans="1:60" s="27" customFormat="1" hidden="1">
      <c r="A10" s="19">
        <v>17267441831</v>
      </c>
      <c r="B10" s="19" t="s">
        <v>60</v>
      </c>
      <c r="C10" s="19">
        <v>135198264</v>
      </c>
      <c r="D10" s="19">
        <v>3450130024</v>
      </c>
      <c r="E10" s="19" t="s">
        <v>61</v>
      </c>
      <c r="F10" s="19" t="s">
        <v>26</v>
      </c>
      <c r="G10" s="19" t="s">
        <v>58</v>
      </c>
      <c r="H10" s="36">
        <v>45965.371015983786</v>
      </c>
      <c r="I10" s="19" t="s">
        <v>60</v>
      </c>
      <c r="J10" s="19">
        <v>17267441831</v>
      </c>
      <c r="K10" s="36">
        <v>28325</v>
      </c>
      <c r="L10" s="19">
        <v>33</v>
      </c>
      <c r="M10" s="19">
        <v>1197</v>
      </c>
      <c r="N10" s="19">
        <v>10039755</v>
      </c>
      <c r="O10" s="37">
        <v>213.15</v>
      </c>
      <c r="P10" s="37">
        <v>2131.5</v>
      </c>
      <c r="Q10" s="19" t="s">
        <v>54</v>
      </c>
      <c r="R10" s="19" t="s">
        <v>54</v>
      </c>
      <c r="S10" s="19" t="s">
        <v>29</v>
      </c>
      <c r="T10" s="13" t="s">
        <v>30</v>
      </c>
      <c r="U10" s="13"/>
      <c r="V10" s="13"/>
      <c r="W10" s="19" t="s">
        <v>59</v>
      </c>
    </row>
    <row r="11" spans="1:60" s="27" customFormat="1" hidden="1">
      <c r="A11" s="19">
        <v>32050615000</v>
      </c>
      <c r="B11" s="19" t="s">
        <v>62</v>
      </c>
      <c r="C11" s="35">
        <v>135207436</v>
      </c>
      <c r="D11" s="19">
        <v>3454250316</v>
      </c>
      <c r="E11" s="19" t="s">
        <v>63</v>
      </c>
      <c r="F11" s="19" t="s">
        <v>26</v>
      </c>
      <c r="G11" s="19" t="s">
        <v>58</v>
      </c>
      <c r="H11" s="36">
        <v>45965.236032187502</v>
      </c>
      <c r="I11" s="19" t="s">
        <v>54</v>
      </c>
      <c r="J11" s="19" t="s">
        <v>54</v>
      </c>
      <c r="K11" s="19" t="s">
        <v>54</v>
      </c>
      <c r="L11" s="19" t="s">
        <v>54</v>
      </c>
      <c r="M11" s="19" t="s">
        <v>54</v>
      </c>
      <c r="N11" s="19" t="s">
        <v>54</v>
      </c>
      <c r="O11" s="37">
        <v>490.01</v>
      </c>
      <c r="P11" s="37">
        <v>4900.17</v>
      </c>
      <c r="Q11" s="19" t="s">
        <v>54</v>
      </c>
      <c r="R11" s="19" t="s">
        <v>54</v>
      </c>
      <c r="S11" s="19" t="s">
        <v>38</v>
      </c>
      <c r="T11" s="13" t="s">
        <v>30</v>
      </c>
      <c r="U11" s="13"/>
      <c r="V11" s="13"/>
      <c r="W11" s="19" t="s">
        <v>59</v>
      </c>
    </row>
    <row r="12" spans="1:60" s="27" customFormat="1" hidden="1">
      <c r="A12" s="19">
        <v>18566960653</v>
      </c>
      <c r="B12" s="19" t="s">
        <v>64</v>
      </c>
      <c r="C12" s="35">
        <v>135100560</v>
      </c>
      <c r="D12" s="19">
        <v>3454238502</v>
      </c>
      <c r="E12" s="19" t="s">
        <v>65</v>
      </c>
      <c r="F12" s="19" t="s">
        <v>42</v>
      </c>
      <c r="G12" s="19" t="s">
        <v>58</v>
      </c>
      <c r="H12" s="36">
        <v>45965.459679918982</v>
      </c>
      <c r="I12" s="19" t="s">
        <v>64</v>
      </c>
      <c r="J12" s="19">
        <v>18566960653</v>
      </c>
      <c r="K12" s="36">
        <v>19997</v>
      </c>
      <c r="L12" s="19">
        <v>33</v>
      </c>
      <c r="M12" s="19">
        <v>1160</v>
      </c>
      <c r="N12" s="19">
        <v>10098431</v>
      </c>
      <c r="O12" s="37">
        <v>320.56</v>
      </c>
      <c r="P12" s="37">
        <v>3205.66</v>
      </c>
      <c r="Q12" s="19" t="s">
        <v>54</v>
      </c>
      <c r="R12" s="19" t="s">
        <v>54</v>
      </c>
      <c r="S12" s="19" t="s">
        <v>29</v>
      </c>
      <c r="T12" s="13" t="s">
        <v>30</v>
      </c>
      <c r="U12" s="13"/>
      <c r="V12" s="13"/>
      <c r="W12" s="19" t="s">
        <v>59</v>
      </c>
    </row>
    <row r="13" spans="1:60" s="27" customFormat="1" hidden="1">
      <c r="A13" s="19">
        <v>8849785836</v>
      </c>
      <c r="B13" s="19" t="s">
        <v>66</v>
      </c>
      <c r="C13" s="19">
        <v>135191534</v>
      </c>
      <c r="D13" s="19">
        <v>3450129199</v>
      </c>
      <c r="E13" s="19" t="s">
        <v>67</v>
      </c>
      <c r="F13" s="19" t="s">
        <v>26</v>
      </c>
      <c r="G13" s="19" t="s">
        <v>58</v>
      </c>
      <c r="H13" s="36">
        <v>45965.522239155092</v>
      </c>
      <c r="I13" s="19" t="s">
        <v>66</v>
      </c>
      <c r="J13" s="19">
        <v>8849785836</v>
      </c>
      <c r="K13" s="19" t="s">
        <v>68</v>
      </c>
      <c r="L13" s="19">
        <v>33</v>
      </c>
      <c r="M13" s="19">
        <v>364</v>
      </c>
      <c r="N13" s="19">
        <v>10104166</v>
      </c>
      <c r="O13" s="37">
        <v>180.51</v>
      </c>
      <c r="P13" s="37">
        <v>1805.1</v>
      </c>
      <c r="Q13" s="19" t="s">
        <v>54</v>
      </c>
      <c r="R13" s="19" t="s">
        <v>54</v>
      </c>
      <c r="S13" s="19" t="s">
        <v>29</v>
      </c>
      <c r="T13" s="13" t="s">
        <v>30</v>
      </c>
      <c r="U13" s="13"/>
      <c r="V13" s="13"/>
      <c r="W13" s="19" t="s">
        <v>59</v>
      </c>
    </row>
    <row r="14" spans="1:60" s="27" customFormat="1" hidden="1">
      <c r="A14" s="19">
        <v>10432727809</v>
      </c>
      <c r="B14" s="19" t="s">
        <v>69</v>
      </c>
      <c r="C14" s="35">
        <v>135172778</v>
      </c>
      <c r="D14" s="19" t="s">
        <v>54</v>
      </c>
      <c r="E14" s="19" t="s">
        <v>70</v>
      </c>
      <c r="F14" s="19" t="s">
        <v>26</v>
      </c>
      <c r="G14" s="19" t="s">
        <v>27</v>
      </c>
      <c r="H14" s="36">
        <v>45965.402132418982</v>
      </c>
      <c r="I14" s="19" t="s">
        <v>69</v>
      </c>
      <c r="J14" s="19">
        <v>10432727809</v>
      </c>
      <c r="K14" s="19" t="s">
        <v>71</v>
      </c>
      <c r="L14" s="19">
        <v>33</v>
      </c>
      <c r="M14" s="19">
        <v>17</v>
      </c>
      <c r="N14" s="19">
        <v>10562657</v>
      </c>
      <c r="O14" s="37">
        <v>210.24</v>
      </c>
      <c r="P14" s="37">
        <v>2102.54</v>
      </c>
      <c r="Q14" s="19" t="s">
        <v>54</v>
      </c>
      <c r="R14" s="19" t="s">
        <v>54</v>
      </c>
      <c r="S14" s="19" t="s">
        <v>29</v>
      </c>
      <c r="T14" s="13" t="s">
        <v>30</v>
      </c>
      <c r="U14" s="13"/>
      <c r="V14" s="13"/>
      <c r="W14" s="19" t="s">
        <v>31</v>
      </c>
    </row>
    <row r="15" spans="1:60" s="27" customFormat="1" hidden="1">
      <c r="A15" s="19">
        <v>25298721800</v>
      </c>
      <c r="B15" s="19" t="s">
        <v>72</v>
      </c>
      <c r="C15" s="35">
        <v>135100709</v>
      </c>
      <c r="D15" s="19" t="s">
        <v>54</v>
      </c>
      <c r="E15" s="19" t="s">
        <v>73</v>
      </c>
      <c r="F15" s="19" t="s">
        <v>42</v>
      </c>
      <c r="G15" s="19" t="s">
        <v>27</v>
      </c>
      <c r="H15" s="36">
        <v>45965.357090543977</v>
      </c>
      <c r="I15" s="19" t="s">
        <v>72</v>
      </c>
      <c r="J15" s="19">
        <v>25298721800</v>
      </c>
      <c r="K15" s="19" t="s">
        <v>74</v>
      </c>
      <c r="L15" s="19">
        <v>33</v>
      </c>
      <c r="M15" s="19">
        <v>505</v>
      </c>
      <c r="N15" s="19">
        <v>10119462</v>
      </c>
      <c r="O15" s="37">
        <v>295.54000000000002</v>
      </c>
      <c r="P15" s="37">
        <v>2955.46</v>
      </c>
      <c r="Q15" s="19" t="s">
        <v>54</v>
      </c>
      <c r="R15" s="19" t="s">
        <v>54</v>
      </c>
      <c r="S15" s="19" t="s">
        <v>29</v>
      </c>
      <c r="T15" s="13" t="s">
        <v>30</v>
      </c>
      <c r="U15" s="13"/>
      <c r="V15" s="13"/>
      <c r="W15" s="19" t="s">
        <v>31</v>
      </c>
    </row>
    <row r="16" spans="1:60" s="27" customFormat="1" hidden="1">
      <c r="A16" s="19">
        <v>47278633400</v>
      </c>
      <c r="B16" s="19" t="s">
        <v>75</v>
      </c>
      <c r="C16" s="35">
        <v>134921983</v>
      </c>
      <c r="D16" s="19" t="s">
        <v>54</v>
      </c>
      <c r="E16" s="19" t="s">
        <v>76</v>
      </c>
      <c r="F16" s="19" t="s">
        <v>26</v>
      </c>
      <c r="G16" s="19" t="s">
        <v>27</v>
      </c>
      <c r="H16" s="36">
        <v>45965.281092800928</v>
      </c>
      <c r="I16" s="19" t="s">
        <v>75</v>
      </c>
      <c r="J16" s="19">
        <v>47278633400</v>
      </c>
      <c r="K16" s="36">
        <v>18699</v>
      </c>
      <c r="L16" s="19">
        <v>33</v>
      </c>
      <c r="M16" s="19">
        <v>4025</v>
      </c>
      <c r="N16" s="19">
        <v>10818607</v>
      </c>
      <c r="O16" s="37">
        <v>125.46</v>
      </c>
      <c r="P16" s="37">
        <v>1254.67</v>
      </c>
      <c r="Q16" s="36">
        <v>45967</v>
      </c>
      <c r="R16" s="36">
        <v>45971</v>
      </c>
      <c r="S16" s="19" t="s">
        <v>77</v>
      </c>
      <c r="T16" s="13" t="s">
        <v>30</v>
      </c>
      <c r="U16" s="13"/>
      <c r="V16" s="13"/>
      <c r="W16" s="19" t="s">
        <v>31</v>
      </c>
    </row>
    <row r="17" spans="1:23" s="27" customFormat="1" hidden="1">
      <c r="A17" s="35" t="s">
        <v>78</v>
      </c>
      <c r="B17" s="19" t="s">
        <v>79</v>
      </c>
      <c r="C17" s="35">
        <v>135113084</v>
      </c>
      <c r="D17" s="19" t="s">
        <v>54</v>
      </c>
      <c r="E17" s="19" t="s">
        <v>80</v>
      </c>
      <c r="F17" s="19" t="s">
        <v>42</v>
      </c>
      <c r="G17" s="19" t="s">
        <v>27</v>
      </c>
      <c r="H17" s="36">
        <v>45964.258793460649</v>
      </c>
      <c r="I17" s="19" t="s">
        <v>79</v>
      </c>
      <c r="J17" s="35" t="s">
        <v>78</v>
      </c>
      <c r="K17" s="36">
        <v>31928</v>
      </c>
      <c r="L17" s="19">
        <v>33</v>
      </c>
      <c r="M17" s="19">
        <v>1134</v>
      </c>
      <c r="N17" s="19">
        <v>130040533</v>
      </c>
      <c r="O17" s="37">
        <v>303.19</v>
      </c>
      <c r="P17" s="37">
        <v>3032.05</v>
      </c>
      <c r="Q17" s="19" t="s">
        <v>54</v>
      </c>
      <c r="R17" s="19" t="s">
        <v>54</v>
      </c>
      <c r="S17" s="19" t="s">
        <v>29</v>
      </c>
      <c r="T17" s="13" t="s">
        <v>30</v>
      </c>
      <c r="U17" s="13"/>
      <c r="V17" s="13"/>
      <c r="W17" s="19" t="s">
        <v>31</v>
      </c>
    </row>
    <row r="18" spans="1:23" s="27" customFormat="1" hidden="1">
      <c r="A18" s="13">
        <v>3397267927</v>
      </c>
      <c r="B18" s="13" t="s">
        <v>81</v>
      </c>
      <c r="C18" s="29">
        <v>134696293</v>
      </c>
      <c r="D18" s="13"/>
      <c r="E18" s="13" t="s">
        <v>82</v>
      </c>
      <c r="F18" s="13" t="s">
        <v>26</v>
      </c>
      <c r="G18" s="13" t="s">
        <v>27</v>
      </c>
      <c r="H18" s="14">
        <v>45965</v>
      </c>
      <c r="I18" s="13" t="s">
        <v>81</v>
      </c>
      <c r="J18" s="13">
        <v>3397267927</v>
      </c>
      <c r="K18" s="14">
        <v>29457</v>
      </c>
      <c r="L18" s="13">
        <v>33</v>
      </c>
      <c r="M18" s="13">
        <v>3190</v>
      </c>
      <c r="N18" s="13">
        <v>10987963</v>
      </c>
      <c r="O18" s="30">
        <v>214.31</v>
      </c>
      <c r="P18" s="30">
        <v>2143.21</v>
      </c>
      <c r="Q18" s="13"/>
      <c r="R18" s="14">
        <v>46001</v>
      </c>
      <c r="S18" s="13" t="s">
        <v>29</v>
      </c>
      <c r="T18" s="13" t="s">
        <v>30</v>
      </c>
      <c r="U18" s="13"/>
      <c r="V18" s="13"/>
      <c r="W18" s="13" t="s">
        <v>31</v>
      </c>
    </row>
    <row r="19" spans="1:23" s="27" customFormat="1">
      <c r="A19" s="13">
        <v>29426712895</v>
      </c>
      <c r="B19" s="13" t="s">
        <v>83</v>
      </c>
      <c r="C19" s="13">
        <v>135280071</v>
      </c>
      <c r="D19" s="29"/>
      <c r="E19" s="29" t="s">
        <v>84</v>
      </c>
      <c r="F19" s="13" t="s">
        <v>42</v>
      </c>
      <c r="G19" s="13" t="s">
        <v>46</v>
      </c>
      <c r="H19" s="14">
        <v>45965</v>
      </c>
      <c r="I19" s="13" t="s">
        <v>83</v>
      </c>
      <c r="J19" s="13">
        <v>29426712895</v>
      </c>
      <c r="K19" s="14">
        <v>29753</v>
      </c>
      <c r="L19" s="13">
        <v>33</v>
      </c>
      <c r="M19" s="13">
        <v>304</v>
      </c>
      <c r="N19" s="13">
        <v>10090511</v>
      </c>
      <c r="O19" s="30">
        <v>196.9</v>
      </c>
      <c r="P19" s="30">
        <v>1969.06</v>
      </c>
      <c r="Q19" s="13"/>
      <c r="R19" s="14">
        <v>45630</v>
      </c>
      <c r="S19" s="13" t="s">
        <v>29</v>
      </c>
      <c r="T19" s="13" t="s">
        <v>30</v>
      </c>
      <c r="U19" s="13"/>
      <c r="V19" s="13"/>
      <c r="W19" s="33" t="s">
        <v>47</v>
      </c>
    </row>
    <row r="20" spans="1:23" s="27" customFormat="1" hidden="1">
      <c r="A20" s="13">
        <v>80474179249</v>
      </c>
      <c r="B20" s="13" t="s">
        <v>85</v>
      </c>
      <c r="C20" s="29">
        <v>135126509</v>
      </c>
      <c r="D20" s="13"/>
      <c r="E20" s="13" t="s">
        <v>86</v>
      </c>
      <c r="F20" s="13" t="s">
        <v>42</v>
      </c>
      <c r="G20" s="13" t="s">
        <v>27</v>
      </c>
      <c r="H20" s="14">
        <v>45965</v>
      </c>
      <c r="I20" s="13" t="s">
        <v>85</v>
      </c>
      <c r="J20" s="13">
        <v>80474179249</v>
      </c>
      <c r="K20" s="14">
        <v>31294</v>
      </c>
      <c r="L20" s="13">
        <v>33</v>
      </c>
      <c r="M20" s="13">
        <v>3270</v>
      </c>
      <c r="N20" s="13">
        <v>10781670</v>
      </c>
      <c r="O20" s="30">
        <v>431.58</v>
      </c>
      <c r="P20" s="30">
        <v>4315.92</v>
      </c>
      <c r="Q20" s="13"/>
      <c r="R20" s="14">
        <v>45984</v>
      </c>
      <c r="S20" s="13" t="s">
        <v>29</v>
      </c>
      <c r="T20" s="13" t="s">
        <v>30</v>
      </c>
      <c r="U20" s="13"/>
      <c r="V20" s="13"/>
      <c r="W20" s="13" t="s">
        <v>87</v>
      </c>
    </row>
    <row r="21" spans="1:23" s="27" customFormat="1" hidden="1">
      <c r="A21" s="13">
        <v>2416823981</v>
      </c>
      <c r="B21" s="13" t="s">
        <v>88</v>
      </c>
      <c r="C21" s="29">
        <v>135168660</v>
      </c>
      <c r="D21" s="13"/>
      <c r="E21" s="13" t="s">
        <v>89</v>
      </c>
      <c r="F21" s="13" t="s">
        <v>42</v>
      </c>
      <c r="G21" s="13" t="s">
        <v>27</v>
      </c>
      <c r="H21" s="14">
        <v>45965</v>
      </c>
      <c r="I21" s="13" t="s">
        <v>88</v>
      </c>
      <c r="J21" s="13">
        <v>2416823981</v>
      </c>
      <c r="K21" s="14">
        <v>28618</v>
      </c>
      <c r="L21" s="13">
        <v>33</v>
      </c>
      <c r="M21" s="13">
        <v>3182</v>
      </c>
      <c r="N21" s="13">
        <v>10458901</v>
      </c>
      <c r="O21" s="30">
        <v>298.62</v>
      </c>
      <c r="P21" s="30">
        <v>2986.31</v>
      </c>
      <c r="Q21" s="13"/>
      <c r="R21" s="14">
        <v>45987</v>
      </c>
      <c r="S21" s="13" t="s">
        <v>29</v>
      </c>
      <c r="T21" s="13" t="s">
        <v>30</v>
      </c>
      <c r="U21" s="13"/>
      <c r="V21" s="13"/>
      <c r="W21" s="13" t="s">
        <v>31</v>
      </c>
    </row>
    <row r="22" spans="1:23" s="27" customFormat="1">
      <c r="A22" s="13">
        <v>34947068833</v>
      </c>
      <c r="B22" s="13" t="s">
        <v>90</v>
      </c>
      <c r="C22" s="13">
        <v>130230489</v>
      </c>
      <c r="D22" s="13">
        <v>3453873082</v>
      </c>
      <c r="E22" s="13" t="s">
        <v>91</v>
      </c>
      <c r="F22" s="13" t="s">
        <v>42</v>
      </c>
      <c r="G22" s="13" t="s">
        <v>46</v>
      </c>
      <c r="H22" s="14">
        <v>45965</v>
      </c>
      <c r="I22" s="13" t="s">
        <v>90</v>
      </c>
      <c r="J22" s="13">
        <v>34947068833</v>
      </c>
      <c r="K22" s="14">
        <v>31529</v>
      </c>
      <c r="L22" s="13">
        <v>33</v>
      </c>
      <c r="M22" s="13">
        <v>3409</v>
      </c>
      <c r="N22" s="13">
        <v>10995596</v>
      </c>
      <c r="O22" s="30">
        <v>216.34</v>
      </c>
      <c r="P22" s="30">
        <v>2163.4</v>
      </c>
      <c r="Q22" s="13"/>
      <c r="R22" s="14">
        <v>45637</v>
      </c>
      <c r="S22" s="13" t="s">
        <v>29</v>
      </c>
      <c r="T22" s="13" t="s">
        <v>30</v>
      </c>
      <c r="U22" s="13"/>
      <c r="V22" s="13"/>
      <c r="W22" s="33" t="s">
        <v>47</v>
      </c>
    </row>
    <row r="23" spans="1:23" s="27" customFormat="1" hidden="1">
      <c r="A23" s="13">
        <v>13958958800</v>
      </c>
      <c r="B23" s="13" t="s">
        <v>92</v>
      </c>
      <c r="C23" s="29">
        <v>135003607</v>
      </c>
      <c r="D23" s="13">
        <v>3454230802</v>
      </c>
      <c r="E23" s="13" t="s">
        <v>93</v>
      </c>
      <c r="F23" s="13" t="s">
        <v>26</v>
      </c>
      <c r="G23" s="13" t="s">
        <v>27</v>
      </c>
      <c r="H23" s="14">
        <v>45965</v>
      </c>
      <c r="I23" s="13" t="s">
        <v>92</v>
      </c>
      <c r="J23" s="13">
        <v>13958958800</v>
      </c>
      <c r="K23" s="14">
        <v>27035</v>
      </c>
      <c r="L23" s="13">
        <v>33</v>
      </c>
      <c r="M23" s="13">
        <v>4156</v>
      </c>
      <c r="N23" s="13">
        <v>20104089</v>
      </c>
      <c r="O23" s="30">
        <v>77.64</v>
      </c>
      <c r="P23" s="30">
        <v>776.4</v>
      </c>
      <c r="Q23" s="14">
        <v>45967</v>
      </c>
      <c r="R23" s="14">
        <v>46005</v>
      </c>
      <c r="S23" s="13" t="s">
        <v>77</v>
      </c>
      <c r="T23" s="13" t="s">
        <v>30</v>
      </c>
      <c r="U23" s="13"/>
      <c r="V23" s="13"/>
      <c r="W23" s="13" t="s">
        <v>31</v>
      </c>
    </row>
    <row r="24" spans="1:23" s="27" customFormat="1">
      <c r="A24" s="13">
        <v>52858839700</v>
      </c>
      <c r="B24" s="13" t="s">
        <v>94</v>
      </c>
      <c r="C24" s="13">
        <v>130187440</v>
      </c>
      <c r="D24" s="13">
        <v>3453867252</v>
      </c>
      <c r="E24" s="13" t="s">
        <v>95</v>
      </c>
      <c r="F24" s="13" t="s">
        <v>42</v>
      </c>
      <c r="G24" s="13" t="s">
        <v>46</v>
      </c>
      <c r="H24" s="14">
        <v>45965</v>
      </c>
      <c r="I24" s="13" t="s">
        <v>94</v>
      </c>
      <c r="J24" s="13">
        <v>52858839700</v>
      </c>
      <c r="K24" s="14">
        <v>17735</v>
      </c>
      <c r="L24" s="13">
        <v>33</v>
      </c>
      <c r="M24" s="13">
        <v>4432</v>
      </c>
      <c r="N24" s="13">
        <v>10705181</v>
      </c>
      <c r="O24" s="30">
        <v>362.85</v>
      </c>
      <c r="P24" s="30">
        <v>3628.53</v>
      </c>
      <c r="Q24" s="13"/>
      <c r="R24" s="14">
        <v>45634</v>
      </c>
      <c r="S24" s="13" t="s">
        <v>29</v>
      </c>
      <c r="T24" s="13" t="s">
        <v>30</v>
      </c>
      <c r="U24" s="13"/>
      <c r="V24" s="13"/>
      <c r="W24" s="33" t="s">
        <v>47</v>
      </c>
    </row>
    <row r="25" spans="1:23" s="27" customFormat="1" hidden="1">
      <c r="A25" s="13">
        <v>99390922372</v>
      </c>
      <c r="B25" s="13" t="s">
        <v>96</v>
      </c>
      <c r="C25" s="29">
        <v>135106930</v>
      </c>
      <c r="D25" s="13"/>
      <c r="E25" s="13" t="s">
        <v>97</v>
      </c>
      <c r="F25" s="13" t="s">
        <v>26</v>
      </c>
      <c r="G25" s="13" t="s">
        <v>27</v>
      </c>
      <c r="H25" s="14">
        <v>45965</v>
      </c>
      <c r="I25" s="13" t="s">
        <v>96</v>
      </c>
      <c r="J25" s="13">
        <v>99390922372</v>
      </c>
      <c r="K25" s="14">
        <v>30531</v>
      </c>
      <c r="L25" s="13">
        <v>33</v>
      </c>
      <c r="M25" s="13">
        <v>4734</v>
      </c>
      <c r="N25" s="13">
        <v>10604812</v>
      </c>
      <c r="O25" s="30">
        <v>343.41</v>
      </c>
      <c r="P25" s="30">
        <v>3434.19</v>
      </c>
      <c r="Q25" s="13"/>
      <c r="R25" s="14">
        <v>45982</v>
      </c>
      <c r="S25" s="13" t="s">
        <v>29</v>
      </c>
      <c r="T25" s="13" t="s">
        <v>30</v>
      </c>
      <c r="U25" s="13"/>
      <c r="V25" s="13"/>
      <c r="W25" s="13" t="s">
        <v>31</v>
      </c>
    </row>
    <row r="26" spans="1:23" s="27" customFormat="1">
      <c r="A26" s="13">
        <v>22773953827</v>
      </c>
      <c r="B26" s="13" t="s">
        <v>98</v>
      </c>
      <c r="C26" s="13">
        <v>130226433</v>
      </c>
      <c r="D26" s="13">
        <v>3449856344</v>
      </c>
      <c r="E26" s="13" t="s">
        <v>99</v>
      </c>
      <c r="F26" s="13" t="s">
        <v>26</v>
      </c>
      <c r="G26" s="13" t="s">
        <v>46</v>
      </c>
      <c r="H26" s="14">
        <v>45965</v>
      </c>
      <c r="I26" s="13" t="s">
        <v>98</v>
      </c>
      <c r="J26" s="13">
        <v>22773953827</v>
      </c>
      <c r="K26" s="14">
        <v>31200</v>
      </c>
      <c r="L26" s="13">
        <v>33</v>
      </c>
      <c r="M26" s="13">
        <v>3831</v>
      </c>
      <c r="N26" s="13">
        <v>10048107</v>
      </c>
      <c r="O26" s="30">
        <v>242.82</v>
      </c>
      <c r="P26" s="30">
        <v>2428.17</v>
      </c>
      <c r="Q26" s="13"/>
      <c r="R26" s="14">
        <v>45618</v>
      </c>
      <c r="S26" s="13" t="s">
        <v>29</v>
      </c>
      <c r="T26" s="13" t="s">
        <v>30</v>
      </c>
      <c r="U26" s="13"/>
      <c r="V26" s="13"/>
      <c r="W26" s="13" t="s">
        <v>51</v>
      </c>
    </row>
    <row r="27" spans="1:23" s="27" customFormat="1" hidden="1">
      <c r="A27" s="13">
        <v>74641042691</v>
      </c>
      <c r="B27" s="13" t="s">
        <v>100</v>
      </c>
      <c r="C27" s="13">
        <v>135164609</v>
      </c>
      <c r="D27" s="13">
        <v>3450125976</v>
      </c>
      <c r="E27" s="13" t="s">
        <v>101</v>
      </c>
      <c r="F27" s="13" t="s">
        <v>26</v>
      </c>
      <c r="G27" s="13" t="s">
        <v>58</v>
      </c>
      <c r="H27" s="14">
        <v>45965</v>
      </c>
      <c r="I27" s="13" t="s">
        <v>100</v>
      </c>
      <c r="J27" s="13">
        <v>74641042691</v>
      </c>
      <c r="K27" s="22">
        <v>26421</v>
      </c>
      <c r="L27" s="13">
        <v>33</v>
      </c>
      <c r="M27" s="13">
        <v>3108</v>
      </c>
      <c r="N27" s="13">
        <v>10019865</v>
      </c>
      <c r="O27" s="30">
        <v>226.43</v>
      </c>
      <c r="P27" s="30">
        <v>2264.3000000000002</v>
      </c>
      <c r="Q27" s="22"/>
      <c r="R27" s="22">
        <v>45989</v>
      </c>
      <c r="S27" s="13" t="s">
        <v>29</v>
      </c>
      <c r="T27" s="13" t="s">
        <v>30</v>
      </c>
      <c r="U27" s="13"/>
      <c r="V27" s="13"/>
      <c r="W27" s="13" t="s">
        <v>102</v>
      </c>
    </row>
    <row r="28" spans="1:23" s="27" customFormat="1" hidden="1">
      <c r="A28" s="13">
        <v>3448637432</v>
      </c>
      <c r="B28" s="13" t="s">
        <v>103</v>
      </c>
      <c r="C28" s="29">
        <v>135219941</v>
      </c>
      <c r="D28" s="29">
        <v>3454250261</v>
      </c>
      <c r="E28" s="13" t="s">
        <v>104</v>
      </c>
      <c r="F28" s="13" t="s">
        <v>26</v>
      </c>
      <c r="G28" s="13" t="s">
        <v>27</v>
      </c>
      <c r="H28" s="14">
        <v>45965</v>
      </c>
      <c r="I28" s="13" t="s">
        <v>103</v>
      </c>
      <c r="J28" s="13">
        <v>3448637432</v>
      </c>
      <c r="K28" s="14">
        <v>29846</v>
      </c>
      <c r="L28" s="13">
        <v>33</v>
      </c>
      <c r="M28" s="13">
        <v>1598</v>
      </c>
      <c r="N28" s="13">
        <v>1000702</v>
      </c>
      <c r="O28" s="32">
        <v>197.69</v>
      </c>
      <c r="P28" s="31">
        <v>1976.95</v>
      </c>
      <c r="Q28" s="22"/>
      <c r="R28" s="22">
        <v>45990</v>
      </c>
      <c r="S28" s="13" t="s">
        <v>29</v>
      </c>
      <c r="T28" s="13" t="s">
        <v>30</v>
      </c>
      <c r="U28" s="13"/>
      <c r="V28" s="13"/>
      <c r="W28" s="13" t="s">
        <v>31</v>
      </c>
    </row>
    <row r="29" spans="1:23" s="27" customFormat="1">
      <c r="A29" s="13">
        <v>4060403113</v>
      </c>
      <c r="B29" s="13" t="s">
        <v>105</v>
      </c>
      <c r="C29" s="13">
        <v>130279427</v>
      </c>
      <c r="D29" s="13">
        <v>3449858885</v>
      </c>
      <c r="E29" s="13" t="s">
        <v>106</v>
      </c>
      <c r="F29" s="13" t="s">
        <v>42</v>
      </c>
      <c r="G29" s="13" t="s">
        <v>46</v>
      </c>
      <c r="H29" s="14">
        <v>45965</v>
      </c>
      <c r="I29" s="13" t="s">
        <v>105</v>
      </c>
      <c r="J29" s="13">
        <v>4060403113</v>
      </c>
      <c r="K29" s="14">
        <v>33869</v>
      </c>
      <c r="L29" s="13">
        <v>33</v>
      </c>
      <c r="M29" s="13">
        <v>999</v>
      </c>
      <c r="N29" s="13">
        <v>10391227</v>
      </c>
      <c r="O29" s="30">
        <v>243.83</v>
      </c>
      <c r="P29" s="30">
        <v>2438.29</v>
      </c>
      <c r="Q29" s="13"/>
      <c r="R29" s="14">
        <v>45624</v>
      </c>
      <c r="S29" s="13" t="s">
        <v>29</v>
      </c>
      <c r="T29" s="13" t="s">
        <v>30</v>
      </c>
      <c r="U29" s="13"/>
      <c r="V29" s="13"/>
      <c r="W29" s="33" t="s">
        <v>47</v>
      </c>
    </row>
    <row r="30" spans="1:23" s="27" customFormat="1" hidden="1">
      <c r="A30" s="13">
        <v>70859355454</v>
      </c>
      <c r="B30" s="13" t="s">
        <v>107</v>
      </c>
      <c r="C30" s="29">
        <v>130368183</v>
      </c>
      <c r="D30" s="13">
        <v>3449863472</v>
      </c>
      <c r="E30" s="13" t="s">
        <v>108</v>
      </c>
      <c r="F30" s="13" t="s">
        <v>42</v>
      </c>
      <c r="G30" s="13" t="s">
        <v>27</v>
      </c>
      <c r="H30" s="14">
        <v>45965</v>
      </c>
      <c r="I30" s="13" t="s">
        <v>107</v>
      </c>
      <c r="J30" s="13">
        <v>70859355454</v>
      </c>
      <c r="K30" s="14">
        <v>36588</v>
      </c>
      <c r="L30" s="13">
        <v>33</v>
      </c>
      <c r="M30" s="13">
        <v>3124</v>
      </c>
      <c r="N30" s="13">
        <v>20084204</v>
      </c>
      <c r="O30" s="30">
        <v>249.4</v>
      </c>
      <c r="P30" s="30">
        <v>2493.89</v>
      </c>
      <c r="Q30" s="13"/>
      <c r="R30" s="22">
        <v>45633</v>
      </c>
      <c r="S30" s="13" t="s">
        <v>29</v>
      </c>
      <c r="T30" s="13" t="s">
        <v>30</v>
      </c>
      <c r="U30" s="13"/>
      <c r="V30" s="13"/>
      <c r="W30" s="13" t="s">
        <v>31</v>
      </c>
    </row>
    <row r="31" spans="1:23" s="27" customFormat="1" hidden="1">
      <c r="A31" s="13">
        <v>75510227320</v>
      </c>
      <c r="B31" s="13" t="s">
        <v>109</v>
      </c>
      <c r="C31" s="29">
        <v>135134233</v>
      </c>
      <c r="D31" s="13">
        <v>3454243089</v>
      </c>
      <c r="E31" s="13" t="s">
        <v>110</v>
      </c>
      <c r="F31" s="13" t="s">
        <v>26</v>
      </c>
      <c r="G31" s="13" t="s">
        <v>27</v>
      </c>
      <c r="H31" s="14">
        <v>45965</v>
      </c>
      <c r="I31" s="13" t="s">
        <v>109</v>
      </c>
      <c r="J31" s="13">
        <v>75510227320</v>
      </c>
      <c r="K31" s="14">
        <v>28053</v>
      </c>
      <c r="L31" s="13">
        <v>33</v>
      </c>
      <c r="M31" s="13">
        <v>3100</v>
      </c>
      <c r="N31" s="13">
        <v>20014861</v>
      </c>
      <c r="O31" s="30">
        <v>204.09</v>
      </c>
      <c r="P31" s="30">
        <v>2040.92</v>
      </c>
      <c r="Q31" s="13"/>
      <c r="R31" s="14">
        <v>45984</v>
      </c>
      <c r="S31" s="13" t="s">
        <v>29</v>
      </c>
      <c r="T31" s="13" t="s">
        <v>30</v>
      </c>
      <c r="U31" s="13"/>
      <c r="V31" s="13"/>
      <c r="W31" s="13" t="s">
        <v>31</v>
      </c>
    </row>
    <row r="32" spans="1:23" s="28" customFormat="1" hidden="1">
      <c r="A32" s="13">
        <v>47486481120</v>
      </c>
      <c r="B32" s="13" t="s">
        <v>111</v>
      </c>
      <c r="C32" s="29">
        <v>135131988</v>
      </c>
      <c r="D32" s="29">
        <v>3454243210</v>
      </c>
      <c r="E32" s="13" t="s">
        <v>112</v>
      </c>
      <c r="F32" s="13" t="s">
        <v>26</v>
      </c>
      <c r="G32" s="13" t="s">
        <v>27</v>
      </c>
      <c r="H32" s="14">
        <v>45965</v>
      </c>
      <c r="I32" s="13" t="s">
        <v>111</v>
      </c>
      <c r="J32" s="13">
        <v>47486481120</v>
      </c>
      <c r="K32" s="14">
        <v>26490</v>
      </c>
      <c r="L32" s="13">
        <v>33</v>
      </c>
      <c r="M32" s="13">
        <v>2973</v>
      </c>
      <c r="N32" s="13">
        <v>20765126</v>
      </c>
      <c r="O32" s="30">
        <v>101.49</v>
      </c>
      <c r="P32" s="30">
        <v>1014.98</v>
      </c>
      <c r="Q32" s="22"/>
      <c r="R32" s="40">
        <v>45984</v>
      </c>
      <c r="S32" s="13" t="s">
        <v>29</v>
      </c>
      <c r="T32" s="13" t="s">
        <v>30</v>
      </c>
      <c r="U32" s="15"/>
      <c r="V32" s="15"/>
      <c r="W32" s="13" t="s">
        <v>31</v>
      </c>
    </row>
    <row r="33" spans="1:23" s="28" customFormat="1" hidden="1">
      <c r="A33" s="13">
        <v>30838141862</v>
      </c>
      <c r="B33" s="13" t="s">
        <v>113</v>
      </c>
      <c r="C33" s="29">
        <v>135239617</v>
      </c>
      <c r="D33" s="13">
        <v>3454250866</v>
      </c>
      <c r="E33" s="13" t="s">
        <v>114</v>
      </c>
      <c r="F33" s="13" t="s">
        <v>26</v>
      </c>
      <c r="G33" s="13" t="s">
        <v>27</v>
      </c>
      <c r="H33" s="14">
        <v>45965</v>
      </c>
      <c r="I33" s="13" t="s">
        <v>113</v>
      </c>
      <c r="J33" s="13">
        <v>30838141862</v>
      </c>
      <c r="K33" s="14">
        <v>30245</v>
      </c>
      <c r="L33" s="13">
        <v>33</v>
      </c>
      <c r="M33" s="13">
        <v>119</v>
      </c>
      <c r="N33" s="13">
        <v>10708173</v>
      </c>
      <c r="O33" s="30">
        <v>373.87</v>
      </c>
      <c r="P33" s="30">
        <v>2243.2600000000002</v>
      </c>
      <c r="Q33" s="13"/>
      <c r="R33" s="14">
        <v>46001</v>
      </c>
      <c r="S33" s="13" t="s">
        <v>29</v>
      </c>
      <c r="T33" s="13" t="s">
        <v>30</v>
      </c>
      <c r="U33" s="15"/>
      <c r="V33" s="15"/>
      <c r="W33" s="13" t="s">
        <v>31</v>
      </c>
    </row>
    <row r="34" spans="1:23" s="28" customFormat="1">
      <c r="A34" s="13">
        <v>68377827700</v>
      </c>
      <c r="B34" s="13" t="s">
        <v>115</v>
      </c>
      <c r="C34" s="13">
        <v>130314880</v>
      </c>
      <c r="D34" s="29" t="s">
        <v>116</v>
      </c>
      <c r="E34" s="13" t="s">
        <v>117</v>
      </c>
      <c r="F34" s="13" t="s">
        <v>42</v>
      </c>
      <c r="G34" s="13" t="s">
        <v>46</v>
      </c>
      <c r="H34" s="14">
        <v>45965</v>
      </c>
      <c r="I34" s="13"/>
      <c r="J34" s="13"/>
      <c r="K34" s="22"/>
      <c r="L34" s="13"/>
      <c r="M34" s="29"/>
      <c r="N34" s="13"/>
      <c r="O34" s="30">
        <v>314.52999999999997</v>
      </c>
      <c r="P34" s="30">
        <v>3145.53</v>
      </c>
      <c r="Q34" s="13"/>
      <c r="R34" s="14">
        <v>45928</v>
      </c>
      <c r="S34" s="13" t="s">
        <v>38</v>
      </c>
      <c r="T34" s="13" t="s">
        <v>30</v>
      </c>
      <c r="U34" s="15"/>
      <c r="V34" s="15"/>
      <c r="W34" s="13" t="s">
        <v>47</v>
      </c>
    </row>
    <row r="35" spans="1:23" s="28" customFormat="1" hidden="1">
      <c r="A35" s="29">
        <v>78966906834</v>
      </c>
      <c r="B35" s="13" t="s">
        <v>118</v>
      </c>
      <c r="C35" s="13">
        <v>135061246</v>
      </c>
      <c r="D35" s="13"/>
      <c r="E35" s="13" t="s">
        <v>119</v>
      </c>
      <c r="F35" s="13" t="s">
        <v>26</v>
      </c>
      <c r="G35" s="13" t="s">
        <v>27</v>
      </c>
      <c r="H35" s="14">
        <v>45965</v>
      </c>
      <c r="I35" s="13" t="s">
        <v>118</v>
      </c>
      <c r="J35" s="13">
        <v>78966906834</v>
      </c>
      <c r="K35" s="22">
        <v>18671</v>
      </c>
      <c r="L35" s="13">
        <v>33</v>
      </c>
      <c r="M35" s="33">
        <v>3893</v>
      </c>
      <c r="N35" s="13">
        <v>10471648</v>
      </c>
      <c r="O35" s="32">
        <v>360.43</v>
      </c>
      <c r="P35" s="32">
        <v>2162.67</v>
      </c>
      <c r="Q35" s="13"/>
      <c r="R35" s="14">
        <v>45978</v>
      </c>
      <c r="S35" s="13" t="s">
        <v>29</v>
      </c>
      <c r="T35" s="13" t="s">
        <v>30</v>
      </c>
      <c r="U35" s="15"/>
      <c r="V35" s="15"/>
      <c r="W35" s="13" t="s">
        <v>31</v>
      </c>
    </row>
    <row r="36" spans="1:23" s="27" customFormat="1" hidden="1">
      <c r="A36" s="13">
        <v>25979258892</v>
      </c>
      <c r="B36" s="13" t="s">
        <v>120</v>
      </c>
      <c r="C36" s="13">
        <v>135206403</v>
      </c>
      <c r="D36" s="13"/>
      <c r="E36" s="13" t="s">
        <v>121</v>
      </c>
      <c r="F36" s="13" t="s">
        <v>42</v>
      </c>
      <c r="G36" s="13" t="s">
        <v>27</v>
      </c>
      <c r="H36" s="14">
        <v>45965</v>
      </c>
      <c r="I36" s="13"/>
      <c r="J36" s="13"/>
      <c r="K36" s="14"/>
      <c r="L36" s="13"/>
      <c r="M36" s="13"/>
      <c r="N36" s="13"/>
      <c r="O36" s="30">
        <v>450.24</v>
      </c>
      <c r="P36" s="30">
        <v>3602</v>
      </c>
      <c r="Q36" s="13"/>
      <c r="R36" s="22">
        <v>45989</v>
      </c>
      <c r="S36" s="13" t="s">
        <v>38</v>
      </c>
      <c r="T36" s="13" t="s">
        <v>30</v>
      </c>
      <c r="U36" s="13"/>
      <c r="V36" s="13"/>
      <c r="W36" s="13" t="s">
        <v>31</v>
      </c>
    </row>
    <row r="37" spans="1:23" s="27" customFormat="1" hidden="1">
      <c r="A37" s="13">
        <v>31181031087</v>
      </c>
      <c r="B37" s="13" t="s">
        <v>122</v>
      </c>
      <c r="C37" s="13">
        <v>135207104</v>
      </c>
      <c r="D37" s="13"/>
      <c r="E37" s="13" t="s">
        <v>123</v>
      </c>
      <c r="F37" s="13" t="s">
        <v>42</v>
      </c>
      <c r="G37" s="13" t="s">
        <v>27</v>
      </c>
      <c r="H37" s="14">
        <v>45966</v>
      </c>
      <c r="I37" s="13" t="s">
        <v>122</v>
      </c>
      <c r="J37" s="13">
        <v>31181031087</v>
      </c>
      <c r="K37" s="14">
        <v>21207</v>
      </c>
      <c r="L37" s="13">
        <v>33</v>
      </c>
      <c r="M37" s="13">
        <v>1795</v>
      </c>
      <c r="N37" s="13">
        <v>10002483</v>
      </c>
      <c r="O37" s="30">
        <v>2073.54</v>
      </c>
      <c r="P37" s="30">
        <v>8294.19</v>
      </c>
      <c r="Q37" s="13"/>
      <c r="R37" s="14">
        <v>45990</v>
      </c>
      <c r="S37" s="13" t="s">
        <v>29</v>
      </c>
      <c r="T37" s="13" t="s">
        <v>30</v>
      </c>
      <c r="U37" s="13"/>
      <c r="V37" s="13"/>
      <c r="W37" s="13" t="s">
        <v>31</v>
      </c>
    </row>
    <row r="38" spans="1:23" s="27" customFormat="1" hidden="1">
      <c r="A38" s="13">
        <v>98610015068</v>
      </c>
      <c r="B38" s="13" t="s">
        <v>124</v>
      </c>
      <c r="C38" s="13">
        <v>130059903</v>
      </c>
      <c r="D38" s="29" t="s">
        <v>125</v>
      </c>
      <c r="E38" s="13" t="s">
        <v>126</v>
      </c>
      <c r="F38" s="13" t="s">
        <v>42</v>
      </c>
      <c r="G38" s="13" t="s">
        <v>27</v>
      </c>
      <c r="H38" s="14">
        <v>45966</v>
      </c>
      <c r="I38" s="13" t="s">
        <v>124</v>
      </c>
      <c r="J38" s="13">
        <v>98610015068</v>
      </c>
      <c r="K38" s="14">
        <v>30238</v>
      </c>
      <c r="L38" s="13">
        <v>33</v>
      </c>
      <c r="M38" s="29" t="s">
        <v>127</v>
      </c>
      <c r="N38" s="13">
        <v>10990421</v>
      </c>
      <c r="O38" s="30">
        <v>344.49</v>
      </c>
      <c r="P38" s="30">
        <v>2067.0300000000002</v>
      </c>
      <c r="Q38" s="22"/>
      <c r="R38" s="14">
        <v>45782</v>
      </c>
      <c r="S38" s="13" t="s">
        <v>128</v>
      </c>
      <c r="T38" s="13" t="s">
        <v>30</v>
      </c>
      <c r="U38" s="13"/>
      <c r="V38" s="13"/>
      <c r="W38" s="13" t="s">
        <v>31</v>
      </c>
    </row>
    <row r="39" spans="1:23" s="27" customFormat="1">
      <c r="A39" s="13">
        <v>98610015068</v>
      </c>
      <c r="B39" s="13" t="s">
        <v>124</v>
      </c>
      <c r="C39" s="13">
        <v>130059903</v>
      </c>
      <c r="D39" s="29" t="s">
        <v>125</v>
      </c>
      <c r="E39" s="13" t="s">
        <v>126</v>
      </c>
      <c r="F39" s="13" t="s">
        <v>42</v>
      </c>
      <c r="G39" s="13" t="s">
        <v>46</v>
      </c>
      <c r="H39" s="14">
        <v>45966</v>
      </c>
      <c r="I39" s="13" t="s">
        <v>124</v>
      </c>
      <c r="J39" s="13">
        <v>98610015068</v>
      </c>
      <c r="K39" s="14">
        <v>30238</v>
      </c>
      <c r="L39" s="13">
        <v>33</v>
      </c>
      <c r="M39" s="29" t="s">
        <v>127</v>
      </c>
      <c r="N39" s="13">
        <v>10990421</v>
      </c>
      <c r="O39" s="32">
        <v>344.49</v>
      </c>
      <c r="P39" s="31">
        <v>2067.0300000000002</v>
      </c>
      <c r="Q39" s="14"/>
      <c r="R39" s="14">
        <v>45782</v>
      </c>
      <c r="S39" s="13" t="s">
        <v>128</v>
      </c>
      <c r="T39" s="13" t="s">
        <v>30</v>
      </c>
      <c r="U39" s="13"/>
      <c r="V39" s="13"/>
      <c r="W39" s="13" t="s">
        <v>47</v>
      </c>
    </row>
    <row r="40" spans="1:23" s="27" customFormat="1" hidden="1">
      <c r="A40" s="29" t="s">
        <v>129</v>
      </c>
      <c r="B40" s="13" t="s">
        <v>130</v>
      </c>
      <c r="C40" s="13">
        <v>135252883</v>
      </c>
      <c r="D40" s="13"/>
      <c r="E40" s="13" t="s">
        <v>131</v>
      </c>
      <c r="F40" s="13" t="s">
        <v>26</v>
      </c>
      <c r="G40" s="13" t="s">
        <v>27</v>
      </c>
      <c r="H40" s="14">
        <v>45966</v>
      </c>
      <c r="I40" s="13" t="s">
        <v>130</v>
      </c>
      <c r="J40" s="29" t="s">
        <v>129</v>
      </c>
      <c r="K40" s="14">
        <v>33249</v>
      </c>
      <c r="L40" s="13">
        <v>33</v>
      </c>
      <c r="M40" s="13">
        <v>1587</v>
      </c>
      <c r="N40" s="13">
        <v>10027508</v>
      </c>
      <c r="O40" s="30">
        <v>315.02</v>
      </c>
      <c r="P40" s="30">
        <v>3150.29</v>
      </c>
      <c r="Q40" s="13"/>
      <c r="R40" s="14">
        <v>45992</v>
      </c>
      <c r="S40" s="13" t="s">
        <v>29</v>
      </c>
      <c r="T40" s="13" t="s">
        <v>30</v>
      </c>
      <c r="U40" s="13"/>
      <c r="V40" s="13"/>
      <c r="W40" s="13" t="s">
        <v>31</v>
      </c>
    </row>
    <row r="41" spans="1:23" s="27" customFormat="1">
      <c r="A41" s="13">
        <v>21931849846</v>
      </c>
      <c r="B41" s="13" t="s">
        <v>132</v>
      </c>
      <c r="C41" s="13">
        <v>130386928</v>
      </c>
      <c r="D41" s="29" t="s">
        <v>133</v>
      </c>
      <c r="E41" s="13" t="s">
        <v>134</v>
      </c>
      <c r="F41" s="13" t="s">
        <v>26</v>
      </c>
      <c r="G41" s="13" t="s">
        <v>46</v>
      </c>
      <c r="H41" s="14">
        <v>45966</v>
      </c>
      <c r="I41" s="13" t="s">
        <v>135</v>
      </c>
      <c r="J41" s="13">
        <v>28034903825</v>
      </c>
      <c r="K41" s="14">
        <v>29369</v>
      </c>
      <c r="L41" s="13">
        <v>33</v>
      </c>
      <c r="M41" s="13">
        <v>4164</v>
      </c>
      <c r="N41" s="13">
        <v>10006815</v>
      </c>
      <c r="O41" s="30">
        <v>562.21</v>
      </c>
      <c r="P41" s="30">
        <v>5622.23</v>
      </c>
      <c r="Q41" s="22"/>
      <c r="R41" s="14">
        <v>45901</v>
      </c>
      <c r="S41" s="13" t="s">
        <v>128</v>
      </c>
      <c r="T41" s="13" t="s">
        <v>30</v>
      </c>
      <c r="U41" s="13"/>
      <c r="V41" s="13"/>
      <c r="W41" s="13" t="s">
        <v>51</v>
      </c>
    </row>
    <row r="42" spans="1:23" s="27" customFormat="1" hidden="1">
      <c r="A42" s="29" t="s">
        <v>136</v>
      </c>
      <c r="B42" s="13" t="s">
        <v>137</v>
      </c>
      <c r="C42" s="13">
        <v>135227889</v>
      </c>
      <c r="D42" s="29"/>
      <c r="E42" s="13" t="s">
        <v>138</v>
      </c>
      <c r="F42" s="13" t="s">
        <v>26</v>
      </c>
      <c r="G42" s="13" t="s">
        <v>27</v>
      </c>
      <c r="H42" s="14">
        <v>45966</v>
      </c>
      <c r="I42" s="13" t="s">
        <v>137</v>
      </c>
      <c r="J42" s="29" t="s">
        <v>136</v>
      </c>
      <c r="K42" s="14">
        <v>22513</v>
      </c>
      <c r="L42" s="13">
        <v>33</v>
      </c>
      <c r="M42" s="29" t="s">
        <v>139</v>
      </c>
      <c r="N42" s="13">
        <v>10545935</v>
      </c>
      <c r="O42" s="32">
        <v>1125.4000000000001</v>
      </c>
      <c r="P42" s="32">
        <v>1125.4000000000001</v>
      </c>
      <c r="Q42" s="14"/>
      <c r="R42" s="22">
        <v>45991</v>
      </c>
      <c r="S42" s="13" t="s">
        <v>29</v>
      </c>
      <c r="T42" s="13" t="s">
        <v>30</v>
      </c>
      <c r="U42" s="13"/>
      <c r="V42" s="13"/>
      <c r="W42" s="13" t="s">
        <v>31</v>
      </c>
    </row>
    <row r="43" spans="1:23" s="27" customFormat="1" hidden="1">
      <c r="A43" s="29" t="s">
        <v>140</v>
      </c>
      <c r="B43" s="13" t="s">
        <v>39</v>
      </c>
      <c r="C43" s="13">
        <v>135109385</v>
      </c>
      <c r="D43" s="13"/>
      <c r="E43" s="13" t="s">
        <v>141</v>
      </c>
      <c r="F43" s="13" t="s">
        <v>42</v>
      </c>
      <c r="G43" s="13" t="s">
        <v>27</v>
      </c>
      <c r="H43" s="14">
        <v>45966</v>
      </c>
      <c r="I43" s="13" t="s">
        <v>39</v>
      </c>
      <c r="J43" s="29" t="s">
        <v>140</v>
      </c>
      <c r="K43" s="22">
        <v>30315</v>
      </c>
      <c r="L43" s="13">
        <v>33</v>
      </c>
      <c r="M43" s="13">
        <v>1528</v>
      </c>
      <c r="N43" s="13">
        <v>10270710</v>
      </c>
      <c r="O43" s="30">
        <v>267.79000000000002</v>
      </c>
      <c r="P43" s="30">
        <v>2678.05</v>
      </c>
      <c r="Q43" s="22"/>
      <c r="R43" s="14">
        <v>45983</v>
      </c>
      <c r="S43" s="13" t="s">
        <v>29</v>
      </c>
      <c r="T43" s="13" t="s">
        <v>30</v>
      </c>
      <c r="U43" s="13"/>
      <c r="V43" s="13"/>
      <c r="W43" s="13" t="s">
        <v>87</v>
      </c>
    </row>
    <row r="44" spans="1:23" s="27" customFormat="1">
      <c r="A44" s="13">
        <v>13334299830</v>
      </c>
      <c r="B44" s="13" t="s">
        <v>142</v>
      </c>
      <c r="C44" s="29">
        <v>130140873</v>
      </c>
      <c r="D44" s="29" t="s">
        <v>143</v>
      </c>
      <c r="E44" s="13" t="s">
        <v>144</v>
      </c>
      <c r="F44" s="13" t="s">
        <v>26</v>
      </c>
      <c r="G44" s="13" t="s">
        <v>46</v>
      </c>
      <c r="H44" s="14">
        <v>45966</v>
      </c>
      <c r="I44" s="13" t="s">
        <v>142</v>
      </c>
      <c r="J44" s="13">
        <v>13334299830</v>
      </c>
      <c r="K44" s="14">
        <v>23168</v>
      </c>
      <c r="L44" s="13">
        <v>33</v>
      </c>
      <c r="M44" s="29" t="s">
        <v>145</v>
      </c>
      <c r="N44" s="13">
        <v>10231537</v>
      </c>
      <c r="O44" s="32">
        <v>106.91</v>
      </c>
      <c r="P44" s="31">
        <v>1069.3</v>
      </c>
      <c r="Q44" s="22"/>
      <c r="R44" s="22">
        <v>45928</v>
      </c>
      <c r="S44" s="13" t="s">
        <v>128</v>
      </c>
      <c r="T44" s="13" t="s">
        <v>30</v>
      </c>
      <c r="U44" s="13"/>
      <c r="V44" s="13"/>
      <c r="W44" s="13" t="s">
        <v>51</v>
      </c>
    </row>
    <row r="45" spans="1:23" s="27" customFormat="1">
      <c r="A45" s="13">
        <v>31698524854</v>
      </c>
      <c r="B45" s="13" t="s">
        <v>146</v>
      </c>
      <c r="C45" s="29">
        <v>130189168</v>
      </c>
      <c r="D45" s="13"/>
      <c r="E45" s="13" t="s">
        <v>147</v>
      </c>
      <c r="F45" s="13" t="s">
        <v>26</v>
      </c>
      <c r="G45" s="13" t="s">
        <v>46</v>
      </c>
      <c r="H45" s="14">
        <v>45966</v>
      </c>
      <c r="I45" s="13" t="s">
        <v>146</v>
      </c>
      <c r="J45" s="13">
        <v>31698524854</v>
      </c>
      <c r="K45" s="14">
        <v>30107</v>
      </c>
      <c r="L45" s="13">
        <v>33</v>
      </c>
      <c r="M45" s="29" t="s">
        <v>148</v>
      </c>
      <c r="N45" s="13">
        <v>10665154</v>
      </c>
      <c r="O45" s="30">
        <v>198.75</v>
      </c>
      <c r="P45" s="30">
        <v>1987.59</v>
      </c>
      <c r="Q45" s="14"/>
      <c r="R45" s="14">
        <v>45930</v>
      </c>
      <c r="S45" s="13" t="s">
        <v>128</v>
      </c>
      <c r="T45" s="13" t="s">
        <v>30</v>
      </c>
      <c r="U45" s="13"/>
      <c r="V45" s="13"/>
      <c r="W45" s="13" t="s">
        <v>51</v>
      </c>
    </row>
    <row r="46" spans="1:23" s="27" customFormat="1" hidden="1">
      <c r="A46" s="13">
        <v>32916005846</v>
      </c>
      <c r="B46" s="13" t="s">
        <v>149</v>
      </c>
      <c r="C46" s="13">
        <v>135245695</v>
      </c>
      <c r="D46" s="29">
        <v>3450134831</v>
      </c>
      <c r="E46" s="13" t="s">
        <v>150</v>
      </c>
      <c r="F46" s="13" t="s">
        <v>26</v>
      </c>
      <c r="G46" s="13" t="s">
        <v>58</v>
      </c>
      <c r="H46" s="14">
        <v>45966</v>
      </c>
      <c r="I46" s="13" t="s">
        <v>149</v>
      </c>
      <c r="J46" s="13">
        <v>32916005846</v>
      </c>
      <c r="K46" s="14">
        <v>31323</v>
      </c>
      <c r="L46" s="13">
        <v>33</v>
      </c>
      <c r="M46" s="13">
        <v>3372</v>
      </c>
      <c r="N46" s="13">
        <v>20152913</v>
      </c>
      <c r="O46" s="30">
        <v>303.92</v>
      </c>
      <c r="P46" s="30">
        <v>3039.2</v>
      </c>
      <c r="Q46" s="13"/>
      <c r="R46" s="22"/>
      <c r="S46" s="13" t="s">
        <v>29</v>
      </c>
      <c r="T46" s="13" t="s">
        <v>30</v>
      </c>
      <c r="U46" s="13"/>
      <c r="V46" s="13"/>
      <c r="W46" s="19" t="s">
        <v>59</v>
      </c>
    </row>
    <row r="47" spans="1:23" s="27" customFormat="1" hidden="1">
      <c r="A47" s="13">
        <v>9415060611</v>
      </c>
      <c r="B47" s="13" t="s">
        <v>151</v>
      </c>
      <c r="C47" s="13">
        <v>135185493</v>
      </c>
      <c r="D47" s="29" t="s">
        <v>152</v>
      </c>
      <c r="E47" s="13" t="s">
        <v>153</v>
      </c>
      <c r="F47" s="13" t="s">
        <v>26</v>
      </c>
      <c r="G47" s="13" t="s">
        <v>58</v>
      </c>
      <c r="H47" s="14">
        <v>45967</v>
      </c>
      <c r="I47" s="13" t="s">
        <v>151</v>
      </c>
      <c r="J47" s="13">
        <v>9415060611</v>
      </c>
      <c r="K47" s="22">
        <v>32102</v>
      </c>
      <c r="L47" s="13">
        <v>33</v>
      </c>
      <c r="M47" s="29">
        <v>280</v>
      </c>
      <c r="N47" s="13">
        <v>130027241</v>
      </c>
      <c r="O47" s="30">
        <v>679.84</v>
      </c>
      <c r="P47" s="30">
        <v>6798.4</v>
      </c>
      <c r="Q47" s="13" t="s">
        <v>154</v>
      </c>
      <c r="R47" s="13" t="s">
        <v>154</v>
      </c>
      <c r="S47" s="13" t="s">
        <v>29</v>
      </c>
      <c r="T47" s="13" t="s">
        <v>30</v>
      </c>
      <c r="U47" s="13"/>
      <c r="V47" s="13"/>
      <c r="W47" s="19" t="s">
        <v>59</v>
      </c>
    </row>
    <row r="48" spans="1:23" s="27" customFormat="1" hidden="1">
      <c r="A48" s="29">
        <v>21636811817</v>
      </c>
      <c r="B48" s="13" t="s">
        <v>155</v>
      </c>
      <c r="C48" s="13">
        <v>135154633</v>
      </c>
      <c r="D48" s="29" t="s">
        <v>154</v>
      </c>
      <c r="E48" s="13" t="s">
        <v>156</v>
      </c>
      <c r="F48" s="13" t="s">
        <v>26</v>
      </c>
      <c r="G48" s="13" t="s">
        <v>27</v>
      </c>
      <c r="H48" s="14">
        <v>45967</v>
      </c>
      <c r="I48" s="13" t="s">
        <v>155</v>
      </c>
      <c r="J48" s="29">
        <v>21636811817</v>
      </c>
      <c r="K48" s="22">
        <v>17206</v>
      </c>
      <c r="L48" s="13">
        <v>33</v>
      </c>
      <c r="M48" s="33">
        <v>23</v>
      </c>
      <c r="N48" s="13">
        <v>10326470</v>
      </c>
      <c r="O48" s="32">
        <v>301.43</v>
      </c>
      <c r="P48" s="32">
        <v>1808.7</v>
      </c>
      <c r="Q48" s="13" t="s">
        <v>154</v>
      </c>
      <c r="R48" s="13" t="s">
        <v>154</v>
      </c>
      <c r="S48" s="13" t="s">
        <v>29</v>
      </c>
      <c r="T48" s="13" t="s">
        <v>30</v>
      </c>
      <c r="U48" s="13"/>
      <c r="V48" s="13"/>
      <c r="W48" s="13" t="s">
        <v>31</v>
      </c>
    </row>
    <row r="49" spans="1:23" s="27" customFormat="1">
      <c r="A49" s="29">
        <v>36274098844</v>
      </c>
      <c r="B49" s="13" t="s">
        <v>157</v>
      </c>
      <c r="C49" s="29">
        <v>130256226</v>
      </c>
      <c r="D49" s="29" t="s">
        <v>154</v>
      </c>
      <c r="E49" s="13" t="s">
        <v>158</v>
      </c>
      <c r="F49" s="13" t="s">
        <v>42</v>
      </c>
      <c r="G49" s="13" t="s">
        <v>46</v>
      </c>
      <c r="H49" s="14">
        <v>45967</v>
      </c>
      <c r="I49" s="13" t="s">
        <v>157</v>
      </c>
      <c r="J49" s="29">
        <v>36274098844</v>
      </c>
      <c r="K49" s="22">
        <v>31805</v>
      </c>
      <c r="L49" s="13">
        <v>33</v>
      </c>
      <c r="M49" s="29">
        <v>784</v>
      </c>
      <c r="N49" s="13">
        <v>10096773</v>
      </c>
      <c r="O49" s="32">
        <v>177.67</v>
      </c>
      <c r="P49" s="32">
        <v>1776.66</v>
      </c>
      <c r="Q49" s="13" t="s">
        <v>154</v>
      </c>
      <c r="R49" s="13" t="s">
        <v>154</v>
      </c>
      <c r="S49" s="13" t="s">
        <v>29</v>
      </c>
      <c r="T49" s="13" t="s">
        <v>30</v>
      </c>
      <c r="U49" s="13"/>
      <c r="V49" s="13"/>
      <c r="W49" s="13" t="s">
        <v>47</v>
      </c>
    </row>
    <row r="50" spans="1:23" s="27" customFormat="1">
      <c r="A50" s="13">
        <v>36743151572</v>
      </c>
      <c r="B50" s="13" t="s">
        <v>159</v>
      </c>
      <c r="C50" s="29">
        <v>130195297</v>
      </c>
      <c r="D50" s="29" t="s">
        <v>154</v>
      </c>
      <c r="E50" s="13" t="s">
        <v>160</v>
      </c>
      <c r="F50" s="13" t="s">
        <v>26</v>
      </c>
      <c r="G50" s="13" t="s">
        <v>46</v>
      </c>
      <c r="H50" s="14">
        <v>45967</v>
      </c>
      <c r="I50" s="13" t="s">
        <v>159</v>
      </c>
      <c r="J50" s="13">
        <v>36743151572</v>
      </c>
      <c r="K50" s="22">
        <v>23744</v>
      </c>
      <c r="L50" s="13">
        <v>33</v>
      </c>
      <c r="M50" s="29">
        <v>434</v>
      </c>
      <c r="N50" s="13">
        <v>10315409</v>
      </c>
      <c r="O50" s="30">
        <v>174.07</v>
      </c>
      <c r="P50" s="30">
        <v>1740.6</v>
      </c>
      <c r="Q50" s="13" t="s">
        <v>154</v>
      </c>
      <c r="R50" s="13" t="s">
        <v>154</v>
      </c>
      <c r="S50" s="13" t="s">
        <v>29</v>
      </c>
      <c r="T50" s="13" t="s">
        <v>30</v>
      </c>
      <c r="U50" s="13"/>
      <c r="V50" s="13"/>
      <c r="W50" s="13" t="s">
        <v>47</v>
      </c>
    </row>
    <row r="51" spans="1:23" s="27" customFormat="1" hidden="1">
      <c r="A51" s="13">
        <v>8628291865</v>
      </c>
      <c r="B51" s="13" t="s">
        <v>161</v>
      </c>
      <c r="C51" s="13">
        <v>135003877</v>
      </c>
      <c r="D51" s="29" t="s">
        <v>154</v>
      </c>
      <c r="E51" s="13" t="s">
        <v>162</v>
      </c>
      <c r="F51" s="13" t="s">
        <v>42</v>
      </c>
      <c r="G51" s="13" t="s">
        <v>27</v>
      </c>
      <c r="H51" s="14">
        <v>45967</v>
      </c>
      <c r="I51" s="13" t="s">
        <v>161</v>
      </c>
      <c r="J51" s="13">
        <v>8628291865</v>
      </c>
      <c r="K51" s="14">
        <v>23733</v>
      </c>
      <c r="L51" s="13">
        <v>33</v>
      </c>
      <c r="M51" s="13">
        <v>3633</v>
      </c>
      <c r="N51" s="13">
        <v>20002272</v>
      </c>
      <c r="O51" s="30">
        <v>382.55</v>
      </c>
      <c r="P51" s="30">
        <v>3825.57</v>
      </c>
      <c r="Q51" s="13" t="s">
        <v>154</v>
      </c>
      <c r="R51" s="13" t="s">
        <v>154</v>
      </c>
      <c r="S51" s="13" t="s">
        <v>29</v>
      </c>
      <c r="T51" s="13" t="s">
        <v>30</v>
      </c>
      <c r="U51" s="13"/>
      <c r="V51" s="13"/>
      <c r="W51" s="13" t="s">
        <v>31</v>
      </c>
    </row>
    <row r="52" spans="1:23" s="27" customFormat="1" hidden="1">
      <c r="A52" s="13">
        <v>21830110845</v>
      </c>
      <c r="B52" s="13" t="s">
        <v>163</v>
      </c>
      <c r="C52" s="13">
        <v>135095194</v>
      </c>
      <c r="D52" s="29" t="s">
        <v>154</v>
      </c>
      <c r="E52" s="33" t="s">
        <v>164</v>
      </c>
      <c r="F52" s="13" t="s">
        <v>42</v>
      </c>
      <c r="G52" s="13" t="s">
        <v>27</v>
      </c>
      <c r="H52" s="14">
        <v>45967</v>
      </c>
      <c r="I52" s="13" t="s">
        <v>163</v>
      </c>
      <c r="J52" s="13">
        <v>21830110845</v>
      </c>
      <c r="K52" s="22">
        <v>29652</v>
      </c>
      <c r="L52" s="13">
        <v>33</v>
      </c>
      <c r="M52" s="29">
        <v>826</v>
      </c>
      <c r="N52" s="13">
        <v>10045855</v>
      </c>
      <c r="O52" s="32">
        <v>332.08</v>
      </c>
      <c r="P52" s="31">
        <v>3320.9</v>
      </c>
      <c r="Q52" s="13" t="s">
        <v>154</v>
      </c>
      <c r="R52" s="13" t="s">
        <v>154</v>
      </c>
      <c r="S52" s="13" t="s">
        <v>29</v>
      </c>
      <c r="T52" s="13" t="s">
        <v>30</v>
      </c>
      <c r="U52" s="13"/>
      <c r="V52" s="13"/>
      <c r="W52" s="33" t="s">
        <v>31</v>
      </c>
    </row>
    <row r="53" spans="1:23" s="27" customFormat="1" hidden="1">
      <c r="A53" s="13">
        <v>15145549172</v>
      </c>
      <c r="B53" s="13" t="s">
        <v>165</v>
      </c>
      <c r="C53" s="13">
        <v>135106866</v>
      </c>
      <c r="D53" s="29" t="s">
        <v>154</v>
      </c>
      <c r="E53" s="13" t="s">
        <v>166</v>
      </c>
      <c r="F53" s="13" t="s">
        <v>26</v>
      </c>
      <c r="G53" s="13" t="s">
        <v>27</v>
      </c>
      <c r="H53" s="14">
        <v>45967</v>
      </c>
      <c r="I53" s="13" t="s">
        <v>165</v>
      </c>
      <c r="J53" s="13">
        <v>15145549172</v>
      </c>
      <c r="K53" s="22">
        <v>20610</v>
      </c>
      <c r="L53" s="13">
        <v>33</v>
      </c>
      <c r="M53" s="29">
        <v>3100</v>
      </c>
      <c r="N53" s="13">
        <v>10055762</v>
      </c>
      <c r="O53" s="30">
        <v>273.7</v>
      </c>
      <c r="P53" s="30">
        <v>2737.13</v>
      </c>
      <c r="Q53" s="13" t="s">
        <v>154</v>
      </c>
      <c r="R53" s="13" t="s">
        <v>154</v>
      </c>
      <c r="S53" s="13" t="s">
        <v>29</v>
      </c>
      <c r="T53" s="13" t="s">
        <v>30</v>
      </c>
      <c r="U53" s="13"/>
      <c r="V53" s="13"/>
      <c r="W53" s="13" t="s">
        <v>31</v>
      </c>
    </row>
    <row r="54" spans="1:23" s="27" customFormat="1">
      <c r="A54" s="29">
        <v>4520222826</v>
      </c>
      <c r="B54" s="13" t="s">
        <v>167</v>
      </c>
      <c r="C54" s="29">
        <v>130435730</v>
      </c>
      <c r="D54" s="29" t="s">
        <v>154</v>
      </c>
      <c r="E54" s="13" t="s">
        <v>168</v>
      </c>
      <c r="F54" s="13" t="s">
        <v>42</v>
      </c>
      <c r="G54" s="13" t="s">
        <v>46</v>
      </c>
      <c r="H54" s="14">
        <v>45967</v>
      </c>
      <c r="I54" s="13" t="s">
        <v>167</v>
      </c>
      <c r="J54" s="29">
        <v>4520222826</v>
      </c>
      <c r="K54" s="38" t="s">
        <v>169</v>
      </c>
      <c r="L54" s="13">
        <v>33</v>
      </c>
      <c r="M54" s="29">
        <v>59</v>
      </c>
      <c r="N54" s="13">
        <v>10707328</v>
      </c>
      <c r="O54" s="30">
        <v>194.68</v>
      </c>
      <c r="P54" s="30">
        <v>1946.76</v>
      </c>
      <c r="Q54" s="13" t="s">
        <v>154</v>
      </c>
      <c r="R54" s="13" t="s">
        <v>154</v>
      </c>
      <c r="S54" s="13" t="s">
        <v>29</v>
      </c>
      <c r="T54" s="13" t="s">
        <v>30</v>
      </c>
      <c r="U54" s="13"/>
      <c r="V54" s="13"/>
      <c r="W54" s="13" t="s">
        <v>47</v>
      </c>
    </row>
    <row r="55" spans="1:23" s="27" customFormat="1" hidden="1">
      <c r="A55" s="13">
        <v>3430957931</v>
      </c>
      <c r="B55" s="13" t="s">
        <v>170</v>
      </c>
      <c r="C55" s="29">
        <v>135260735</v>
      </c>
      <c r="D55" s="29" t="s">
        <v>171</v>
      </c>
      <c r="E55" s="13" t="s">
        <v>172</v>
      </c>
      <c r="F55" s="13" t="s">
        <v>42</v>
      </c>
      <c r="G55" s="13" t="s">
        <v>58</v>
      </c>
      <c r="H55" s="14">
        <v>45967</v>
      </c>
      <c r="I55" s="33" t="s">
        <v>173</v>
      </c>
      <c r="J55" s="13" t="s">
        <v>174</v>
      </c>
      <c r="K55" s="14">
        <v>29630</v>
      </c>
      <c r="L55" s="13">
        <v>33</v>
      </c>
      <c r="M55" s="13">
        <v>1259</v>
      </c>
      <c r="N55" s="13">
        <v>10060196</v>
      </c>
      <c r="O55" s="32">
        <v>127.98</v>
      </c>
      <c r="P55" s="31">
        <v>1279.8</v>
      </c>
      <c r="Q55" s="13" t="e">
        <f>#REF!</f>
        <v>#REF!</v>
      </c>
      <c r="R55" s="13" t="e">
        <f>#REF!</f>
        <v>#REF!</v>
      </c>
      <c r="S55" s="13" t="s">
        <v>29</v>
      </c>
      <c r="T55" s="13" t="s">
        <v>30</v>
      </c>
      <c r="U55" s="13"/>
      <c r="V55" s="13"/>
      <c r="W55" s="19" t="s">
        <v>59</v>
      </c>
    </row>
    <row r="56" spans="1:23" s="27" customFormat="1" hidden="1">
      <c r="A56" s="13">
        <v>2737983673</v>
      </c>
      <c r="B56" s="13" t="s">
        <v>175</v>
      </c>
      <c r="C56" s="13">
        <v>135262875</v>
      </c>
      <c r="D56" s="29" t="s">
        <v>154</v>
      </c>
      <c r="E56" s="13" t="s">
        <v>176</v>
      </c>
      <c r="F56" s="13" t="s">
        <v>42</v>
      </c>
      <c r="G56" s="13" t="s">
        <v>27</v>
      </c>
      <c r="H56" s="14">
        <v>45967</v>
      </c>
      <c r="I56" s="13" t="s">
        <v>175</v>
      </c>
      <c r="J56" s="13">
        <v>2737983673</v>
      </c>
      <c r="K56" s="14" t="s">
        <v>177</v>
      </c>
      <c r="L56" s="13">
        <v>33</v>
      </c>
      <c r="M56" s="13">
        <v>3664</v>
      </c>
      <c r="N56" s="33">
        <v>10009795</v>
      </c>
      <c r="O56" s="30">
        <v>727.81</v>
      </c>
      <c r="P56" s="30">
        <v>1455.74</v>
      </c>
      <c r="Q56" s="13" t="e">
        <f>#REF!</f>
        <v>#REF!</v>
      </c>
      <c r="R56" s="13" t="e">
        <f>#REF!</f>
        <v>#REF!</v>
      </c>
      <c r="S56" s="13" t="s">
        <v>29</v>
      </c>
      <c r="T56" s="13" t="s">
        <v>30</v>
      </c>
      <c r="U56" s="15"/>
      <c r="V56" s="15"/>
      <c r="W56" s="13" t="s">
        <v>31</v>
      </c>
    </row>
    <row r="57" spans="1:23" s="27" customFormat="1">
      <c r="A57" s="13">
        <v>7984477701</v>
      </c>
      <c r="B57" s="13" t="s">
        <v>178</v>
      </c>
      <c r="C57" s="29">
        <v>135175444</v>
      </c>
      <c r="D57" s="29" t="s">
        <v>154</v>
      </c>
      <c r="E57" s="13" t="s">
        <v>179</v>
      </c>
      <c r="F57" s="13" t="s">
        <v>26</v>
      </c>
      <c r="G57" s="13" t="s">
        <v>46</v>
      </c>
      <c r="H57" s="14">
        <v>45967</v>
      </c>
      <c r="I57" s="13" t="s">
        <v>178</v>
      </c>
      <c r="J57" s="13">
        <v>7984477701</v>
      </c>
      <c r="K57" s="14">
        <v>29091</v>
      </c>
      <c r="L57" s="13">
        <v>33</v>
      </c>
      <c r="M57" s="13">
        <v>2094</v>
      </c>
      <c r="N57" s="13">
        <v>10066774</v>
      </c>
      <c r="O57" s="30">
        <v>372.58</v>
      </c>
      <c r="P57" s="30">
        <v>1862.99</v>
      </c>
      <c r="Q57" s="13" t="e">
        <f>#REF!</f>
        <v>#REF!</v>
      </c>
      <c r="R57" s="13" t="e">
        <f>#REF!</f>
        <v>#REF!</v>
      </c>
      <c r="S57" s="13" t="s">
        <v>29</v>
      </c>
      <c r="T57" s="13" t="s">
        <v>30</v>
      </c>
      <c r="U57" s="15"/>
      <c r="V57" s="15"/>
      <c r="W57" s="19" t="s">
        <v>55</v>
      </c>
    </row>
    <row r="58" spans="1:23" s="27" customFormat="1" hidden="1">
      <c r="A58" s="34" t="s">
        <v>180</v>
      </c>
      <c r="B58" s="15" t="s">
        <v>181</v>
      </c>
      <c r="C58" s="33">
        <v>135002578</v>
      </c>
      <c r="D58" s="34" t="s">
        <v>154</v>
      </c>
      <c r="E58" s="33" t="s">
        <v>182</v>
      </c>
      <c r="F58" s="15" t="s">
        <v>183</v>
      </c>
      <c r="G58" s="15" t="s">
        <v>27</v>
      </c>
      <c r="H58" s="14">
        <v>45965</v>
      </c>
      <c r="I58" s="15" t="s">
        <v>181</v>
      </c>
      <c r="J58" s="34" t="s">
        <v>180</v>
      </c>
      <c r="K58" s="16">
        <v>29600</v>
      </c>
      <c r="L58" s="19">
        <v>33</v>
      </c>
      <c r="M58" s="35" t="s">
        <v>184</v>
      </c>
      <c r="N58" s="33" t="s">
        <v>185</v>
      </c>
      <c r="O58" s="32">
        <v>169.86</v>
      </c>
      <c r="P58" s="32">
        <v>1698.73</v>
      </c>
      <c r="Q58" s="19" t="s">
        <v>154</v>
      </c>
      <c r="R58" s="16">
        <v>45974</v>
      </c>
      <c r="S58" s="15" t="s">
        <v>77</v>
      </c>
      <c r="T58" s="15" t="s">
        <v>30</v>
      </c>
      <c r="U58" s="15" t="s">
        <v>186</v>
      </c>
      <c r="V58" s="15" t="s">
        <v>187</v>
      </c>
      <c r="W58" s="33" t="s">
        <v>31</v>
      </c>
    </row>
    <row r="59" spans="1:23" hidden="1">
      <c r="A59" s="34" t="s">
        <v>188</v>
      </c>
      <c r="B59" s="15" t="s">
        <v>189</v>
      </c>
      <c r="C59" s="34">
        <v>135250083</v>
      </c>
      <c r="D59" s="34" t="s">
        <v>190</v>
      </c>
      <c r="E59" s="33" t="s">
        <v>191</v>
      </c>
      <c r="F59" s="15" t="s">
        <v>26</v>
      </c>
      <c r="G59" s="15" t="s">
        <v>58</v>
      </c>
      <c r="H59" s="14">
        <v>45966</v>
      </c>
      <c r="I59" s="15" t="s">
        <v>189</v>
      </c>
      <c r="J59" s="34" t="s">
        <v>188</v>
      </c>
      <c r="K59" s="16">
        <v>22619</v>
      </c>
      <c r="L59" s="19">
        <v>33</v>
      </c>
      <c r="M59" s="35" t="s">
        <v>192</v>
      </c>
      <c r="N59" s="33">
        <v>10017041</v>
      </c>
      <c r="O59" s="32">
        <v>842.51</v>
      </c>
      <c r="P59" s="32">
        <v>8425.1</v>
      </c>
      <c r="Q59" s="16" t="s">
        <v>154</v>
      </c>
      <c r="R59" s="16" t="s">
        <v>154</v>
      </c>
      <c r="S59" s="15" t="s">
        <v>29</v>
      </c>
      <c r="T59" s="15" t="s">
        <v>30</v>
      </c>
      <c r="U59" s="15" t="s">
        <v>186</v>
      </c>
      <c r="V59" s="15" t="s">
        <v>193</v>
      </c>
      <c r="W59" s="19" t="s">
        <v>59</v>
      </c>
    </row>
    <row r="60" spans="1:23" hidden="1">
      <c r="A60" s="17">
        <v>8464788894</v>
      </c>
      <c r="B60" s="15" t="s">
        <v>194</v>
      </c>
      <c r="C60" s="15">
        <v>135243275</v>
      </c>
      <c r="D60" s="15" t="s">
        <v>154</v>
      </c>
      <c r="E60" s="34" t="s">
        <v>195</v>
      </c>
      <c r="F60" s="15" t="s">
        <v>42</v>
      </c>
      <c r="G60" s="15" t="s">
        <v>27</v>
      </c>
      <c r="H60" s="14">
        <v>45966</v>
      </c>
      <c r="I60" s="15" t="s">
        <v>196</v>
      </c>
      <c r="J60" s="17" t="s">
        <v>154</v>
      </c>
      <c r="K60" s="16">
        <v>23851</v>
      </c>
      <c r="L60" s="15">
        <v>33</v>
      </c>
      <c r="M60" s="15">
        <v>40</v>
      </c>
      <c r="N60" s="34" t="s">
        <v>197</v>
      </c>
      <c r="O60" s="39" t="s">
        <v>198</v>
      </c>
      <c r="P60" s="39" t="s">
        <v>198</v>
      </c>
      <c r="Q60" s="15" t="s">
        <v>154</v>
      </c>
      <c r="R60" s="16">
        <v>45978</v>
      </c>
      <c r="S60" s="15" t="s">
        <v>29</v>
      </c>
      <c r="T60" s="15" t="s">
        <v>30</v>
      </c>
      <c r="U60" s="15" t="s">
        <v>186</v>
      </c>
      <c r="V60" s="15" t="s">
        <v>199</v>
      </c>
      <c r="W60" s="34" t="s">
        <v>31</v>
      </c>
    </row>
    <row r="61" spans="1:23" hidden="1">
      <c r="A61" s="15">
        <v>72397420678</v>
      </c>
      <c r="B61" s="15" t="s">
        <v>200</v>
      </c>
      <c r="C61" s="17">
        <v>135211786</v>
      </c>
      <c r="D61" s="17" t="s">
        <v>201</v>
      </c>
      <c r="E61" s="34" t="s">
        <v>202</v>
      </c>
      <c r="F61" s="15" t="s">
        <v>183</v>
      </c>
      <c r="G61" s="15" t="s">
        <v>58</v>
      </c>
      <c r="H61" s="14">
        <v>45964</v>
      </c>
      <c r="I61" s="15" t="s">
        <v>200</v>
      </c>
      <c r="J61" s="15">
        <v>72397420678</v>
      </c>
      <c r="K61" s="16">
        <v>23600</v>
      </c>
      <c r="L61" s="15">
        <v>33</v>
      </c>
      <c r="M61" s="15">
        <v>3174</v>
      </c>
      <c r="N61" s="17" t="s">
        <v>203</v>
      </c>
      <c r="O61" s="39" t="s">
        <v>204</v>
      </c>
      <c r="P61" s="39" t="s">
        <v>205</v>
      </c>
      <c r="Q61" s="15" t="s">
        <v>154</v>
      </c>
      <c r="R61" s="16" t="s">
        <v>154</v>
      </c>
      <c r="S61" s="15" t="s">
        <v>29</v>
      </c>
      <c r="T61" s="15" t="s">
        <v>30</v>
      </c>
      <c r="U61" s="15" t="s">
        <v>186</v>
      </c>
      <c r="V61" s="15" t="s">
        <v>193</v>
      </c>
      <c r="W61" s="13" t="s">
        <v>102</v>
      </c>
    </row>
    <row r="62" spans="1:23" hidden="1">
      <c r="A62" s="17" t="s">
        <v>206</v>
      </c>
      <c r="B62" s="17" t="s">
        <v>207</v>
      </c>
      <c r="C62" s="33">
        <v>132463969</v>
      </c>
      <c r="D62" s="15" t="s">
        <v>154</v>
      </c>
      <c r="E62" s="34" t="s">
        <v>208</v>
      </c>
      <c r="F62" s="15" t="s">
        <v>183</v>
      </c>
      <c r="G62" s="15" t="s">
        <v>27</v>
      </c>
      <c r="H62" s="14">
        <v>45966</v>
      </c>
      <c r="I62" s="17" t="s">
        <v>207</v>
      </c>
      <c r="J62" s="17" t="s">
        <v>206</v>
      </c>
      <c r="K62" s="16">
        <v>40525</v>
      </c>
      <c r="L62" s="15">
        <v>33</v>
      </c>
      <c r="M62" s="15">
        <v>1309</v>
      </c>
      <c r="N62" s="17" t="s">
        <v>209</v>
      </c>
      <c r="O62" s="39" t="s">
        <v>210</v>
      </c>
      <c r="P62" s="39" t="s">
        <v>211</v>
      </c>
      <c r="Q62" s="16">
        <v>45966</v>
      </c>
      <c r="R62" s="16">
        <v>45971</v>
      </c>
      <c r="S62" s="15" t="s">
        <v>77</v>
      </c>
      <c r="T62" s="15" t="s">
        <v>30</v>
      </c>
      <c r="U62" s="15" t="s">
        <v>186</v>
      </c>
      <c r="V62" s="15" t="s">
        <v>187</v>
      </c>
      <c r="W62" s="34" t="s">
        <v>31</v>
      </c>
    </row>
    <row r="63" spans="1:23" hidden="1">
      <c r="A63" s="15">
        <v>6133788909</v>
      </c>
      <c r="B63" s="15" t="s">
        <v>212</v>
      </c>
      <c r="C63" s="33">
        <v>135276240</v>
      </c>
      <c r="D63" s="17" t="s">
        <v>213</v>
      </c>
      <c r="E63" s="34" t="s">
        <v>214</v>
      </c>
      <c r="F63" s="15" t="s">
        <v>183</v>
      </c>
      <c r="G63" s="15" t="s">
        <v>58</v>
      </c>
      <c r="H63" s="14">
        <v>45966</v>
      </c>
      <c r="I63" s="15" t="s">
        <v>212</v>
      </c>
      <c r="J63" s="15">
        <v>6133788909</v>
      </c>
      <c r="K63" s="16">
        <v>32698</v>
      </c>
      <c r="L63" s="15">
        <v>33</v>
      </c>
      <c r="M63" s="15">
        <v>1147</v>
      </c>
      <c r="N63" s="17" t="s">
        <v>215</v>
      </c>
      <c r="O63" s="39" t="s">
        <v>216</v>
      </c>
      <c r="P63" s="39" t="s">
        <v>217</v>
      </c>
      <c r="Q63" s="36" t="s">
        <v>154</v>
      </c>
      <c r="R63" s="16" t="s">
        <v>154</v>
      </c>
      <c r="S63" s="15" t="s">
        <v>29</v>
      </c>
      <c r="T63" s="15" t="s">
        <v>30</v>
      </c>
      <c r="U63" s="15" t="s">
        <v>186</v>
      </c>
      <c r="V63" s="15" t="s">
        <v>193</v>
      </c>
      <c r="W63" s="19" t="s">
        <v>59</v>
      </c>
    </row>
    <row r="64" spans="1:23" hidden="1">
      <c r="A64" s="15">
        <v>928667430</v>
      </c>
      <c r="B64" s="15" t="s">
        <v>218</v>
      </c>
      <c r="C64" s="15">
        <v>135104022</v>
      </c>
      <c r="D64" s="15" t="s">
        <v>154</v>
      </c>
      <c r="E64" s="34" t="s">
        <v>219</v>
      </c>
      <c r="F64" s="15" t="s">
        <v>42</v>
      </c>
      <c r="G64" s="15" t="s">
        <v>27</v>
      </c>
      <c r="H64" s="14">
        <v>45966</v>
      </c>
      <c r="I64" s="15" t="s">
        <v>218</v>
      </c>
      <c r="J64" s="15">
        <v>928667430</v>
      </c>
      <c r="K64" s="16">
        <v>30021</v>
      </c>
      <c r="L64" s="15">
        <v>33</v>
      </c>
      <c r="M64" s="15">
        <v>4370</v>
      </c>
      <c r="N64" s="17" t="s">
        <v>220</v>
      </c>
      <c r="O64" s="39" t="s">
        <v>221</v>
      </c>
      <c r="P64" s="39" t="s">
        <v>222</v>
      </c>
      <c r="Q64" s="16" t="s">
        <v>154</v>
      </c>
      <c r="R64" s="16">
        <v>45981</v>
      </c>
      <c r="S64" s="15" t="s">
        <v>29</v>
      </c>
      <c r="T64" s="15" t="s">
        <v>30</v>
      </c>
      <c r="U64" s="15" t="s">
        <v>223</v>
      </c>
      <c r="V64" s="15" t="s">
        <v>193</v>
      </c>
      <c r="W64" s="34" t="s">
        <v>31</v>
      </c>
    </row>
    <row r="65" spans="1:23" hidden="1">
      <c r="A65" s="15">
        <v>38242703825</v>
      </c>
      <c r="B65" s="15" t="s">
        <v>224</v>
      </c>
      <c r="C65" s="15">
        <v>135206542</v>
      </c>
      <c r="D65" s="17" t="s">
        <v>154</v>
      </c>
      <c r="E65" s="17" t="s">
        <v>225</v>
      </c>
      <c r="F65" s="15" t="s">
        <v>183</v>
      </c>
      <c r="G65" s="15" t="s">
        <v>27</v>
      </c>
      <c r="H65" s="14">
        <v>45966</v>
      </c>
      <c r="I65" s="15" t="s">
        <v>224</v>
      </c>
      <c r="J65" s="15">
        <v>38242703825</v>
      </c>
      <c r="K65" s="16">
        <v>34222</v>
      </c>
      <c r="L65" s="15">
        <v>33</v>
      </c>
      <c r="M65" s="15">
        <v>41</v>
      </c>
      <c r="N65" s="17" t="s">
        <v>226</v>
      </c>
      <c r="O65" s="18" t="s">
        <v>227</v>
      </c>
      <c r="P65" s="18" t="s">
        <v>228</v>
      </c>
      <c r="Q65" s="16" t="s">
        <v>154</v>
      </c>
      <c r="R65" s="16">
        <v>45989</v>
      </c>
      <c r="S65" s="15" t="s">
        <v>29</v>
      </c>
      <c r="T65" s="15" t="s">
        <v>30</v>
      </c>
      <c r="U65" s="15" t="s">
        <v>223</v>
      </c>
      <c r="V65" s="15" t="s">
        <v>193</v>
      </c>
      <c r="W65" s="17" t="s">
        <v>31</v>
      </c>
    </row>
    <row r="66" spans="1:23" hidden="1">
      <c r="A66" s="15"/>
      <c r="B66" s="15"/>
      <c r="C66" s="17"/>
      <c r="D66" s="15"/>
      <c r="E66" s="17"/>
      <c r="F66" s="15"/>
      <c r="G66" s="15"/>
      <c r="H66" s="14"/>
      <c r="I66" s="15"/>
      <c r="J66" s="15"/>
      <c r="K66" s="16"/>
      <c r="L66" s="15"/>
      <c r="M66" s="15"/>
      <c r="N66" s="17"/>
      <c r="O66" s="18"/>
      <c r="P66" s="18"/>
      <c r="Q66" s="16"/>
      <c r="R66" s="16"/>
      <c r="S66" s="15"/>
      <c r="T66" s="15"/>
      <c r="U66" s="15"/>
      <c r="V66" s="15"/>
      <c r="W66" s="17"/>
    </row>
    <row r="67" spans="1:23" hidden="1">
      <c r="A67" s="15"/>
      <c r="B67" s="15"/>
      <c r="C67" s="17"/>
      <c r="D67" s="15"/>
      <c r="E67" s="17"/>
      <c r="F67" s="15"/>
      <c r="G67" s="15"/>
      <c r="H67" s="14"/>
      <c r="I67" s="15"/>
      <c r="J67" s="15"/>
      <c r="K67" s="16"/>
      <c r="L67" s="15"/>
      <c r="M67" s="15"/>
      <c r="N67" s="17"/>
      <c r="O67" s="18"/>
      <c r="P67" s="18"/>
      <c r="Q67" s="16"/>
      <c r="R67" s="16"/>
      <c r="S67" s="15"/>
      <c r="T67" s="15"/>
      <c r="U67" s="15"/>
      <c r="V67" s="15"/>
      <c r="W67" s="17"/>
    </row>
    <row r="68" spans="1:23" hidden="1">
      <c r="A68" s="15"/>
      <c r="B68" s="15"/>
      <c r="C68" s="17"/>
      <c r="D68" s="15"/>
      <c r="E68" s="17"/>
      <c r="F68" s="15"/>
      <c r="G68" s="15"/>
      <c r="H68" s="14"/>
      <c r="I68" s="15"/>
      <c r="J68" s="15"/>
      <c r="K68" s="16"/>
      <c r="L68" s="15"/>
      <c r="M68" s="15"/>
      <c r="N68" s="17"/>
      <c r="O68" s="18"/>
      <c r="P68" s="18"/>
      <c r="Q68" s="16"/>
      <c r="R68" s="16"/>
      <c r="S68" s="15"/>
      <c r="T68" s="15"/>
      <c r="U68" s="15"/>
      <c r="V68" s="15"/>
      <c r="W68" s="17"/>
    </row>
    <row r="69" spans="1:23" hidden="1">
      <c r="A69" s="15"/>
      <c r="B69" s="15"/>
      <c r="C69" s="15"/>
      <c r="D69" s="17"/>
      <c r="E69" s="17"/>
      <c r="F69" s="15"/>
      <c r="G69" s="15"/>
      <c r="H69" s="14"/>
      <c r="I69" s="15"/>
      <c r="J69" s="15"/>
      <c r="K69" s="16"/>
      <c r="L69" s="15"/>
      <c r="M69" s="15"/>
      <c r="N69" s="17"/>
      <c r="O69" s="18"/>
      <c r="P69" s="18"/>
      <c r="Q69" s="16"/>
      <c r="R69" s="16"/>
      <c r="S69" s="15"/>
      <c r="T69" s="15"/>
      <c r="U69" s="15"/>
      <c r="V69" s="15"/>
      <c r="W69" s="17"/>
    </row>
    <row r="70" spans="1:23" hidden="1">
      <c r="A70" s="15"/>
      <c r="B70" s="15"/>
      <c r="C70" s="15"/>
      <c r="D70" s="17"/>
      <c r="E70" s="17"/>
      <c r="F70" s="15"/>
      <c r="G70" s="15"/>
      <c r="H70" s="14"/>
      <c r="I70" s="15"/>
      <c r="J70" s="15"/>
      <c r="K70" s="16"/>
      <c r="L70" s="15"/>
      <c r="M70" s="15"/>
      <c r="N70" s="17"/>
      <c r="O70" s="18"/>
      <c r="P70" s="18"/>
      <c r="Q70" s="15"/>
      <c r="R70" s="15"/>
      <c r="S70" s="15"/>
      <c r="T70" s="15"/>
      <c r="U70" s="15"/>
      <c r="V70" s="15"/>
      <c r="W70" s="17"/>
    </row>
    <row r="71" spans="1:23" hidden="1">
      <c r="A71" s="15"/>
      <c r="B71" s="15"/>
      <c r="C71" s="17"/>
      <c r="D71" s="15"/>
      <c r="E71" s="17"/>
      <c r="F71" s="15"/>
      <c r="G71" s="15"/>
      <c r="H71" s="14"/>
      <c r="I71" s="15"/>
      <c r="J71" s="15"/>
      <c r="K71" s="16"/>
      <c r="L71" s="15"/>
      <c r="M71" s="15"/>
      <c r="N71" s="17"/>
      <c r="O71" s="18"/>
      <c r="P71" s="18"/>
      <c r="Q71" s="16"/>
      <c r="R71" s="16"/>
      <c r="S71" s="15"/>
      <c r="T71" s="15"/>
      <c r="U71" s="15"/>
      <c r="V71" s="15"/>
      <c r="W71" s="17"/>
    </row>
    <row r="72" spans="1:23" hidden="1">
      <c r="A72" s="15"/>
      <c r="B72" s="15"/>
      <c r="C72" s="17"/>
      <c r="D72" s="15"/>
      <c r="E72" s="17"/>
      <c r="F72" s="15"/>
      <c r="G72" s="15"/>
      <c r="H72" s="14"/>
      <c r="I72" s="15"/>
      <c r="J72" s="15"/>
      <c r="K72" s="16"/>
      <c r="L72" s="15"/>
      <c r="M72" s="15"/>
      <c r="N72" s="17"/>
      <c r="O72" s="18"/>
      <c r="P72" s="18"/>
      <c r="Q72" s="16"/>
      <c r="R72" s="16"/>
      <c r="S72" s="15"/>
      <c r="T72" s="15"/>
      <c r="U72" s="15"/>
      <c r="V72" s="15"/>
      <c r="W72" s="17"/>
    </row>
    <row r="73" spans="1:23" hidden="1">
      <c r="A73" s="15"/>
      <c r="B73" s="15"/>
      <c r="C73" s="17"/>
      <c r="D73" s="15"/>
      <c r="E73" s="17"/>
      <c r="F73" s="15"/>
      <c r="G73" s="15"/>
      <c r="H73" s="14"/>
      <c r="I73" s="15"/>
      <c r="J73" s="15"/>
      <c r="K73" s="16"/>
      <c r="L73" s="15"/>
      <c r="M73" s="15"/>
      <c r="N73" s="17"/>
      <c r="O73" s="18"/>
      <c r="P73" s="18"/>
      <c r="Q73" s="16"/>
      <c r="R73" s="16"/>
      <c r="S73" s="15"/>
      <c r="T73" s="15"/>
      <c r="U73" s="15"/>
      <c r="V73" s="15"/>
      <c r="W73" s="17"/>
    </row>
    <row r="74" spans="1:23" hidden="1">
      <c r="A74" s="15"/>
      <c r="B74" s="15"/>
      <c r="C74" s="17"/>
      <c r="D74" s="15"/>
      <c r="E74" s="17"/>
      <c r="F74" s="15"/>
      <c r="G74" s="15"/>
      <c r="H74" s="14"/>
      <c r="I74" s="15"/>
      <c r="J74" s="15"/>
      <c r="K74" s="16"/>
      <c r="L74" s="15"/>
      <c r="M74" s="15"/>
      <c r="N74" s="17"/>
      <c r="O74" s="18"/>
      <c r="P74" s="18"/>
      <c r="Q74" s="16"/>
      <c r="R74" s="16"/>
      <c r="S74" s="15"/>
      <c r="T74" s="15"/>
      <c r="U74" s="15"/>
      <c r="V74" s="15"/>
      <c r="W74" s="17"/>
    </row>
    <row r="75" spans="1:23" hidden="1">
      <c r="A75" s="15"/>
      <c r="B75" s="15"/>
      <c r="C75" s="17"/>
      <c r="D75" s="15"/>
      <c r="E75" s="17"/>
      <c r="F75" s="15"/>
      <c r="G75" s="15"/>
      <c r="H75" s="14"/>
      <c r="I75" s="15"/>
      <c r="J75" s="15"/>
      <c r="K75" s="16"/>
      <c r="L75" s="15"/>
      <c r="M75" s="15"/>
      <c r="N75" s="17"/>
      <c r="O75" s="18"/>
      <c r="P75" s="18"/>
      <c r="Q75" s="15"/>
      <c r="R75" s="16"/>
      <c r="S75" s="15"/>
      <c r="T75" s="15"/>
      <c r="U75" s="15"/>
      <c r="V75" s="15"/>
      <c r="W75" s="17"/>
    </row>
    <row r="76" spans="1:23" hidden="1">
      <c r="A76" s="15"/>
      <c r="B76" s="15"/>
      <c r="C76" s="15"/>
      <c r="D76" s="17"/>
      <c r="E76" s="17"/>
      <c r="F76" s="15"/>
      <c r="G76" s="15"/>
      <c r="H76" s="14"/>
      <c r="I76" s="15"/>
      <c r="J76" s="15"/>
      <c r="K76" s="16"/>
      <c r="L76" s="15"/>
      <c r="M76" s="15"/>
      <c r="N76" s="17"/>
      <c r="O76" s="18"/>
      <c r="P76" s="18"/>
      <c r="Q76" s="15"/>
      <c r="R76" s="16"/>
      <c r="S76" s="15"/>
      <c r="T76" s="15"/>
      <c r="U76" s="15"/>
      <c r="V76" s="15"/>
      <c r="W76" s="17"/>
    </row>
    <row r="77" spans="1:23" hidden="1">
      <c r="A77" s="15"/>
      <c r="B77" s="15"/>
      <c r="C77" s="17"/>
      <c r="D77" s="15"/>
      <c r="E77" s="17"/>
      <c r="F77" s="15"/>
      <c r="G77" s="15"/>
      <c r="H77" s="14"/>
      <c r="I77" s="15"/>
      <c r="J77" s="15"/>
      <c r="K77" s="16"/>
      <c r="L77" s="15"/>
      <c r="M77" s="15"/>
      <c r="N77" s="17"/>
      <c r="O77" s="18"/>
      <c r="P77" s="18"/>
      <c r="Q77" s="22"/>
      <c r="R77" s="22"/>
      <c r="S77" s="15"/>
      <c r="T77" s="15"/>
      <c r="W77" s="17"/>
    </row>
    <row r="78" spans="1:23" hidden="1">
      <c r="A78" s="15"/>
      <c r="B78" s="15"/>
      <c r="C78" s="17"/>
      <c r="D78" s="15"/>
      <c r="E78" s="15"/>
      <c r="F78" s="15"/>
      <c r="G78" s="15"/>
      <c r="H78" s="14"/>
      <c r="I78" s="15"/>
      <c r="J78" s="15"/>
      <c r="K78" s="16"/>
      <c r="L78" s="15"/>
      <c r="M78" s="15"/>
      <c r="N78" s="17"/>
      <c r="O78" s="18"/>
      <c r="P78" s="18"/>
      <c r="Q78" s="22"/>
      <c r="R78" s="22"/>
      <c r="S78" s="15"/>
      <c r="T78" s="15"/>
      <c r="W78" s="15"/>
    </row>
    <row r="79" spans="1:23" hidden="1">
      <c r="A79" s="15"/>
      <c r="B79" s="15"/>
      <c r="C79" s="17"/>
      <c r="D79" s="15"/>
      <c r="E79" s="17"/>
      <c r="F79" s="15"/>
      <c r="G79" s="15"/>
      <c r="H79" s="14"/>
      <c r="I79" s="15"/>
      <c r="J79" s="15"/>
      <c r="K79" s="16"/>
      <c r="L79" s="15"/>
      <c r="M79" s="15"/>
      <c r="N79" s="17"/>
      <c r="O79" s="18"/>
      <c r="P79" s="18"/>
      <c r="Q79" s="22"/>
      <c r="R79" s="22"/>
      <c r="S79" s="15"/>
      <c r="T79" s="15"/>
      <c r="W79" s="17"/>
    </row>
    <row r="80" spans="1:23" hidden="1">
      <c r="A80" s="15"/>
      <c r="B80" s="15"/>
      <c r="C80" s="17"/>
      <c r="D80" s="15"/>
      <c r="E80" s="15"/>
      <c r="F80" s="15"/>
      <c r="G80" s="15"/>
      <c r="H80" s="14"/>
      <c r="I80" s="15"/>
      <c r="J80" s="15"/>
      <c r="K80" s="16"/>
      <c r="L80" s="15"/>
      <c r="M80" s="15"/>
      <c r="N80" s="15"/>
      <c r="O80" s="21"/>
      <c r="P80" s="21"/>
      <c r="Q80" s="22"/>
      <c r="R80" s="22"/>
      <c r="S80" s="15"/>
      <c r="T80" s="15"/>
      <c r="W80" s="15"/>
    </row>
    <row r="81" spans="1:23" hidden="1">
      <c r="A81" s="15"/>
      <c r="B81" s="15"/>
      <c r="C81" s="17"/>
      <c r="D81" s="15"/>
      <c r="E81" s="17"/>
      <c r="F81" s="15"/>
      <c r="G81" s="15"/>
      <c r="H81" s="14"/>
      <c r="I81" s="15"/>
      <c r="J81" s="15"/>
      <c r="K81" s="16"/>
      <c r="L81" s="15"/>
      <c r="M81" s="15"/>
      <c r="N81" s="15"/>
      <c r="O81" s="21"/>
      <c r="P81" s="21"/>
      <c r="Q81" s="16"/>
      <c r="R81" s="16"/>
      <c r="S81" s="15"/>
      <c r="T81" s="20"/>
      <c r="W81" s="17"/>
    </row>
    <row r="82" spans="1:23" hidden="1">
      <c r="A82" s="15"/>
      <c r="B82" s="15"/>
      <c r="C82" s="17"/>
      <c r="D82" s="15"/>
      <c r="E82" s="17"/>
      <c r="F82" s="15"/>
      <c r="G82" s="15"/>
      <c r="H82" s="14"/>
      <c r="I82" s="15"/>
      <c r="J82" s="15"/>
      <c r="K82" s="16"/>
      <c r="L82" s="15"/>
      <c r="M82" s="15"/>
      <c r="N82" s="15"/>
      <c r="O82" s="21"/>
      <c r="P82" s="21"/>
      <c r="Q82" s="16"/>
      <c r="R82" s="16"/>
      <c r="S82" s="15"/>
      <c r="T82" s="20"/>
      <c r="W82" s="17"/>
    </row>
    <row r="83" spans="1:23" hidden="1">
      <c r="A83" s="15"/>
      <c r="B83" s="15"/>
      <c r="C83" s="17"/>
      <c r="D83" s="15"/>
      <c r="E83" s="17"/>
      <c r="F83" s="15"/>
      <c r="G83" s="15"/>
      <c r="H83" s="14"/>
      <c r="I83" s="15"/>
      <c r="J83" s="15"/>
      <c r="K83" s="16"/>
      <c r="L83" s="15"/>
      <c r="M83" s="15"/>
      <c r="N83" s="15"/>
      <c r="O83" s="21"/>
      <c r="P83" s="21"/>
      <c r="Q83" s="16"/>
      <c r="R83" s="16"/>
      <c r="S83" s="15"/>
      <c r="T83" s="20"/>
      <c r="W83" s="17"/>
    </row>
    <row r="84" spans="1:23" hidden="1">
      <c r="A84" s="17"/>
      <c r="B84" s="15"/>
      <c r="C84" s="17"/>
      <c r="D84" s="17"/>
      <c r="E84" s="17"/>
      <c r="F84" s="15"/>
      <c r="G84" s="15"/>
      <c r="H84" s="14"/>
      <c r="I84" s="15"/>
      <c r="J84" s="17"/>
      <c r="K84" s="16"/>
      <c r="L84" s="15"/>
      <c r="M84" s="17"/>
      <c r="N84" s="15"/>
      <c r="O84" s="21"/>
      <c r="P84" s="21"/>
      <c r="Q84" s="16"/>
      <c r="R84" s="16"/>
      <c r="S84" s="15"/>
      <c r="T84" s="15"/>
      <c r="W84" s="17"/>
    </row>
    <row r="85" spans="1:23" hidden="1">
      <c r="A85" s="15"/>
      <c r="B85" s="15"/>
      <c r="C85" s="17"/>
      <c r="D85" s="15"/>
      <c r="E85" s="17"/>
      <c r="F85" s="15"/>
      <c r="G85" s="15"/>
      <c r="H85" s="14"/>
      <c r="I85" s="15"/>
      <c r="J85" s="15"/>
      <c r="K85" s="16"/>
      <c r="L85" s="15"/>
      <c r="M85" s="15"/>
      <c r="N85" s="15"/>
      <c r="O85" s="21"/>
      <c r="P85" s="21"/>
      <c r="Q85" s="16"/>
      <c r="R85" s="16"/>
      <c r="S85" s="15"/>
      <c r="T85" s="20"/>
      <c r="W85" s="17"/>
    </row>
    <row r="86" spans="1:23" hidden="1">
      <c r="A86" s="15"/>
      <c r="B86" s="15"/>
      <c r="C86" s="17"/>
      <c r="D86" s="15"/>
      <c r="E86" s="17"/>
      <c r="F86" s="15"/>
      <c r="G86" s="15"/>
      <c r="H86" s="14"/>
      <c r="I86" s="15"/>
      <c r="J86" s="15"/>
      <c r="K86" s="16"/>
      <c r="L86" s="15"/>
      <c r="M86" s="15"/>
      <c r="N86" s="15"/>
      <c r="O86" s="21"/>
      <c r="P86" s="21"/>
      <c r="Q86" s="16"/>
      <c r="R86" s="16"/>
      <c r="S86" s="15"/>
      <c r="T86" s="20"/>
      <c r="W86" s="17"/>
    </row>
    <row r="87" spans="1:23" hidden="1">
      <c r="A87" s="15"/>
      <c r="B87" s="15"/>
      <c r="C87" s="15"/>
      <c r="D87" s="17"/>
      <c r="E87" s="17"/>
      <c r="F87" s="15"/>
      <c r="G87" s="15"/>
      <c r="H87" s="14"/>
      <c r="I87" s="15"/>
      <c r="J87" s="15"/>
      <c r="K87" s="16"/>
      <c r="L87" s="15"/>
      <c r="M87" s="15"/>
      <c r="N87" s="15"/>
      <c r="O87" s="21"/>
      <c r="P87" s="21"/>
      <c r="Q87" s="16"/>
      <c r="R87" s="16"/>
      <c r="S87" s="15"/>
      <c r="T87" s="20"/>
      <c r="W87" s="17"/>
    </row>
    <row r="88" spans="1:23" hidden="1">
      <c r="A88" s="15"/>
      <c r="B88" s="15"/>
      <c r="C88" s="17"/>
      <c r="D88" s="15"/>
      <c r="E88" s="17"/>
      <c r="F88" s="15"/>
      <c r="G88" s="15"/>
      <c r="H88" s="14"/>
      <c r="I88" s="15"/>
      <c r="J88" s="15"/>
      <c r="K88" s="16"/>
      <c r="L88" s="15"/>
      <c r="M88" s="15"/>
      <c r="N88" s="15"/>
      <c r="O88" s="18"/>
      <c r="P88" s="18"/>
      <c r="Q88" s="15"/>
      <c r="R88" s="16"/>
      <c r="S88" s="15"/>
      <c r="T88" s="15"/>
      <c r="W88" s="17"/>
    </row>
    <row r="89" spans="1:23" hidden="1">
      <c r="A89" s="15"/>
      <c r="B89" s="15"/>
      <c r="C89" s="17"/>
      <c r="D89" s="15"/>
      <c r="E89" s="17"/>
      <c r="F89" s="15"/>
      <c r="G89" s="15"/>
      <c r="H89" s="14"/>
      <c r="I89" s="15"/>
      <c r="J89" s="15"/>
      <c r="K89" s="16"/>
      <c r="L89" s="15"/>
      <c r="M89" s="15"/>
      <c r="N89" s="17"/>
      <c r="O89" s="18"/>
      <c r="P89" s="18"/>
      <c r="Q89" s="15"/>
      <c r="R89" s="16"/>
      <c r="S89" s="15"/>
      <c r="T89" s="13"/>
      <c r="W89" s="17"/>
    </row>
    <row r="90" spans="1:23" hidden="1">
      <c r="A90" s="15"/>
      <c r="B90" s="15"/>
      <c r="C90" s="17"/>
      <c r="D90" s="15"/>
      <c r="E90" s="17"/>
      <c r="F90" s="15"/>
      <c r="G90" s="15"/>
      <c r="H90" s="14"/>
      <c r="I90" s="15"/>
      <c r="J90" s="15"/>
      <c r="K90" s="16"/>
      <c r="L90" s="15"/>
      <c r="M90" s="15"/>
      <c r="N90" s="17"/>
      <c r="O90" s="18"/>
      <c r="P90" s="18"/>
      <c r="Q90" s="15"/>
      <c r="R90" s="16"/>
      <c r="S90" s="15"/>
      <c r="T90" s="15"/>
      <c r="W90" s="17"/>
    </row>
    <row r="91" spans="1:23" hidden="1">
      <c r="A91" s="15"/>
      <c r="B91" s="15"/>
      <c r="C91" s="15"/>
      <c r="D91" s="17"/>
      <c r="E91" s="17"/>
      <c r="F91" s="15"/>
      <c r="G91" s="15"/>
      <c r="H91" s="14"/>
      <c r="I91" s="15"/>
      <c r="J91" s="15"/>
      <c r="K91" s="16"/>
      <c r="L91" s="15"/>
      <c r="M91" s="15"/>
      <c r="N91" s="17"/>
      <c r="O91" s="18"/>
      <c r="P91" s="18"/>
      <c r="Q91" s="15"/>
      <c r="R91" s="15"/>
      <c r="S91" s="15"/>
      <c r="T91" s="15"/>
      <c r="W91" s="17"/>
    </row>
    <row r="92" spans="1:23" hidden="1">
      <c r="A92" s="15"/>
      <c r="B92" s="15"/>
      <c r="C92" s="17"/>
      <c r="D92" s="15"/>
      <c r="E92" s="17"/>
      <c r="F92" s="15"/>
      <c r="G92" s="15"/>
      <c r="H92" s="14"/>
      <c r="I92" s="15"/>
      <c r="J92" s="15"/>
      <c r="K92" s="16"/>
      <c r="L92" s="15"/>
      <c r="M92" s="15"/>
      <c r="N92" s="17"/>
      <c r="O92" s="18"/>
      <c r="P92" s="18"/>
      <c r="Q92" s="15"/>
      <c r="R92" s="15"/>
      <c r="S92" s="15"/>
      <c r="T92" s="13"/>
      <c r="W92" s="17"/>
    </row>
    <row r="93" spans="1:23" hidden="1">
      <c r="A93" s="15"/>
      <c r="B93" s="15"/>
      <c r="C93" s="15"/>
      <c r="D93" s="17"/>
      <c r="E93" s="17"/>
      <c r="F93" s="15"/>
      <c r="G93" s="15"/>
      <c r="H93" s="14"/>
      <c r="I93" s="15"/>
      <c r="J93" s="15"/>
      <c r="K93" s="16"/>
      <c r="L93" s="15"/>
      <c r="M93" s="15"/>
      <c r="N93" s="17"/>
      <c r="O93" s="18"/>
      <c r="P93" s="18"/>
      <c r="Q93" s="15"/>
      <c r="R93" s="15"/>
      <c r="S93" s="15"/>
      <c r="T93" s="15"/>
      <c r="W93" s="17"/>
    </row>
    <row r="94" spans="1:23" hidden="1">
      <c r="A94" s="15"/>
      <c r="B94" s="15"/>
      <c r="C94" s="17"/>
      <c r="D94" s="15"/>
      <c r="E94" s="17"/>
      <c r="F94" s="15"/>
      <c r="G94" s="15"/>
      <c r="H94" s="14"/>
      <c r="I94" s="15"/>
      <c r="J94" s="15"/>
      <c r="K94" s="16"/>
      <c r="L94" s="15"/>
      <c r="M94" s="15"/>
      <c r="N94" s="17"/>
      <c r="O94" s="18"/>
      <c r="P94" s="18"/>
      <c r="Q94" s="16"/>
      <c r="R94" s="16"/>
      <c r="S94" s="15"/>
      <c r="T94" s="15"/>
      <c r="W94" s="17"/>
    </row>
    <row r="95" spans="1:23" hidden="1">
      <c r="A95" s="15"/>
      <c r="B95" s="15"/>
      <c r="C95" s="17"/>
      <c r="D95" s="15"/>
      <c r="E95" s="17"/>
      <c r="F95" s="15"/>
      <c r="G95" s="15"/>
      <c r="H95" s="14"/>
      <c r="I95" s="15"/>
      <c r="J95" s="15"/>
      <c r="K95" s="16"/>
      <c r="L95" s="15"/>
      <c r="M95" s="15"/>
      <c r="N95" s="17"/>
      <c r="O95" s="18"/>
      <c r="P95" s="18"/>
      <c r="Q95" s="15"/>
      <c r="R95" s="16"/>
      <c r="S95" s="15"/>
      <c r="T95" s="15"/>
      <c r="W95" s="17"/>
    </row>
    <row r="96" spans="1:23" hidden="1">
      <c r="A96" s="15"/>
      <c r="B96" s="15"/>
      <c r="C96" s="15"/>
      <c r="D96" s="17"/>
      <c r="E96" s="17"/>
      <c r="F96" s="15"/>
      <c r="G96" s="15"/>
      <c r="H96" s="14"/>
      <c r="I96" s="15"/>
      <c r="J96" s="15"/>
      <c r="K96" s="16"/>
      <c r="L96" s="15"/>
      <c r="M96" s="15"/>
      <c r="N96" s="17"/>
      <c r="O96" s="18"/>
      <c r="P96" s="18"/>
      <c r="Q96" s="15"/>
      <c r="R96" s="15"/>
      <c r="S96" s="15"/>
      <c r="T96" s="13"/>
      <c r="W96" s="17"/>
    </row>
    <row r="97" spans="1:23" hidden="1">
      <c r="A97" s="15"/>
      <c r="B97" s="15"/>
      <c r="C97" s="17"/>
      <c r="D97" s="15"/>
      <c r="E97" s="17"/>
      <c r="F97" s="15"/>
      <c r="G97" s="15"/>
      <c r="H97" s="14"/>
      <c r="I97" s="15"/>
      <c r="J97" s="15"/>
      <c r="K97" s="16"/>
      <c r="L97" s="15"/>
      <c r="M97" s="15"/>
      <c r="N97" s="17"/>
      <c r="O97" s="18"/>
      <c r="P97" s="18"/>
      <c r="Q97" s="15"/>
      <c r="R97" s="16"/>
      <c r="S97" s="15"/>
      <c r="T97" s="15"/>
      <c r="W97" s="17"/>
    </row>
    <row r="98" spans="1:23" hidden="1">
      <c r="A98" s="15"/>
      <c r="B98" s="15"/>
      <c r="C98" s="17"/>
      <c r="D98" s="15"/>
      <c r="E98" s="17"/>
      <c r="F98" s="15"/>
      <c r="G98" s="15"/>
      <c r="H98" s="14"/>
      <c r="I98" s="15"/>
      <c r="J98" s="15"/>
      <c r="K98" s="16"/>
      <c r="L98" s="15"/>
      <c r="M98" s="15"/>
      <c r="N98" s="17"/>
      <c r="O98" s="18"/>
      <c r="P98" s="18"/>
      <c r="Q98" s="15"/>
      <c r="R98" s="15"/>
      <c r="S98" s="15"/>
      <c r="T98" s="15"/>
      <c r="W98" s="17"/>
    </row>
    <row r="99" spans="1:23" hidden="1">
      <c r="A99" s="15"/>
      <c r="B99" s="15"/>
      <c r="C99" s="17"/>
      <c r="D99" s="15"/>
      <c r="E99" s="17"/>
      <c r="F99" s="15"/>
      <c r="G99" s="15"/>
      <c r="H99" s="14"/>
      <c r="I99" s="15"/>
      <c r="J99" s="15"/>
      <c r="K99" s="16"/>
      <c r="L99" s="15"/>
      <c r="M99" s="15"/>
      <c r="N99" s="17"/>
      <c r="O99" s="18"/>
      <c r="P99" s="18"/>
      <c r="Q99" s="15"/>
      <c r="R99" s="15"/>
      <c r="S99" s="15"/>
      <c r="T99" s="15"/>
      <c r="W99" s="17"/>
    </row>
    <row r="100" spans="1:23" hidden="1">
      <c r="A100" s="15"/>
      <c r="B100" s="15"/>
      <c r="C100" s="17"/>
      <c r="D100" s="15"/>
      <c r="E100" s="17"/>
      <c r="F100" s="15"/>
      <c r="G100" s="15"/>
      <c r="H100" s="14"/>
      <c r="I100" s="15"/>
      <c r="J100" s="15"/>
      <c r="K100" s="16"/>
      <c r="L100" s="15"/>
      <c r="M100" s="15"/>
      <c r="N100" s="17"/>
      <c r="O100" s="18"/>
      <c r="P100" s="18"/>
      <c r="Q100" s="15"/>
      <c r="R100" s="16"/>
      <c r="S100" s="15"/>
      <c r="T100" s="15"/>
      <c r="W100" s="17"/>
    </row>
    <row r="101" spans="1:23" hidden="1">
      <c r="A101" s="15"/>
      <c r="B101" s="15"/>
      <c r="C101" s="17"/>
      <c r="D101" s="15"/>
      <c r="E101" s="17"/>
      <c r="F101" s="15"/>
      <c r="G101" s="15"/>
      <c r="H101" s="14"/>
      <c r="I101" s="15"/>
      <c r="J101" s="15"/>
      <c r="K101" s="16"/>
      <c r="L101" s="15"/>
      <c r="M101" s="15"/>
      <c r="N101" s="17"/>
      <c r="O101" s="18"/>
      <c r="P101" s="18"/>
      <c r="Q101" s="15"/>
      <c r="R101" s="16"/>
      <c r="S101" s="15"/>
      <c r="T101" s="15"/>
      <c r="W101" s="17"/>
    </row>
    <row r="102" spans="1:23" hidden="1">
      <c r="A102" s="15"/>
      <c r="B102" s="15"/>
      <c r="C102" s="15"/>
      <c r="D102" s="17"/>
      <c r="E102" s="17"/>
      <c r="F102" s="15"/>
      <c r="G102" s="15"/>
      <c r="H102" s="14"/>
      <c r="I102" s="15"/>
      <c r="J102" s="15"/>
      <c r="K102" s="16"/>
      <c r="L102" s="15"/>
      <c r="M102" s="15"/>
      <c r="N102" s="17"/>
      <c r="O102" s="18"/>
      <c r="P102" s="18"/>
      <c r="Q102" s="15"/>
      <c r="R102" s="15"/>
      <c r="S102" s="15"/>
      <c r="T102" s="15"/>
      <c r="W102" s="17"/>
    </row>
    <row r="103" spans="1:23" hidden="1">
      <c r="A103" s="15"/>
      <c r="B103" s="15"/>
      <c r="C103" s="17"/>
      <c r="D103" s="15"/>
      <c r="E103" s="17"/>
      <c r="F103" s="15"/>
      <c r="G103" s="15"/>
      <c r="H103" s="14"/>
      <c r="I103" s="15"/>
      <c r="J103" s="15"/>
      <c r="K103" s="16"/>
      <c r="L103" s="15"/>
      <c r="M103" s="15"/>
      <c r="N103" s="17"/>
      <c r="O103" s="18"/>
      <c r="P103" s="18"/>
      <c r="Q103" s="15"/>
      <c r="R103" s="16"/>
      <c r="S103" s="15"/>
      <c r="T103" s="15"/>
      <c r="W103" s="17"/>
    </row>
    <row r="104" spans="1:23" hidden="1">
      <c r="A104" s="15"/>
      <c r="B104" s="15"/>
      <c r="C104" s="15"/>
      <c r="D104" s="17"/>
      <c r="E104" s="15"/>
      <c r="F104" s="15"/>
      <c r="G104" s="15"/>
      <c r="H104" s="14"/>
      <c r="I104" s="15"/>
      <c r="J104" s="15"/>
      <c r="K104" s="16"/>
      <c r="L104" s="15"/>
      <c r="M104" s="15"/>
      <c r="N104" s="17"/>
      <c r="O104" s="18"/>
      <c r="P104" s="18"/>
      <c r="Q104" s="15"/>
      <c r="R104" s="15"/>
      <c r="S104" s="15"/>
      <c r="T104" s="15"/>
      <c r="W104" s="15"/>
    </row>
    <row r="105" spans="1:23" hidden="1">
      <c r="A105" s="15"/>
      <c r="B105" s="15"/>
      <c r="C105" s="17"/>
      <c r="D105" s="15"/>
      <c r="E105" s="17"/>
      <c r="F105" s="15"/>
      <c r="G105" s="15"/>
      <c r="H105" s="14"/>
      <c r="I105" s="15"/>
      <c r="J105" s="15"/>
      <c r="K105" s="16"/>
      <c r="L105" s="15"/>
      <c r="M105" s="15"/>
      <c r="N105" s="17"/>
      <c r="O105" s="18"/>
      <c r="P105" s="18"/>
      <c r="Q105" s="15"/>
      <c r="R105" s="15"/>
      <c r="S105" s="15"/>
      <c r="T105" s="15"/>
      <c r="W105" s="17"/>
    </row>
    <row r="106" spans="1:23" hidden="1">
      <c r="A106" s="15"/>
      <c r="B106" s="15"/>
      <c r="C106" s="17"/>
      <c r="D106" s="15"/>
      <c r="E106" s="17"/>
      <c r="F106" s="15"/>
      <c r="G106" s="15"/>
      <c r="H106" s="14"/>
      <c r="I106" s="15"/>
      <c r="J106" s="15"/>
      <c r="K106" s="16"/>
      <c r="L106" s="15"/>
      <c r="M106" s="15"/>
      <c r="N106" s="15"/>
      <c r="O106" s="21"/>
      <c r="P106" s="21"/>
      <c r="Q106" s="15"/>
      <c r="R106" s="15"/>
      <c r="S106" s="15"/>
      <c r="T106" s="15"/>
      <c r="W106" s="17"/>
    </row>
    <row r="107" spans="1:23" hidden="1">
      <c r="A107" s="15"/>
      <c r="B107" s="15"/>
      <c r="C107" s="17"/>
      <c r="D107" s="15"/>
      <c r="E107" s="17"/>
      <c r="F107" s="15"/>
      <c r="G107" s="15"/>
      <c r="H107" s="14"/>
      <c r="I107" s="15"/>
      <c r="J107" s="15"/>
      <c r="K107" s="16"/>
      <c r="L107" s="15"/>
      <c r="M107" s="15"/>
      <c r="N107" s="15"/>
      <c r="O107" s="21"/>
      <c r="P107" s="21"/>
      <c r="Q107" s="15"/>
      <c r="R107" s="15"/>
      <c r="S107" s="15"/>
      <c r="T107" s="15"/>
      <c r="W107" s="17"/>
    </row>
    <row r="108" spans="1:23" hidden="1">
      <c r="A108" s="15"/>
      <c r="B108" s="15"/>
      <c r="C108" s="15"/>
      <c r="D108" s="17"/>
      <c r="E108" s="17"/>
      <c r="F108" s="15"/>
      <c r="G108" s="15"/>
      <c r="H108" s="14"/>
      <c r="I108" s="15"/>
      <c r="J108" s="15"/>
      <c r="K108" s="16"/>
      <c r="L108" s="15"/>
      <c r="M108" s="19"/>
      <c r="N108" s="15"/>
      <c r="O108" s="21"/>
      <c r="P108" s="21"/>
      <c r="Q108" s="15"/>
      <c r="R108" s="15"/>
      <c r="S108" s="15"/>
      <c r="T108" s="15"/>
      <c r="W108" s="17"/>
    </row>
    <row r="109" spans="1:23">
      <c r="A109" s="15"/>
      <c r="B109" s="15"/>
      <c r="C109" s="17"/>
      <c r="D109" s="15"/>
      <c r="E109" s="17"/>
      <c r="F109" s="15"/>
      <c r="G109" s="15"/>
      <c r="H109" s="14"/>
      <c r="I109" s="15"/>
      <c r="J109" s="15"/>
      <c r="K109" s="16"/>
      <c r="L109" s="15"/>
      <c r="M109" s="15"/>
      <c r="N109" s="17"/>
      <c r="O109" s="18"/>
      <c r="P109" s="18"/>
      <c r="Q109" s="15"/>
      <c r="R109" s="16"/>
      <c r="S109" s="15"/>
      <c r="T109" s="15"/>
      <c r="W109" s="17"/>
    </row>
    <row r="110" spans="1:23">
      <c r="A110" s="15"/>
      <c r="B110" s="15"/>
      <c r="C110" s="17"/>
      <c r="D110" s="15"/>
      <c r="E110" s="17"/>
      <c r="F110" s="15"/>
      <c r="G110" s="15"/>
      <c r="H110" s="14"/>
      <c r="I110" s="15"/>
      <c r="J110" s="15"/>
      <c r="K110" s="16"/>
      <c r="L110" s="15"/>
      <c r="M110" s="15"/>
      <c r="N110" s="17"/>
      <c r="O110" s="18"/>
      <c r="P110" s="18"/>
      <c r="Q110" s="16"/>
      <c r="R110" s="16"/>
      <c r="S110" s="15"/>
      <c r="T110" s="15"/>
      <c r="W110" s="17"/>
    </row>
    <row r="111" spans="1:23">
      <c r="A111" s="15"/>
      <c r="B111" s="15"/>
      <c r="C111" s="17"/>
      <c r="D111" s="15"/>
      <c r="E111" s="17"/>
      <c r="F111" s="15"/>
      <c r="G111" s="15"/>
      <c r="H111" s="14"/>
      <c r="I111" s="15"/>
      <c r="J111" s="15"/>
      <c r="K111" s="16"/>
      <c r="L111" s="15"/>
      <c r="M111" s="15"/>
      <c r="N111" s="17"/>
      <c r="O111" s="18"/>
      <c r="P111" s="18"/>
      <c r="Q111" s="15"/>
      <c r="R111" s="16"/>
      <c r="S111" s="15"/>
      <c r="T111" s="15"/>
      <c r="W111" s="17"/>
    </row>
    <row r="112" spans="1:23">
      <c r="A112" s="15"/>
      <c r="B112" s="15"/>
      <c r="C112" s="17"/>
      <c r="D112" s="15"/>
      <c r="E112" s="17"/>
      <c r="F112" s="15"/>
      <c r="G112" s="15"/>
      <c r="H112" s="14"/>
      <c r="I112" s="15"/>
      <c r="J112" s="15"/>
      <c r="K112" s="16"/>
      <c r="L112" s="15"/>
      <c r="M112" s="15"/>
      <c r="N112" s="17"/>
      <c r="O112" s="18"/>
      <c r="P112" s="18"/>
      <c r="Q112" s="15"/>
      <c r="R112" s="15"/>
      <c r="S112" s="15"/>
      <c r="T112" s="15"/>
      <c r="W112" s="17"/>
    </row>
    <row r="113" spans="1:23">
      <c r="A113" s="17"/>
      <c r="B113" s="17"/>
      <c r="C113" s="17"/>
      <c r="D113" s="15"/>
      <c r="E113" s="15"/>
      <c r="F113" s="15"/>
      <c r="G113" s="15"/>
      <c r="H113" s="14"/>
      <c r="I113" s="17"/>
      <c r="J113" s="17"/>
      <c r="K113" s="16"/>
      <c r="L113" s="15"/>
      <c r="M113" s="15"/>
      <c r="N113" s="17"/>
      <c r="O113" s="18"/>
      <c r="P113" s="18"/>
      <c r="Q113" s="15"/>
      <c r="R113" s="16"/>
      <c r="S113" s="15"/>
      <c r="T113" s="13"/>
      <c r="W113" s="15"/>
    </row>
    <row r="114" spans="1:23">
      <c r="A114" s="15"/>
      <c r="B114" s="15"/>
      <c r="C114" s="17"/>
      <c r="D114" s="15"/>
      <c r="E114" s="17"/>
      <c r="F114" s="15"/>
      <c r="G114" s="15"/>
      <c r="H114" s="14"/>
      <c r="I114" s="15"/>
      <c r="J114" s="15"/>
      <c r="K114" s="16"/>
      <c r="L114" s="15"/>
      <c r="M114" s="15"/>
      <c r="N114" s="17"/>
      <c r="O114" s="18"/>
      <c r="P114" s="18"/>
      <c r="Q114" s="15"/>
      <c r="R114" s="16"/>
      <c r="S114" s="15"/>
      <c r="T114" s="15"/>
      <c r="W114" s="17"/>
    </row>
    <row r="115" spans="1:23">
      <c r="A115" s="15"/>
      <c r="B115" s="15"/>
      <c r="C115" s="17"/>
      <c r="D115" s="15"/>
      <c r="E115" s="17"/>
      <c r="F115" s="15"/>
      <c r="G115" s="15"/>
      <c r="H115" s="14"/>
      <c r="I115" s="15"/>
      <c r="J115" s="15"/>
      <c r="K115" s="16"/>
      <c r="L115" s="15"/>
      <c r="M115" s="15"/>
      <c r="N115" s="17"/>
      <c r="O115" s="18"/>
      <c r="P115" s="18"/>
      <c r="Q115" s="15"/>
      <c r="R115" s="16"/>
      <c r="S115" s="15"/>
      <c r="T115" s="15"/>
      <c r="W115" s="17"/>
    </row>
    <row r="116" spans="1:23">
      <c r="A116" s="15"/>
      <c r="B116" s="15"/>
      <c r="C116" s="17"/>
      <c r="D116" s="15"/>
      <c r="E116" s="17"/>
      <c r="F116" s="15"/>
      <c r="G116" s="15"/>
      <c r="H116" s="14"/>
      <c r="I116" s="15"/>
      <c r="J116" s="15"/>
      <c r="K116" s="16"/>
      <c r="L116" s="15"/>
      <c r="M116" s="15"/>
      <c r="N116" s="17"/>
      <c r="O116" s="18"/>
      <c r="P116" s="18"/>
      <c r="Q116" s="16"/>
      <c r="R116" s="16"/>
      <c r="S116" s="15"/>
      <c r="T116" s="15"/>
      <c r="W116" s="17"/>
    </row>
    <row r="117" spans="1:23">
      <c r="A117" s="15"/>
      <c r="B117" s="15"/>
      <c r="C117" s="17"/>
      <c r="D117" s="15"/>
      <c r="E117" s="17"/>
      <c r="F117" s="15"/>
      <c r="G117" s="15"/>
      <c r="H117" s="14"/>
      <c r="I117" s="15"/>
      <c r="J117" s="15"/>
      <c r="K117" s="16"/>
      <c r="L117" s="15"/>
      <c r="M117" s="15"/>
      <c r="N117" s="17"/>
      <c r="O117" s="18"/>
      <c r="P117" s="18"/>
      <c r="Q117" s="15"/>
      <c r="R117" s="16"/>
      <c r="S117" s="15"/>
      <c r="T117" s="15"/>
      <c r="W117" s="17"/>
    </row>
    <row r="118" spans="1:23">
      <c r="A118" s="17"/>
      <c r="B118" s="17"/>
      <c r="C118" s="15"/>
      <c r="D118" s="17"/>
      <c r="E118" s="17"/>
      <c r="F118" s="15"/>
      <c r="G118" s="15"/>
      <c r="H118" s="14"/>
      <c r="I118" s="15"/>
      <c r="J118" s="17"/>
      <c r="K118" s="16"/>
      <c r="L118" s="15"/>
      <c r="M118" s="15"/>
      <c r="N118" s="17"/>
      <c r="O118" s="18"/>
      <c r="P118" s="18"/>
      <c r="Q118" s="15"/>
      <c r="R118" s="15"/>
      <c r="S118" s="15"/>
      <c r="T118" s="15"/>
      <c r="W118" s="17"/>
    </row>
    <row r="119" spans="1:23">
      <c r="A119" s="15"/>
      <c r="B119" s="15"/>
      <c r="C119" s="17"/>
      <c r="D119" s="15"/>
      <c r="E119" s="17"/>
      <c r="F119" s="15"/>
      <c r="G119" s="15"/>
      <c r="H119" s="14"/>
      <c r="I119" s="15"/>
      <c r="J119" s="15"/>
      <c r="K119" s="16"/>
      <c r="L119" s="15"/>
      <c r="M119" s="15"/>
      <c r="N119" s="17"/>
      <c r="O119" s="18"/>
      <c r="P119" s="18"/>
      <c r="Q119" s="16"/>
      <c r="R119" s="16"/>
      <c r="S119" s="15"/>
      <c r="T119" s="15"/>
      <c r="W119" s="17"/>
    </row>
    <row r="120" spans="1:23">
      <c r="A120" s="15"/>
      <c r="B120" s="15"/>
      <c r="C120" s="17"/>
      <c r="D120" s="15"/>
      <c r="E120" s="17"/>
      <c r="F120" s="15"/>
      <c r="G120" s="15"/>
      <c r="H120" s="14"/>
      <c r="I120" s="15"/>
      <c r="J120" s="15"/>
      <c r="K120" s="16"/>
      <c r="L120" s="15"/>
      <c r="M120" s="15"/>
      <c r="N120" s="17"/>
      <c r="O120" s="18"/>
      <c r="P120" s="18"/>
      <c r="Q120" s="15"/>
      <c r="R120" s="16"/>
      <c r="S120" s="15"/>
      <c r="T120" s="15"/>
      <c r="W120" s="17"/>
    </row>
    <row r="121" spans="1:23">
      <c r="A121" s="15"/>
      <c r="B121" s="15"/>
      <c r="C121" s="17"/>
      <c r="D121" s="15"/>
      <c r="E121" s="17"/>
      <c r="F121" s="15"/>
      <c r="G121" s="15"/>
      <c r="H121" s="14"/>
      <c r="I121" s="15"/>
      <c r="J121" s="15"/>
      <c r="K121" s="16"/>
      <c r="L121" s="15"/>
      <c r="M121" s="15"/>
      <c r="N121" s="17"/>
      <c r="O121" s="18"/>
      <c r="P121" s="18"/>
      <c r="Q121" s="15"/>
      <c r="R121" s="16"/>
      <c r="S121" s="15"/>
      <c r="T121" s="15"/>
      <c r="W121" s="17"/>
    </row>
    <row r="122" spans="1:23">
      <c r="A122" s="15"/>
      <c r="B122" s="15"/>
      <c r="C122" s="15"/>
      <c r="D122" s="17"/>
      <c r="E122" s="17"/>
      <c r="F122" s="15"/>
      <c r="G122" s="15"/>
      <c r="H122" s="14"/>
      <c r="I122" s="15"/>
      <c r="J122" s="15"/>
      <c r="K122" s="16"/>
      <c r="L122" s="15"/>
      <c r="M122" s="15"/>
      <c r="N122" s="17"/>
      <c r="O122" s="18"/>
      <c r="P122" s="18"/>
      <c r="Q122" s="15"/>
      <c r="R122" s="15"/>
      <c r="S122" s="15"/>
      <c r="T122" s="15"/>
      <c r="W122" s="17"/>
    </row>
    <row r="123" spans="1:23">
      <c r="A123" s="15"/>
      <c r="B123" s="15"/>
      <c r="C123" s="15"/>
      <c r="D123" s="17"/>
      <c r="E123" s="17"/>
      <c r="F123" s="15"/>
      <c r="G123" s="15"/>
      <c r="H123" s="14"/>
      <c r="I123" s="15"/>
      <c r="J123" s="15"/>
      <c r="K123" s="16"/>
      <c r="L123" s="15"/>
      <c r="M123" s="15"/>
      <c r="N123" s="17"/>
      <c r="O123" s="18"/>
      <c r="P123" s="18"/>
      <c r="Q123" s="15"/>
      <c r="R123" s="15"/>
      <c r="S123" s="15"/>
      <c r="T123" s="15"/>
      <c r="W123" s="17"/>
    </row>
    <row r="124" spans="1:23">
      <c r="A124" s="15"/>
      <c r="B124" s="15"/>
      <c r="C124" s="15"/>
      <c r="D124" s="17"/>
      <c r="E124" s="17"/>
      <c r="F124" s="15"/>
      <c r="G124" s="15"/>
      <c r="H124" s="14"/>
      <c r="I124" s="15"/>
      <c r="J124" s="15"/>
      <c r="K124" s="16"/>
      <c r="L124" s="15"/>
      <c r="M124" s="15"/>
      <c r="N124" s="17"/>
      <c r="O124" s="18"/>
      <c r="P124" s="18"/>
      <c r="Q124" s="15"/>
      <c r="R124" s="15"/>
      <c r="S124" s="15"/>
      <c r="T124" s="15"/>
      <c r="W124" s="17"/>
    </row>
    <row r="125" spans="1:23">
      <c r="A125" s="15"/>
      <c r="B125" s="15"/>
      <c r="C125" s="17"/>
      <c r="D125" s="15"/>
      <c r="E125" s="17"/>
      <c r="F125" s="15"/>
      <c r="G125" s="15"/>
      <c r="H125" s="14"/>
      <c r="I125" s="15"/>
      <c r="J125" s="15"/>
      <c r="K125" s="16"/>
      <c r="L125" s="15"/>
      <c r="M125" s="15"/>
      <c r="N125" s="17"/>
      <c r="O125" s="18"/>
      <c r="P125" s="18"/>
      <c r="Q125" s="15"/>
      <c r="R125" s="16"/>
      <c r="S125" s="15"/>
      <c r="T125" s="15"/>
      <c r="W125" s="17"/>
    </row>
    <row r="126" spans="1:23">
      <c r="A126" s="15"/>
      <c r="B126" s="15"/>
      <c r="C126" s="17"/>
      <c r="D126" s="15"/>
      <c r="E126" s="17"/>
      <c r="F126" s="15"/>
      <c r="G126" s="15"/>
      <c r="H126" s="14"/>
      <c r="I126" s="15"/>
      <c r="J126" s="17"/>
      <c r="K126" s="16"/>
      <c r="L126" s="15"/>
      <c r="M126" s="15"/>
      <c r="N126" s="17"/>
      <c r="O126" s="18"/>
      <c r="P126" s="18"/>
      <c r="Q126" s="15"/>
      <c r="R126" s="16"/>
      <c r="S126" s="15"/>
      <c r="T126" s="15"/>
      <c r="W126" s="17"/>
    </row>
    <row r="127" spans="1:23">
      <c r="A127" s="15"/>
      <c r="B127" s="15"/>
      <c r="C127" s="17"/>
      <c r="D127" s="15"/>
      <c r="E127" s="17"/>
      <c r="F127" s="15"/>
      <c r="G127" s="15"/>
      <c r="H127" s="14"/>
      <c r="I127" s="15"/>
      <c r="J127" s="15"/>
      <c r="K127" s="16"/>
      <c r="L127" s="15"/>
      <c r="M127" s="15"/>
      <c r="N127" s="17"/>
      <c r="O127" s="18"/>
      <c r="P127" s="18"/>
      <c r="Q127" s="16"/>
      <c r="R127" s="16"/>
      <c r="S127" s="15"/>
      <c r="T127" s="13"/>
      <c r="W127" s="17"/>
    </row>
    <row r="128" spans="1:23">
      <c r="A128" s="15"/>
      <c r="B128" s="15"/>
      <c r="C128" s="17"/>
      <c r="D128" s="15"/>
      <c r="E128" s="17"/>
      <c r="F128" s="15"/>
      <c r="G128" s="15"/>
      <c r="H128" s="14"/>
      <c r="I128" s="15"/>
      <c r="J128" s="15"/>
      <c r="K128" s="16"/>
      <c r="L128" s="15"/>
      <c r="M128" s="15"/>
      <c r="N128" s="15"/>
      <c r="O128" s="18"/>
      <c r="P128" s="18"/>
      <c r="Q128" s="15"/>
      <c r="R128" s="15"/>
      <c r="S128" s="15"/>
      <c r="T128" s="15"/>
      <c r="W128" s="17"/>
    </row>
  </sheetData>
  <autoFilter ref="A1:T108" xr:uid="{7ADD7736-230D-422E-A853-9C9D2D67F1A3}">
    <filterColumn colId="6">
      <filters>
        <filter val="INIBIR RENOVAÇÃO"/>
      </filters>
    </filterColumn>
  </autoFilter>
  <dataValidations count="3">
    <dataValidation type="list" allowBlank="1" showInputMessage="1" showErrorMessage="1" sqref="V56 V58:V61" xr:uid="{40E04D1C-A3A9-4E1E-853B-311EF90C0C69}">
      <formula1>$AC$1:$AC$6</formula1>
    </dataValidation>
    <dataValidation type="list" allowBlank="1" showInputMessage="1" showErrorMessage="1" sqref="V62:V76 V57" xr:uid="{74B4672B-20B4-4C89-990E-5363D450658F}">
      <formula1>$AC$2:$AC$4</formula1>
    </dataValidation>
    <dataValidation type="list" allowBlank="1" showInputMessage="1" showErrorMessage="1" sqref="U56:U76" xr:uid="{8AD96E33-ECE1-4500-B833-833A49751FB1}">
      <formula1>$AA$2:$AA$2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T129:T3182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229</v>
      </c>
      <c r="L1" s="1" t="s">
        <v>18</v>
      </c>
    </row>
    <row r="2" spans="1:12">
      <c r="A2" s="2" t="s">
        <v>27</v>
      </c>
      <c r="G2" s="4" t="s">
        <v>42</v>
      </c>
      <c r="J2" s="7" t="s">
        <v>29</v>
      </c>
      <c r="L2" s="5" t="s">
        <v>230</v>
      </c>
    </row>
    <row r="3" spans="1:12">
      <c r="A3" s="5" t="s">
        <v>58</v>
      </c>
      <c r="G3" t="s">
        <v>26</v>
      </c>
      <c r="J3" s="7" t="s">
        <v>77</v>
      </c>
      <c r="L3" s="5" t="s">
        <v>231</v>
      </c>
    </row>
    <row r="4" spans="1:12">
      <c r="A4" s="5" t="s">
        <v>46</v>
      </c>
      <c r="G4" t="s">
        <v>183</v>
      </c>
      <c r="J4" s="7" t="s">
        <v>128</v>
      </c>
      <c r="L4" s="5" t="s">
        <v>232</v>
      </c>
    </row>
    <row r="5" spans="1:12">
      <c r="J5" s="7" t="s">
        <v>233</v>
      </c>
      <c r="L5" s="5" t="s">
        <v>234</v>
      </c>
    </row>
    <row r="6" spans="1:12">
      <c r="J6" s="7" t="s">
        <v>235</v>
      </c>
      <c r="L6" s="5" t="s">
        <v>30</v>
      </c>
    </row>
    <row r="7" spans="1:12">
      <c r="J7" s="7" t="s">
        <v>38</v>
      </c>
      <c r="L7" s="5" t="s">
        <v>236</v>
      </c>
    </row>
    <row r="8" spans="1:12">
      <c r="J8" s="7" t="s">
        <v>237</v>
      </c>
      <c r="L8" s="5" t="s">
        <v>238</v>
      </c>
    </row>
    <row r="9" spans="1:12">
      <c r="L9" s="5" t="s">
        <v>239</v>
      </c>
    </row>
    <row r="10" spans="1:12">
      <c r="J10" s="7"/>
      <c r="L10" s="5" t="s">
        <v>240</v>
      </c>
    </row>
    <row r="11" spans="1:12">
      <c r="L11" s="5" t="s">
        <v>241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41fed91b93125e9eb81167fcc17a074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37f844e38ab5d6be06af21bb96d53e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QAFFA7D2F2TC-2102087286-525791</_dlc_DocId>
    <_dlc_DocIdUrl xmlns="01f4fd7c-51c3-4ad2-ae58-e5034556b4ea">
      <Url>https://allianzms.sharepoint.com/teams/BR0010-4356589/_layouts/15/DocIdRedir.aspx?ID=QAFFA7D2F2TC-2102087286-525791</Url>
      <Description>QAFFA7D2F2TC-2102087286-525791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D73BB0C-6C32-41B1-9ADB-9232FD8515D9}"/>
</file>

<file path=customXml/itemProps2.xml><?xml version="1.0" encoding="utf-8"?>
<ds:datastoreItem xmlns:ds="http://schemas.openxmlformats.org/officeDocument/2006/customXml" ds:itemID="{F163AC8E-01DF-4A03-A941-29586110A078}"/>
</file>

<file path=customXml/itemProps3.xml><?xml version="1.0" encoding="utf-8"?>
<ds:datastoreItem xmlns:ds="http://schemas.openxmlformats.org/officeDocument/2006/customXml" ds:itemID="{5E76FBE8-ED75-4624-A5EA-2849480F2BE4}"/>
</file>

<file path=customXml/itemProps4.xml><?xml version="1.0" encoding="utf-8"?>
<ds:datastoreItem xmlns:ds="http://schemas.openxmlformats.org/officeDocument/2006/customXml" ds:itemID="{FD24CF91-68D9-49D7-974B-9C46B381C8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ALLIANZ_06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2025-11-07T15:21:49Z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f55260ec-0abc-4f86-9ea8-5044b78f96f7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2025-11-07T11:41:42Z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72b60391-70c1-4491-a59a-fa2e5ee3e748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544958983</vt:i4>
  </property>
  <property fmtid="{D5CDD505-2E9C-101B-9397-08002B2CF9AE}" pid="27" name="_NewReviewCycle">
    <vt:lpwstr/>
  </property>
  <property fmtid="{D5CDD505-2E9C-101B-9397-08002B2CF9AE}" pid="28" name="_EmailSubject">
    <vt:lpwstr>INDEXAÇÕES NUP 06/11/2025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