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CB36C349-A617-485E-82C4-D97627631098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5" i="1"/>
  <c r="S4" i="1"/>
  <c r="S3" i="1"/>
</calcChain>
</file>

<file path=xl/sharedStrings.xml><?xml version="1.0" encoding="utf-8"?>
<sst xmlns="http://schemas.openxmlformats.org/spreadsheetml/2006/main" count="770" uniqueCount="245">
  <si>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</si>
  <si>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</si>
  <si>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</si>
  <si>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</si>
  <si>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</si>
  <si>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</si>
  <si>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</si>
  <si>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</si>
  <si>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</si>
  <si>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</si>
  <si>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</si>
  <si>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</si>
  <si>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</si>
  <si>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</si>
  <si>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</si>
  <si>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</si>
  <si>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</si>
  <si>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</si>
  <si>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</si>
  <si>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</si>
  <si>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</si>
  <si>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</si>
  <si>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</si>
  <si>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LENI APARECIDA LINHARI</t>
  </si>
  <si>
    <t>*003926892002</t>
  </si>
  <si>
    <t>FWD0J58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</si>
  <si>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</si>
  <si>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</si>
  <si>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</si>
  <si>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</si>
  <si>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</si>
  <si>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</si>
  <si>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 xml:space="preserve">Apolice Cancelada. </t>
  </si>
  <si>
    <t>JULIANA DIAS AGUIAR DE SA</t>
  </si>
  <si>
    <t>SBF4A56</t>
  </si>
  <si>
    <t>IVONE DOS SANTOS GARCIA</t>
  </si>
  <si>
    <t>JAS4167</t>
  </si>
  <si>
    <t>FRANCISCO DE ASSIS DOS SANTOS</t>
  </si>
  <si>
    <t>FWT9170</t>
  </si>
  <si>
    <t>EFETIVOU UMA NOVA PROPOSTA COM A MESMA CIA</t>
  </si>
  <si>
    <t> 04/10/1947</t>
  </si>
  <si>
    <t xml:space="preserve">Apolice Já se Encontra Cancelada. </t>
  </si>
  <si>
    <t>LEONARDO UBIRATA MENDES DA SILVA</t>
  </si>
  <si>
    <t>CUG5E40</t>
  </si>
  <si>
    <t>JOSELIA DE CASTRO JULIO</t>
  </si>
  <si>
    <t>TXR2C92</t>
  </si>
  <si>
    <t>BLOQUEADO</t>
  </si>
  <si>
    <t>MARIA RITA LEITE FERREIRA</t>
  </si>
  <si>
    <t>136564443 </t>
  </si>
  <si>
    <t>ohm0a92</t>
  </si>
  <si>
    <t>CANCELAR PROPOSTA</t>
  </si>
  <si>
    <t>03/04/1957 </t>
  </si>
  <si>
    <t xml:space="preserve"> -</t>
  </si>
  <si>
    <t xml:space="preserve">Proposta ja se encontra cancelada. </t>
  </si>
  <si>
    <t>ADRIANA GONZALEZ PINHEIRO MACHADO DOURAD</t>
  </si>
  <si>
    <t>riw4d70</t>
  </si>
  <si>
    <t>Proposta cancelada</t>
  </si>
  <si>
    <t>HERNANDES PEDRO ALVES BESERRA</t>
  </si>
  <si>
    <t>Udb0f99</t>
  </si>
  <si>
    <t>POLIANA ZECA GIRIOLI CARNIEL</t>
  </si>
  <si>
    <t>ghy2a28</t>
  </si>
  <si>
    <t>INIBIR RENOVAÇÃO</t>
  </si>
  <si>
    <t>Renovação Inibida. Proposta Ativa digitada pelo Autocompara</t>
  </si>
  <si>
    <t>RITA DE CASSIA EULALIO ARAUJO</t>
  </si>
  <si>
    <t>sbj7i77</t>
  </si>
  <si>
    <t>09/12/1980 </t>
  </si>
  <si>
    <t>JOSE LUIS BOLOGNINI</t>
  </si>
  <si>
    <t>ghs4129</t>
  </si>
  <si>
    <t xml:space="preserve">Renovação Inibida. </t>
  </si>
  <si>
    <t>AUGUSTO GONCALVES DE SOUZA</t>
  </si>
  <si>
    <t>REK6B42</t>
  </si>
  <si>
    <t>RENATO LUIZ LEPSCH</t>
  </si>
  <si>
    <t>lug9d86</t>
  </si>
  <si>
    <t> 30/12/1969 </t>
  </si>
  <si>
    <t>13407394000149</t>
  </si>
  <si>
    <t>JOSE JOAN FERREIRA DA SILVA PISCINAS</t>
  </si>
  <si>
    <t>SVM2H50</t>
  </si>
  <si>
    <t>EDUARDO DE ASSIS OLIVEIRA</t>
  </si>
  <si>
    <t>SFQ8F82</t>
  </si>
  <si>
    <t>SEBASTIAO FILHO SANTANA</t>
  </si>
  <si>
    <t>TFV4E19</t>
  </si>
  <si>
    <t>DOMINGOS FERREIRA DE LIMA</t>
  </si>
  <si>
    <t>FXE4749</t>
  </si>
  <si>
    <t>ANA LUCIA GALVAO</t>
  </si>
  <si>
    <t>LNH7D97</t>
  </si>
  <si>
    <t>ALISSON SILVA CIRINO</t>
  </si>
  <si>
    <t>OZC3685</t>
  </si>
  <si>
    <t>ANGELO SANTOS DO CARMO</t>
  </si>
  <si>
    <t>TDS6I55</t>
  </si>
  <si>
    <t>ALVARO APARECIDO RIBEIRO</t>
  </si>
  <si>
    <t>FIW3E53</t>
  </si>
  <si>
    <t>CLAUDIO PRADO CESAR</t>
  </si>
  <si>
    <t>GHM6E76</t>
  </si>
  <si>
    <t>JOAO RICARDO BENEDITO DOS SANTOS</t>
  </si>
  <si>
    <t>QOL7143</t>
  </si>
  <si>
    <t>JOSUE PIRES DE LIMA</t>
  </si>
  <si>
    <t>FOR2430</t>
  </si>
  <si>
    <t>0006</t>
  </si>
  <si>
    <t>MARIA DA GLORIA LARA GODOY</t>
  </si>
  <si>
    <t>KKJ4486</t>
  </si>
  <si>
    <t>DEBITADO</t>
  </si>
  <si>
    <t>GUILHERME GONCALVES FERREIRA</t>
  </si>
  <si>
    <t>GAR1B32</t>
  </si>
  <si>
    <t>DORIEL DA SILVA FERREIRA</t>
  </si>
  <si>
    <t>136719088 </t>
  </si>
  <si>
    <t>003450241773</t>
  </si>
  <si>
    <t>SSD7D77</t>
  </si>
  <si>
    <t>DORIEL DA SILVA FERREIRA BAR LTDA</t>
  </si>
  <si>
    <t>36097426000152</t>
  </si>
  <si>
    <t>NAIR COLHADO GIMENES LARA</t>
  </si>
  <si>
    <t>DZR1144</t>
  </si>
  <si>
    <t>0346</t>
  </si>
  <si>
    <t>NÃO DEBITADO</t>
  </si>
  <si>
    <t>09061778719</t>
  </si>
  <si>
    <t>RENATA DA SILVA LUCIO</t>
  </si>
  <si>
    <t>SRW9G40</t>
  </si>
  <si>
    <t>CAROLINE LISANDRA GARCIA</t>
  </si>
  <si>
    <t>QAQ7F46</t>
  </si>
  <si>
    <t>GUSTAVO DE POLI TORRES</t>
  </si>
  <si>
    <t>03511228778</t>
  </si>
  <si>
    <t>ALDEMIR MARINS DE OLIVEIRA</t>
  </si>
  <si>
    <t>QXC1F38</t>
  </si>
  <si>
    <t>WILLIAN SILVA VAZ</t>
  </si>
  <si>
    <t>003450000829</t>
  </si>
  <si>
    <t>GAC9D68</t>
  </si>
  <si>
    <t>CESAR DAVID ESPADIN DO NASCIMENTO</t>
  </si>
  <si>
    <t>IYJ1442</t>
  </si>
  <si>
    <t>Renovação Inibida. Proposta emitida pelo Autocompara</t>
  </si>
  <si>
    <t>07751624779</t>
  </si>
  <si>
    <t>HIGOR AUGUSTO PEREIRA</t>
  </si>
  <si>
    <t>SRP9G51</t>
  </si>
  <si>
    <t>JOSE ROBERTO CARDOSO</t>
  </si>
  <si>
    <t>QST4F05</t>
  </si>
  <si>
    <t>0119</t>
  </si>
  <si>
    <t>FRUTUOSO LUIZ DE SANTANA</t>
  </si>
  <si>
    <t>FWZ9A13</t>
  </si>
  <si>
    <t>ROGERIO KAZUO TAMASHIRO</t>
  </si>
  <si>
    <t>-</t>
  </si>
  <si>
    <t>GCN7396</t>
  </si>
  <si>
    <t>LUCAS FERNANDO ALVES VEIGA</t>
  </si>
  <si>
    <t>SYK1I99</t>
  </si>
  <si>
    <t>IVAN LAFFARGUE ALARCON</t>
  </si>
  <si>
    <t>RKP8G89</t>
  </si>
  <si>
    <t>07960554757</t>
  </si>
  <si>
    <t>MARCO NASCIMENTO VITAL</t>
  </si>
  <si>
    <t>RVY5C48</t>
  </si>
  <si>
    <t>07879550860</t>
  </si>
  <si>
    <t>MARCIO DE CAMARGO BALDUINO</t>
  </si>
  <si>
    <t>003450240520</t>
  </si>
  <si>
    <t>THG7J77</t>
  </si>
  <si>
    <t>GLEYSTON DE LIMA PEREIRA</t>
  </si>
  <si>
    <t>PEF1472</t>
  </si>
  <si>
    <t>JANUNCIO OLIVEIRA FILHO</t>
  </si>
  <si>
    <t>SKW9J63</t>
  </si>
  <si>
    <t> 28/01/1955</t>
  </si>
  <si>
    <t>ADEMIR GARCIA DA COSTA</t>
  </si>
  <si>
    <t>TIS2H97</t>
  </si>
  <si>
    <t>0182</t>
  </si>
  <si>
    <t>MARIA DE OLIVEIRA LEITE</t>
  </si>
  <si>
    <t>SGY3E20</t>
  </si>
  <si>
    <t>CICERO DINIZ FLORENTINO</t>
  </si>
  <si>
    <t>205.966.184-68</t>
  </si>
  <si>
    <t>FREDERICO GANDINI</t>
  </si>
  <si>
    <t>COQ4664</t>
  </si>
  <si>
    <t> 19/12/1968</t>
  </si>
  <si>
    <t>DANIELA CRISTINA DEL PASSO</t>
  </si>
  <si>
    <t>CJR2978</t>
  </si>
  <si>
    <t> 13/02/1991</t>
  </si>
  <si>
    <t>29952325819</t>
  </si>
  <si>
    <t>MARCOS FERREIRA NUNES</t>
  </si>
  <si>
    <t>GCG4D49</t>
  </si>
  <si>
    <t>SOLICITAÇÃO DO SEGURADO</t>
  </si>
  <si>
    <t>0963</t>
  </si>
  <si>
    <t>01011009-8</t>
  </si>
  <si>
    <t xml:space="preserve"> 27/02/2026</t>
  </si>
  <si>
    <t>E-MAIL</t>
  </si>
  <si>
    <t>NÃO POSSUI INTERESSE</t>
  </si>
  <si>
    <t>36883564896</t>
  </si>
  <si>
    <t>CARLA PRISCILA DE SOUZA</t>
  </si>
  <si>
    <t>FZO7I96</t>
  </si>
  <si>
    <t>0317</t>
  </si>
  <si>
    <t>01014146-0</t>
  </si>
  <si>
    <t>WAC</t>
  </si>
  <si>
    <t>38533733801</t>
  </si>
  <si>
    <t>ROSANGELA CRISTINA DA SILVA</t>
  </si>
  <si>
    <t>ELE5379</t>
  </si>
  <si>
    <t>0004</t>
  </si>
  <si>
    <t>02006315-7</t>
  </si>
  <si>
    <t>ROSENILCE PONTES DE ARAUJO</t>
  </si>
  <si>
    <t>ALZ9998</t>
  </si>
  <si>
    <t>000010006500</t>
  </si>
  <si>
    <t>289,59</t>
  </si>
  <si>
    <t>2.896,08</t>
  </si>
  <si>
    <t>LEIGIVANIO JOSE DA SILVA</t>
  </si>
  <si>
    <t>PDD4H57</t>
  </si>
  <si>
    <t>000010973453</t>
  </si>
  <si>
    <t>41,30</t>
  </si>
  <si>
    <t>413,13</t>
  </si>
  <si>
    <t>REGINA HELENA ALVES DE CASTRO</t>
  </si>
  <si>
    <t>RIA1J53</t>
  </si>
  <si>
    <t>000010189544</t>
  </si>
  <si>
    <t>237,52</t>
  </si>
  <si>
    <t>2.375,35</t>
  </si>
  <si>
    <t>CLEMILDA FONSECA DA SILVA</t>
  </si>
  <si>
    <t>5177202651310280000</t>
  </si>
  <si>
    <t>PLD5460</t>
  </si>
  <si>
    <t>01027344-5</t>
  </si>
  <si>
    <t>Apolice não localizada</t>
  </si>
  <si>
    <t>DEOLINDO DE BRITO</t>
  </si>
  <si>
    <t>5177202551312210000</t>
  </si>
  <si>
    <t>FSY9821</t>
  </si>
  <si>
    <t xml:space="preserve"> 01036606-5</t>
  </si>
  <si>
    <t>VENDEU O VEÍCULO</t>
  </si>
  <si>
    <t>ANDERSON LEVI MARIA TORRES</t>
  </si>
  <si>
    <t>136595596 </t>
  </si>
  <si>
    <t>SWF4B88</t>
  </si>
  <si>
    <t>13005172-3</t>
  </si>
  <si>
    <t>LUCAS FELIPE DA SILVA MINUTTI</t>
  </si>
  <si>
    <t>5177202551310600000</t>
  </si>
  <si>
    <t>01021400-2</t>
  </si>
  <si>
    <t>VALDOMIRO MARTINS FILHO</t>
  </si>
  <si>
    <t>5177202551311140000</t>
  </si>
  <si>
    <t>EDZ4645</t>
  </si>
  <si>
    <t xml:space="preserve"> 92010255-2</t>
  </si>
  <si>
    <t>JEISA ARANTES DA COSTA</t>
  </si>
  <si>
    <t>5177202551312790000</t>
  </si>
  <si>
    <t>09/004/1993</t>
  </si>
  <si>
    <t>02036293-9</t>
  </si>
  <si>
    <t>TAIRONE MESSIAS ROSA</t>
  </si>
  <si>
    <t>5177202651310190000</t>
  </si>
  <si>
    <t>TUY7J41</t>
  </si>
  <si>
    <t>01000435-1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</si>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</sst>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666666"/>
      <name val="Open Sans"/>
      <family val="2"/>
      <charset val="1"/>
    </font>
    <font>
      <sz val="10"/>
      <color rgb="FF666666"/>
      <name val="Open Sans"/>
      <charset val="1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 vertical="center"/>
    </xf>
    <xf numFmtId="0" fontId="0" fillId="3" borderId="3" xfId="0" quotePrefix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0" fillId="5" borderId="3" xfId="0" quotePrefix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3" fontId="0" fillId="5" borderId="3" xfId="0" quotePrefix="1" applyNumberFormat="1" applyFill="1" applyBorder="1" applyAlignment="1">
      <alignment horizontal="center" vertical="center"/>
    </xf>
    <xf numFmtId="0" fontId="0" fillId="3" borderId="3" xfId="0" applyFill="1" applyBorder="1"/>
    <xf numFmtId="0" fontId="0" fillId="0" borderId="3" xfId="0" quotePrefix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14" fontId="5" fillId="4" borderId="3" xfId="0" applyNumberFormat="1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7" fillId="6" borderId="3" xfId="0" applyFont="1" applyFill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3" borderId="3" xfId="0" quotePrefix="1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/>
    </xf>
    <xf numFmtId="14" fontId="0" fillId="5" borderId="3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 wrapText="1"/>
    </xf>
    <xf numFmtId="165" fontId="0" fillId="0" borderId="3" xfId="0" quotePrefix="1" applyNumberFormat="1" applyBorder="1" applyAlignment="1">
      <alignment horizontal="center" vertical="center"/>
    </xf>
    <xf numFmtId="3" fontId="0" fillId="0" borderId="3" xfId="0" quotePrefix="1" applyNumberFormat="1" applyBorder="1" applyAlignment="1">
      <alignment horizontal="center" vertical="center"/>
    </xf>
    <xf numFmtId="3" fontId="0" fillId="5" borderId="3" xfId="0" applyNumberFormat="1" applyFill="1" applyBorder="1" applyAlignment="1">
      <alignment horizontal="center" vertical="center"/>
    </xf>
    <xf numFmtId="14" fontId="0" fillId="3" borderId="3" xfId="0" applyNumberFormat="1" applyFill="1" applyBorder="1"/>
    <xf numFmtId="165" fontId="0" fillId="3" borderId="3" xfId="0" applyNumberFormat="1" applyFill="1" applyBorder="1"/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/>
    </xf>
    <xf numFmtId="14" fontId="9" fillId="3" borderId="3" xfId="0" applyNumberFormat="1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5" borderId="3" xfId="0" quotePrefix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4" fontId="9" fillId="5" borderId="3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3" fontId="9" fillId="5" borderId="3" xfId="0" quotePrefix="1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/>
    </xf>
    <xf numFmtId="165" fontId="9" fillId="0" borderId="3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8"/>
  <sheetViews>
    <sheetView tabSelected="1" topLeftCell="A52" zoomScale="96" zoomScaleNormal="96" workbookViewId="0">
      <selection activeCell="W59" sqref="A59:W62"/>
    </sheetView>
  </sheetViews>
  <sheetFormatPr defaultRowHeight="15"/>
  <cols>
    <col min="1" max="1" width="12.42578125" style="21" customWidth="1"/>
    <col min="2" max="2" width="23.7109375" style="21" customWidth="1"/>
    <col min="3" max="3" width="17.28515625" style="21" customWidth="1"/>
    <col min="4" max="4" width="12.140625" style="21" customWidth="1"/>
    <col min="5" max="5" width="13.42578125" style="21" customWidth="1"/>
    <col min="6" max="7" width="16.7109375" style="21" customWidth="1"/>
    <col min="8" max="8" width="21.85546875" style="52" hidden="1" customWidth="1"/>
    <col min="9" max="9" width="43.28515625" style="21" hidden="1" customWidth="1"/>
    <col min="10" max="10" width="21.5703125" style="21" hidden="1" customWidth="1"/>
    <col min="11" max="11" width="13.28515625" style="52" hidden="1" customWidth="1"/>
    <col min="12" max="12" width="11.7109375" style="21" hidden="1" customWidth="1"/>
    <col min="13" max="13" width="12" style="21" hidden="1" customWidth="1"/>
    <col min="14" max="14" width="17.42578125" style="21" hidden="1" customWidth="1"/>
    <col min="15" max="15" width="14.5703125" style="53" hidden="1" customWidth="1"/>
    <col min="16" max="16" width="15.7109375" style="53" hidden="1" customWidth="1"/>
    <col min="17" max="17" width="18.7109375" style="52" hidden="1" customWidth="1"/>
    <col min="18" max="18" width="17.42578125" style="52" hidden="1" customWidth="1"/>
    <col min="19" max="19" width="33.7109375" style="21" hidden="1" customWidth="1"/>
    <col min="20" max="20" width="23.42578125" style="21" hidden="1" customWidth="1"/>
    <col min="21" max="21" width="18.42578125" style="21" hidden="1" customWidth="1"/>
    <col min="22" max="22" width="0.85546875" style="21" hidden="1" customWidth="1"/>
    <col min="23" max="23" width="61.7109375" style="21" customWidth="1"/>
    <col min="24" max="16384" width="9.140625" style="21"/>
  </cols>
  <sheetData>
    <row r="1" spans="1:60" s="27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5" t="s">
        <v>19</v>
      </c>
      <c r="V1" s="25" t="s">
        <v>20</v>
      </c>
      <c r="W1" s="23" t="s">
        <v>21</v>
      </c>
      <c r="BH1" s="28" t="s">
        <v>22</v>
      </c>
    </row>
    <row r="2" spans="1:60" s="10" customFormat="1">
      <c r="A2" s="10">
        <v>1065465890</v>
      </c>
      <c r="B2" s="10" t="s">
        <v>23</v>
      </c>
      <c r="C2" s="13">
        <v>136693630</v>
      </c>
      <c r="D2" s="13" t="s">
        <v>24</v>
      </c>
      <c r="E2" s="10" t="s">
        <v>25</v>
      </c>
      <c r="F2" s="10" t="s">
        <v>26</v>
      </c>
      <c r="G2" s="10" t="s">
        <v>27</v>
      </c>
      <c r="H2" s="29">
        <v>46064.51988295139</v>
      </c>
      <c r="I2" s="10" t="s">
        <v>23</v>
      </c>
      <c r="J2" s="10">
        <v>1065465890</v>
      </c>
      <c r="K2" s="30">
        <v>22168</v>
      </c>
      <c r="L2" s="10">
        <v>33</v>
      </c>
      <c r="M2" s="13">
        <v>119</v>
      </c>
      <c r="N2" s="10">
        <v>92040624</v>
      </c>
      <c r="O2" s="31">
        <v>501.13</v>
      </c>
      <c r="P2" s="31">
        <v>2004.53</v>
      </c>
      <c r="Q2" s="10" t="s">
        <v>28</v>
      </c>
      <c r="R2" s="30">
        <v>46089</v>
      </c>
      <c r="S2" s="10" t="s">
        <v>29</v>
      </c>
      <c r="T2" s="10" t="s">
        <v>30</v>
      </c>
      <c r="U2" s="32" t="s">
        <v>31</v>
      </c>
      <c r="V2" s="16"/>
      <c r="W2" s="10" t="s">
        <v>32</v>
      </c>
    </row>
    <row r="3" spans="1:60" s="10" customFormat="1">
      <c r="A3" s="10">
        <v>4412880303</v>
      </c>
      <c r="B3" s="10" t="s">
        <v>33</v>
      </c>
      <c r="C3" s="10">
        <v>136629898</v>
      </c>
      <c r="D3" s="13" t="s">
        <v>28</v>
      </c>
      <c r="E3" s="10" t="s">
        <v>34</v>
      </c>
      <c r="F3" s="10" t="s">
        <v>26</v>
      </c>
      <c r="G3" s="10" t="s">
        <v>27</v>
      </c>
      <c r="H3" s="29">
        <v>46064.574355752316</v>
      </c>
      <c r="I3" s="10" t="s">
        <v>33</v>
      </c>
      <c r="J3" s="10">
        <v>4412880303</v>
      </c>
      <c r="K3" s="30">
        <v>33455</v>
      </c>
      <c r="L3" s="10">
        <v>33</v>
      </c>
      <c r="M3" s="10">
        <v>4410</v>
      </c>
      <c r="N3" s="10">
        <v>10188687</v>
      </c>
      <c r="O3" s="31">
        <v>533.47</v>
      </c>
      <c r="P3" s="33">
        <v>3200.91</v>
      </c>
      <c r="Q3" s="10" t="s">
        <v>28</v>
      </c>
      <c r="R3" s="30">
        <v>46087</v>
      </c>
      <c r="S3" s="10" t="e">
        <f>#REF!</f>
        <v>#REF!</v>
      </c>
      <c r="T3" s="10" t="s">
        <v>30</v>
      </c>
      <c r="U3" s="32" t="s">
        <v>31</v>
      </c>
      <c r="V3" s="16"/>
      <c r="W3" s="10" t="s">
        <v>32</v>
      </c>
    </row>
    <row r="4" spans="1:60" s="10" customFormat="1">
      <c r="A4" s="10">
        <v>31082521000</v>
      </c>
      <c r="B4" s="10" t="s">
        <v>35</v>
      </c>
      <c r="C4" s="10">
        <v>136438158</v>
      </c>
      <c r="D4" s="13" t="s">
        <v>28</v>
      </c>
      <c r="E4" s="10" t="s">
        <v>36</v>
      </c>
      <c r="F4" s="10" t="s">
        <v>26</v>
      </c>
      <c r="G4" s="10" t="s">
        <v>27</v>
      </c>
      <c r="H4" s="29">
        <v>46064.345371724543</v>
      </c>
      <c r="I4" s="10" t="s">
        <v>35</v>
      </c>
      <c r="J4" s="10">
        <v>31082521000</v>
      </c>
      <c r="K4" s="30">
        <v>22002</v>
      </c>
      <c r="L4" s="10">
        <v>33</v>
      </c>
      <c r="M4" s="10">
        <v>3407</v>
      </c>
      <c r="N4" s="10">
        <v>10795460</v>
      </c>
      <c r="O4" s="34">
        <v>171.76</v>
      </c>
      <c r="P4" s="33">
        <v>1717.73</v>
      </c>
      <c r="Q4" s="10" t="s">
        <v>28</v>
      </c>
      <c r="R4" s="30">
        <v>46075</v>
      </c>
      <c r="S4" s="10" t="e">
        <f>#REF!</f>
        <v>#REF!</v>
      </c>
      <c r="T4" s="10" t="s">
        <v>30</v>
      </c>
      <c r="U4" s="32" t="s">
        <v>31</v>
      </c>
      <c r="V4" s="16"/>
      <c r="W4" s="10" t="s">
        <v>32</v>
      </c>
    </row>
    <row r="5" spans="1:60" s="10" customFormat="1">
      <c r="A5" s="10">
        <v>44080123868</v>
      </c>
      <c r="B5" s="10" t="s">
        <v>37</v>
      </c>
      <c r="C5" s="16">
        <v>136400899</v>
      </c>
      <c r="D5" s="13" t="s">
        <v>28</v>
      </c>
      <c r="E5" s="10" t="s">
        <v>38</v>
      </c>
      <c r="F5" s="10" t="s">
        <v>39</v>
      </c>
      <c r="G5" s="10" t="s">
        <v>27</v>
      </c>
      <c r="H5" s="29">
        <v>46063.534166666665</v>
      </c>
      <c r="I5" s="10" t="s">
        <v>37</v>
      </c>
      <c r="J5" s="10">
        <v>44080123868</v>
      </c>
      <c r="K5" s="11" t="s">
        <v>40</v>
      </c>
      <c r="L5" s="10">
        <v>33</v>
      </c>
      <c r="M5" s="10">
        <v>4204</v>
      </c>
      <c r="N5" s="10">
        <v>130003566</v>
      </c>
      <c r="O5" s="31">
        <v>1067.5</v>
      </c>
      <c r="P5" s="33">
        <v>6405.1</v>
      </c>
      <c r="Q5" s="10" t="s">
        <v>28</v>
      </c>
      <c r="R5" s="30">
        <v>46074</v>
      </c>
      <c r="S5" s="10" t="e">
        <f>#REF!</f>
        <v>#REF!</v>
      </c>
      <c r="T5" s="10" t="s">
        <v>30</v>
      </c>
      <c r="U5" s="32" t="s">
        <v>31</v>
      </c>
      <c r="V5" s="16"/>
      <c r="W5" s="10" t="s">
        <v>41</v>
      </c>
    </row>
    <row r="6" spans="1:60" s="10" customFormat="1">
      <c r="A6" s="10">
        <v>34083962801</v>
      </c>
      <c r="B6" s="10" t="s">
        <v>42</v>
      </c>
      <c r="C6" s="10">
        <v>136508937</v>
      </c>
      <c r="D6" s="13" t="s">
        <v>28</v>
      </c>
      <c r="E6" s="10" t="s">
        <v>43</v>
      </c>
      <c r="F6" s="10" t="s">
        <v>26</v>
      </c>
      <c r="G6" s="10" t="s">
        <v>27</v>
      </c>
      <c r="H6" s="29">
        <v>46063.468518518515</v>
      </c>
      <c r="I6" s="10" t="s">
        <v>42</v>
      </c>
      <c r="J6" s="10">
        <v>34083962801</v>
      </c>
      <c r="K6" s="35">
        <v>31251</v>
      </c>
      <c r="L6" s="10">
        <v>33</v>
      </c>
      <c r="M6" s="10">
        <v>1543</v>
      </c>
      <c r="N6" s="10">
        <v>10099176</v>
      </c>
      <c r="O6" s="34">
        <v>391.74</v>
      </c>
      <c r="P6" s="33">
        <v>3917.54</v>
      </c>
      <c r="Q6" s="10" t="s">
        <v>28</v>
      </c>
      <c r="R6" s="30">
        <v>46081</v>
      </c>
      <c r="S6" s="10" t="e">
        <f>#REF!</f>
        <v>#REF!</v>
      </c>
      <c r="T6" s="10" t="s">
        <v>30</v>
      </c>
      <c r="U6" s="32" t="s">
        <v>31</v>
      </c>
      <c r="V6" s="16"/>
      <c r="W6" s="10" t="s">
        <v>32</v>
      </c>
    </row>
    <row r="7" spans="1:60" s="10" customFormat="1">
      <c r="A7" s="10">
        <v>12617689654</v>
      </c>
      <c r="B7" s="10" t="s">
        <v>44</v>
      </c>
      <c r="C7" s="10">
        <v>136300899</v>
      </c>
      <c r="D7" s="13" t="s">
        <v>28</v>
      </c>
      <c r="E7" s="10" t="s">
        <v>45</v>
      </c>
      <c r="F7" s="10" t="s">
        <v>39</v>
      </c>
      <c r="G7" s="10" t="s">
        <v>27</v>
      </c>
      <c r="H7" s="29">
        <v>46063.291250000002</v>
      </c>
      <c r="I7" s="10" t="s">
        <v>44</v>
      </c>
      <c r="J7" s="10">
        <v>12617689654</v>
      </c>
      <c r="K7" s="30">
        <v>34622</v>
      </c>
      <c r="L7" s="10">
        <v>33</v>
      </c>
      <c r="M7" s="10">
        <v>4465</v>
      </c>
      <c r="N7" s="10">
        <v>10224208</v>
      </c>
      <c r="O7" s="31">
        <v>131.19</v>
      </c>
      <c r="P7" s="31">
        <v>1311.9</v>
      </c>
      <c r="Q7" s="35">
        <v>46065</v>
      </c>
      <c r="R7" s="30">
        <v>46066</v>
      </c>
      <c r="S7" s="10" t="s">
        <v>46</v>
      </c>
      <c r="T7" s="10" t="s">
        <v>30</v>
      </c>
      <c r="U7" s="32" t="s">
        <v>31</v>
      </c>
      <c r="V7" s="16"/>
      <c r="W7" s="10" t="s">
        <v>32</v>
      </c>
    </row>
    <row r="8" spans="1:60" s="10" customFormat="1">
      <c r="A8" s="9">
        <v>10943846315</v>
      </c>
      <c r="B8" s="9" t="s">
        <v>47</v>
      </c>
      <c r="C8" s="14" t="s">
        <v>48</v>
      </c>
      <c r="D8" s="9">
        <v>3450240761</v>
      </c>
      <c r="E8" s="9" t="s">
        <v>49</v>
      </c>
      <c r="F8" s="9" t="s">
        <v>39</v>
      </c>
      <c r="G8" s="9" t="s">
        <v>50</v>
      </c>
      <c r="H8" s="29">
        <v>46064.469431122678</v>
      </c>
      <c r="I8" s="9" t="s">
        <v>47</v>
      </c>
      <c r="J8" s="9">
        <v>10943846315</v>
      </c>
      <c r="K8" s="9" t="s">
        <v>51</v>
      </c>
      <c r="L8" s="9">
        <v>33</v>
      </c>
      <c r="M8" s="9">
        <v>674</v>
      </c>
      <c r="N8" s="9">
        <v>130029062</v>
      </c>
      <c r="O8" s="36">
        <v>291.41000000000003</v>
      </c>
      <c r="P8" s="36">
        <v>2914.1</v>
      </c>
      <c r="Q8" s="9" t="s">
        <v>52</v>
      </c>
      <c r="R8" s="9" t="s">
        <v>52</v>
      </c>
      <c r="S8" s="9" t="s">
        <v>29</v>
      </c>
      <c r="T8" s="10" t="s">
        <v>30</v>
      </c>
      <c r="U8" s="32" t="s">
        <v>31</v>
      </c>
      <c r="V8" s="16"/>
      <c r="W8" s="9" t="s">
        <v>53</v>
      </c>
    </row>
    <row r="9" spans="1:60" s="10" customFormat="1">
      <c r="A9" s="9">
        <v>85889679791</v>
      </c>
      <c r="B9" s="9" t="s">
        <v>54</v>
      </c>
      <c r="C9" s="9">
        <v>136674851</v>
      </c>
      <c r="D9" s="9">
        <v>3450247229</v>
      </c>
      <c r="E9" s="9" t="s">
        <v>55</v>
      </c>
      <c r="F9" s="9" t="s">
        <v>39</v>
      </c>
      <c r="G9" s="9" t="s">
        <v>50</v>
      </c>
      <c r="H9" s="29">
        <v>46064.396055370373</v>
      </c>
      <c r="I9" s="9" t="s">
        <v>54</v>
      </c>
      <c r="J9" s="9">
        <v>85889679791</v>
      </c>
      <c r="K9" s="29">
        <v>24064</v>
      </c>
      <c r="L9" s="9">
        <v>33</v>
      </c>
      <c r="M9" s="9">
        <v>1522</v>
      </c>
      <c r="N9" s="9">
        <v>10404759</v>
      </c>
      <c r="O9" s="36">
        <v>208.84</v>
      </c>
      <c r="P9" s="36">
        <v>2088.4</v>
      </c>
      <c r="Q9" s="9" t="s">
        <v>52</v>
      </c>
      <c r="R9" s="9" t="s">
        <v>52</v>
      </c>
      <c r="S9" s="9" t="s">
        <v>29</v>
      </c>
      <c r="T9" s="10" t="s">
        <v>30</v>
      </c>
      <c r="U9" s="32" t="s">
        <v>31</v>
      </c>
      <c r="V9" s="16"/>
      <c r="W9" s="9" t="s">
        <v>56</v>
      </c>
    </row>
    <row r="10" spans="1:60" s="10" customFormat="1" ht="15.75">
      <c r="A10" s="9">
        <v>49198189808</v>
      </c>
      <c r="B10" s="9" t="s">
        <v>57</v>
      </c>
      <c r="C10" s="37">
        <v>136702073</v>
      </c>
      <c r="D10" s="9">
        <v>3450249264</v>
      </c>
      <c r="E10" s="9" t="s">
        <v>58</v>
      </c>
      <c r="F10" s="9" t="s">
        <v>39</v>
      </c>
      <c r="G10" s="9" t="s">
        <v>50</v>
      </c>
      <c r="H10" s="29">
        <v>46064.490962465279</v>
      </c>
      <c r="I10" s="9" t="s">
        <v>52</v>
      </c>
      <c r="J10" s="9" t="s">
        <v>52</v>
      </c>
      <c r="K10" s="9" t="s">
        <v>52</v>
      </c>
      <c r="L10" s="9" t="s">
        <v>52</v>
      </c>
      <c r="M10" s="9" t="s">
        <v>52</v>
      </c>
      <c r="N10" s="9" t="s">
        <v>52</v>
      </c>
      <c r="O10" s="36" t="s">
        <v>52</v>
      </c>
      <c r="P10" s="36">
        <v>2092.9</v>
      </c>
      <c r="Q10" s="9" t="s">
        <v>52</v>
      </c>
      <c r="R10" s="9" t="s">
        <v>52</v>
      </c>
      <c r="S10" s="9" t="s">
        <v>29</v>
      </c>
      <c r="T10" s="10" t="s">
        <v>30</v>
      </c>
      <c r="U10" s="32" t="s">
        <v>31</v>
      </c>
      <c r="V10" s="32"/>
      <c r="W10" s="9" t="s">
        <v>56</v>
      </c>
    </row>
    <row r="11" spans="1:60" s="10" customFormat="1">
      <c r="A11" s="9">
        <v>35700594803</v>
      </c>
      <c r="B11" s="9" t="s">
        <v>59</v>
      </c>
      <c r="C11" s="28"/>
      <c r="D11" s="9">
        <v>3449934136</v>
      </c>
      <c r="E11" s="9" t="s">
        <v>60</v>
      </c>
      <c r="F11" s="9" t="s">
        <v>39</v>
      </c>
      <c r="G11" s="9" t="s">
        <v>61</v>
      </c>
      <c r="H11" s="29">
        <v>46064.562143854157</v>
      </c>
      <c r="I11" s="9" t="s">
        <v>59</v>
      </c>
      <c r="J11" s="9">
        <v>35700594803</v>
      </c>
      <c r="K11" s="29">
        <v>32000</v>
      </c>
      <c r="L11" s="9">
        <v>33</v>
      </c>
      <c r="M11" s="9">
        <v>3742</v>
      </c>
      <c r="N11" s="9">
        <v>10066072</v>
      </c>
      <c r="O11" s="36">
        <v>283.27</v>
      </c>
      <c r="P11" s="36">
        <v>1982.87</v>
      </c>
      <c r="Q11" s="9" t="s">
        <v>52</v>
      </c>
      <c r="R11" s="9" t="s">
        <v>52</v>
      </c>
      <c r="S11" s="9" t="s">
        <v>29</v>
      </c>
      <c r="T11" s="10" t="s">
        <v>30</v>
      </c>
      <c r="U11" s="32" t="s">
        <v>31</v>
      </c>
      <c r="V11" s="32"/>
      <c r="W11" s="9" t="s">
        <v>62</v>
      </c>
    </row>
    <row r="12" spans="1:60" s="10" customFormat="1">
      <c r="A12" s="9">
        <v>64576426320</v>
      </c>
      <c r="B12" s="9" t="s">
        <v>63</v>
      </c>
      <c r="C12" s="12">
        <v>131440216</v>
      </c>
      <c r="D12" s="9">
        <v>3449928394</v>
      </c>
      <c r="E12" s="9" t="s">
        <v>64</v>
      </c>
      <c r="F12" s="9" t="s">
        <v>39</v>
      </c>
      <c r="G12" s="9" t="s">
        <v>61</v>
      </c>
      <c r="H12" s="29">
        <v>46064.330511099542</v>
      </c>
      <c r="I12" s="9" t="s">
        <v>63</v>
      </c>
      <c r="J12" s="9">
        <v>64576426320</v>
      </c>
      <c r="K12" s="9" t="s">
        <v>65</v>
      </c>
      <c r="L12" s="9">
        <v>33</v>
      </c>
      <c r="M12" s="9">
        <v>2306</v>
      </c>
      <c r="N12" s="9">
        <v>130009705</v>
      </c>
      <c r="O12" s="36">
        <v>800.24</v>
      </c>
      <c r="P12" s="36">
        <v>8002.39</v>
      </c>
      <c r="Q12" s="9" t="s">
        <v>52</v>
      </c>
      <c r="R12" s="9" t="s">
        <v>52</v>
      </c>
      <c r="S12" s="9" t="s">
        <v>29</v>
      </c>
      <c r="T12" s="10" t="s">
        <v>30</v>
      </c>
      <c r="U12" s="32" t="s">
        <v>31</v>
      </c>
      <c r="V12" s="32"/>
      <c r="W12" s="9" t="s">
        <v>62</v>
      </c>
    </row>
    <row r="13" spans="1:60" s="10" customFormat="1">
      <c r="A13" s="9">
        <v>284133850</v>
      </c>
      <c r="B13" s="9" t="s">
        <v>66</v>
      </c>
      <c r="C13" s="12">
        <v>131571031</v>
      </c>
      <c r="D13" s="9">
        <v>3453980123</v>
      </c>
      <c r="E13" s="9" t="s">
        <v>67</v>
      </c>
      <c r="F13" s="9" t="s">
        <v>26</v>
      </c>
      <c r="G13" s="9" t="s">
        <v>61</v>
      </c>
      <c r="H13" s="29">
        <v>46064.362068483802</v>
      </c>
      <c r="I13" s="9" t="s">
        <v>66</v>
      </c>
      <c r="J13" s="9">
        <v>284133850</v>
      </c>
      <c r="K13" s="29">
        <v>19325</v>
      </c>
      <c r="L13" s="9">
        <v>33</v>
      </c>
      <c r="M13" s="9">
        <v>3786</v>
      </c>
      <c r="N13" s="9">
        <v>10374641</v>
      </c>
      <c r="O13" s="36">
        <v>142.04</v>
      </c>
      <c r="P13" s="36">
        <v>1420.49</v>
      </c>
      <c r="Q13" s="9" t="s">
        <v>52</v>
      </c>
      <c r="R13" s="9" t="s">
        <v>52</v>
      </c>
      <c r="S13" s="9" t="s">
        <v>29</v>
      </c>
      <c r="T13" s="10" t="s">
        <v>30</v>
      </c>
      <c r="U13" s="32" t="s">
        <v>31</v>
      </c>
      <c r="V13" s="32"/>
      <c r="W13" s="9" t="s">
        <v>68</v>
      </c>
    </row>
    <row r="14" spans="1:60" s="10" customFormat="1">
      <c r="A14" s="9">
        <v>822256134</v>
      </c>
      <c r="B14" s="9" t="s">
        <v>69</v>
      </c>
      <c r="C14" s="12">
        <v>136539631</v>
      </c>
      <c r="D14" s="9">
        <v>3926882597</v>
      </c>
      <c r="E14" s="9" t="s">
        <v>70</v>
      </c>
      <c r="F14" s="9" t="s">
        <v>39</v>
      </c>
      <c r="G14" s="9" t="s">
        <v>50</v>
      </c>
      <c r="H14" s="29">
        <v>46064.616514780093</v>
      </c>
      <c r="I14" s="9" t="s">
        <v>69</v>
      </c>
      <c r="J14" s="9">
        <v>822256134</v>
      </c>
      <c r="K14" s="29">
        <v>13277</v>
      </c>
      <c r="L14" s="9">
        <v>33</v>
      </c>
      <c r="M14" s="9">
        <v>82</v>
      </c>
      <c r="N14" s="9">
        <v>920507324</v>
      </c>
      <c r="O14" s="36">
        <v>228.23</v>
      </c>
      <c r="P14" s="36">
        <v>2282.33</v>
      </c>
      <c r="Q14" s="9" t="s">
        <v>52</v>
      </c>
      <c r="R14" s="9" t="s">
        <v>52</v>
      </c>
      <c r="S14" s="9" t="s">
        <v>29</v>
      </c>
      <c r="T14" s="10" t="s">
        <v>30</v>
      </c>
      <c r="U14" s="32" t="s">
        <v>31</v>
      </c>
      <c r="V14" s="32"/>
      <c r="W14" s="9" t="s">
        <v>56</v>
      </c>
    </row>
    <row r="15" spans="1:60" s="10" customFormat="1" ht="15.75">
      <c r="A15" s="9">
        <v>382624793</v>
      </c>
      <c r="B15" s="9" t="s">
        <v>71</v>
      </c>
      <c r="C15" s="17">
        <v>136555458</v>
      </c>
      <c r="D15" s="9">
        <v>3450241036</v>
      </c>
      <c r="E15" s="9" t="s">
        <v>72</v>
      </c>
      <c r="F15" s="9" t="s">
        <v>39</v>
      </c>
      <c r="G15" s="9" t="s">
        <v>50</v>
      </c>
      <c r="H15" s="29">
        <v>46057.560279375</v>
      </c>
      <c r="I15" s="9" t="s">
        <v>71</v>
      </c>
      <c r="J15" s="9">
        <v>382624793</v>
      </c>
      <c r="K15" s="9" t="s">
        <v>73</v>
      </c>
      <c r="L15" s="9">
        <v>33</v>
      </c>
      <c r="M15" s="9">
        <v>2284</v>
      </c>
      <c r="N15" s="9">
        <v>20276906</v>
      </c>
      <c r="O15" s="36">
        <v>212.48</v>
      </c>
      <c r="P15" s="36">
        <v>2124.79</v>
      </c>
      <c r="Q15" s="9" t="s">
        <v>52</v>
      </c>
      <c r="R15" s="9" t="s">
        <v>52</v>
      </c>
      <c r="S15" s="9" t="s">
        <v>29</v>
      </c>
      <c r="T15" s="10" t="s">
        <v>30</v>
      </c>
      <c r="U15" s="32" t="s">
        <v>31</v>
      </c>
      <c r="V15" s="32"/>
      <c r="W15" s="9" t="s">
        <v>56</v>
      </c>
    </row>
    <row r="16" spans="1:60" s="10" customFormat="1">
      <c r="A16" s="12" t="s">
        <v>74</v>
      </c>
      <c r="B16" s="9" t="s">
        <v>75</v>
      </c>
      <c r="C16" s="12">
        <v>136377096</v>
      </c>
      <c r="D16" s="9" t="s">
        <v>52</v>
      </c>
      <c r="E16" s="9" t="s">
        <v>76</v>
      </c>
      <c r="F16" s="9" t="s">
        <v>39</v>
      </c>
      <c r="G16" s="9" t="s">
        <v>27</v>
      </c>
      <c r="H16" s="29">
        <v>46059.378988101853</v>
      </c>
      <c r="I16" s="9" t="s">
        <v>75</v>
      </c>
      <c r="J16" s="12" t="s">
        <v>74</v>
      </c>
      <c r="K16" s="9" t="s">
        <v>52</v>
      </c>
      <c r="L16" s="9">
        <v>33</v>
      </c>
      <c r="M16" s="9">
        <v>712</v>
      </c>
      <c r="N16" s="9">
        <v>130035297</v>
      </c>
      <c r="O16" s="36">
        <v>212.54</v>
      </c>
      <c r="P16" s="36">
        <v>2125.63</v>
      </c>
      <c r="Q16" s="29">
        <v>46065</v>
      </c>
      <c r="R16" s="29">
        <v>46071</v>
      </c>
      <c r="S16" s="9" t="s">
        <v>46</v>
      </c>
      <c r="T16" s="10" t="s">
        <v>30</v>
      </c>
      <c r="U16" s="32" t="s">
        <v>31</v>
      </c>
      <c r="V16" s="32"/>
      <c r="W16" s="10" t="s">
        <v>32</v>
      </c>
    </row>
    <row r="17" spans="1:83" s="9" customFormat="1">
      <c r="A17" s="10">
        <v>10611004720</v>
      </c>
      <c r="B17" s="10" t="s">
        <v>77</v>
      </c>
      <c r="C17" s="13">
        <v>136690908</v>
      </c>
      <c r="D17" s="10">
        <v>3926891320</v>
      </c>
      <c r="E17" s="10" t="s">
        <v>78</v>
      </c>
      <c r="F17" s="10" t="s">
        <v>39</v>
      </c>
      <c r="G17" s="10" t="s">
        <v>27</v>
      </c>
      <c r="H17" s="35">
        <v>46064</v>
      </c>
      <c r="I17" s="10" t="s">
        <v>77</v>
      </c>
      <c r="J17" s="10">
        <v>10611004720</v>
      </c>
      <c r="K17" s="35">
        <v>31227</v>
      </c>
      <c r="L17" s="10">
        <v>33</v>
      </c>
      <c r="M17" s="10">
        <v>3973</v>
      </c>
      <c r="N17" s="10">
        <v>10040971</v>
      </c>
      <c r="O17" s="31">
        <v>300.31</v>
      </c>
      <c r="P17" s="31">
        <v>3003.19</v>
      </c>
      <c r="Q17" s="10"/>
      <c r="R17" s="35">
        <v>46079</v>
      </c>
      <c r="S17" s="10" t="s">
        <v>29</v>
      </c>
      <c r="T17" s="10" t="s">
        <v>30</v>
      </c>
      <c r="U17" s="32" t="s">
        <v>31</v>
      </c>
      <c r="V17" s="32"/>
      <c r="W17" s="10" t="s">
        <v>32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s="9" customFormat="1">
      <c r="A18" s="10">
        <v>2206533561</v>
      </c>
      <c r="B18" s="10" t="s">
        <v>79</v>
      </c>
      <c r="C18" s="13">
        <v>136437496</v>
      </c>
      <c r="D18" s="13">
        <v>3926874050</v>
      </c>
      <c r="E18" s="13" t="s">
        <v>80</v>
      </c>
      <c r="F18" s="10" t="s">
        <v>26</v>
      </c>
      <c r="G18" s="10" t="s">
        <v>27</v>
      </c>
      <c r="H18" s="35">
        <v>46064</v>
      </c>
      <c r="I18" s="10" t="s">
        <v>79</v>
      </c>
      <c r="J18" s="10">
        <v>2206533561</v>
      </c>
      <c r="K18" s="35">
        <v>30701</v>
      </c>
      <c r="L18" s="10">
        <v>33</v>
      </c>
      <c r="M18" s="10">
        <v>2373</v>
      </c>
      <c r="N18" s="10">
        <v>10030203</v>
      </c>
      <c r="O18" s="31">
        <v>104.65</v>
      </c>
      <c r="P18" s="31">
        <v>1046.53</v>
      </c>
      <c r="Q18" s="10"/>
      <c r="R18" s="35">
        <v>46075</v>
      </c>
      <c r="S18" s="10" t="s">
        <v>29</v>
      </c>
      <c r="T18" s="10" t="s">
        <v>30</v>
      </c>
      <c r="U18" s="32" t="s">
        <v>31</v>
      </c>
      <c r="V18" s="32"/>
      <c r="W18" s="10" t="s">
        <v>32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s="9" customFormat="1">
      <c r="A19" s="10">
        <v>6309592858</v>
      </c>
      <c r="B19" s="10" t="s">
        <v>81</v>
      </c>
      <c r="C19" s="13">
        <v>136628738</v>
      </c>
      <c r="D19" s="10">
        <v>3926889021</v>
      </c>
      <c r="E19" s="10" t="s">
        <v>82</v>
      </c>
      <c r="F19" s="10" t="s">
        <v>39</v>
      </c>
      <c r="G19" s="10" t="s">
        <v>27</v>
      </c>
      <c r="H19" s="35">
        <v>46064</v>
      </c>
      <c r="I19" s="10" t="s">
        <v>81</v>
      </c>
      <c r="J19" s="10">
        <v>6309592858</v>
      </c>
      <c r="K19" s="35">
        <v>22808</v>
      </c>
      <c r="L19" s="10">
        <v>33</v>
      </c>
      <c r="M19" s="10">
        <v>214</v>
      </c>
      <c r="N19" s="10">
        <v>10039864</v>
      </c>
      <c r="O19" s="31">
        <v>258.77999999999997</v>
      </c>
      <c r="P19" s="31">
        <v>2587.8000000000002</v>
      </c>
      <c r="Q19" s="10"/>
      <c r="R19" s="35">
        <v>46084</v>
      </c>
      <c r="S19" s="10" t="s">
        <v>29</v>
      </c>
      <c r="T19" s="10" t="s">
        <v>30</v>
      </c>
      <c r="U19" s="32" t="s">
        <v>31</v>
      </c>
      <c r="V19" s="32"/>
      <c r="W19" s="10" t="s">
        <v>32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</row>
    <row r="20" spans="1:83" s="9" customFormat="1">
      <c r="A20" s="10">
        <v>98351605700</v>
      </c>
      <c r="B20" s="10" t="s">
        <v>83</v>
      </c>
      <c r="C20" s="13">
        <v>136572298</v>
      </c>
      <c r="D20" s="10">
        <v>3450242279</v>
      </c>
      <c r="E20" s="10" t="s">
        <v>84</v>
      </c>
      <c r="F20" s="10" t="s">
        <v>39</v>
      </c>
      <c r="G20" s="10" t="s">
        <v>27</v>
      </c>
      <c r="H20" s="35">
        <v>46064</v>
      </c>
      <c r="I20" s="10" t="s">
        <v>83</v>
      </c>
      <c r="J20" s="10">
        <v>98351605700</v>
      </c>
      <c r="K20" s="35">
        <v>24516</v>
      </c>
      <c r="L20" s="10">
        <v>33</v>
      </c>
      <c r="M20" s="10">
        <v>3934</v>
      </c>
      <c r="N20" s="10">
        <v>10875468</v>
      </c>
      <c r="O20" s="31">
        <v>415.56</v>
      </c>
      <c r="P20" s="31">
        <v>4155.71</v>
      </c>
      <c r="Q20" s="35">
        <v>46065</v>
      </c>
      <c r="R20" s="35">
        <v>46070</v>
      </c>
      <c r="S20" s="10" t="s">
        <v>46</v>
      </c>
      <c r="T20" s="10" t="s">
        <v>30</v>
      </c>
      <c r="U20" s="32" t="s">
        <v>31</v>
      </c>
      <c r="V20" s="32"/>
      <c r="W20" s="10" t="s">
        <v>32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</row>
    <row r="21" spans="1:83" s="9" customFormat="1" ht="15.75">
      <c r="A21" s="10">
        <v>6887078589</v>
      </c>
      <c r="B21" s="10" t="s">
        <v>85</v>
      </c>
      <c r="C21" s="17">
        <v>136694847</v>
      </c>
      <c r="D21" s="10">
        <v>3450248560</v>
      </c>
      <c r="E21" s="10" t="s">
        <v>86</v>
      </c>
      <c r="F21" s="10" t="s">
        <v>39</v>
      </c>
      <c r="G21" s="10" t="s">
        <v>50</v>
      </c>
      <c r="H21" s="35">
        <v>46064</v>
      </c>
      <c r="I21" s="10" t="s">
        <v>85</v>
      </c>
      <c r="J21" s="10">
        <v>6887078589</v>
      </c>
      <c r="K21" s="35">
        <v>35393</v>
      </c>
      <c r="L21" s="10">
        <v>33</v>
      </c>
      <c r="M21" s="10">
        <v>1136</v>
      </c>
      <c r="N21" s="10">
        <v>10453235</v>
      </c>
      <c r="O21" s="31">
        <v>25.75</v>
      </c>
      <c r="P21" s="31">
        <v>257.5</v>
      </c>
      <c r="Q21" s="10"/>
      <c r="R21" s="35">
        <v>46064</v>
      </c>
      <c r="S21" s="10" t="s">
        <v>29</v>
      </c>
      <c r="T21" s="10" t="s">
        <v>30</v>
      </c>
      <c r="U21" s="32" t="s">
        <v>31</v>
      </c>
      <c r="V21" s="32"/>
      <c r="W21" s="9" t="s">
        <v>53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</row>
    <row r="22" spans="1:83" s="9" customFormat="1">
      <c r="A22" s="10">
        <v>70808368591</v>
      </c>
      <c r="B22" s="10" t="s">
        <v>87</v>
      </c>
      <c r="C22" s="13">
        <v>131557885</v>
      </c>
      <c r="D22" s="10">
        <v>3449934004</v>
      </c>
      <c r="E22" s="10" t="s">
        <v>88</v>
      </c>
      <c r="F22" s="10" t="s">
        <v>26</v>
      </c>
      <c r="G22" s="10" t="s">
        <v>61</v>
      </c>
      <c r="H22" s="35">
        <v>46064</v>
      </c>
      <c r="I22" s="10" t="s">
        <v>87</v>
      </c>
      <c r="J22" s="10">
        <v>70808368591</v>
      </c>
      <c r="K22" s="35">
        <v>27055</v>
      </c>
      <c r="L22" s="10">
        <v>33</v>
      </c>
      <c r="M22" s="10">
        <v>1919</v>
      </c>
      <c r="N22" s="10">
        <v>10013252</v>
      </c>
      <c r="O22" s="31">
        <v>256.25</v>
      </c>
      <c r="P22" s="31">
        <v>2562.4699999999998</v>
      </c>
      <c r="Q22" s="10"/>
      <c r="R22" s="35">
        <v>45716</v>
      </c>
      <c r="S22" s="10" t="s">
        <v>29</v>
      </c>
      <c r="T22" s="10" t="s">
        <v>30</v>
      </c>
      <c r="U22" s="32" t="s">
        <v>31</v>
      </c>
      <c r="V22" s="32"/>
      <c r="W22" s="10" t="s">
        <v>68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s="10" customFormat="1">
      <c r="A23" s="10">
        <v>12010351800</v>
      </c>
      <c r="B23" s="10" t="s">
        <v>89</v>
      </c>
      <c r="C23" s="13">
        <v>135988974</v>
      </c>
      <c r="E23" s="10" t="s">
        <v>90</v>
      </c>
      <c r="F23" s="10" t="s">
        <v>26</v>
      </c>
      <c r="G23" s="10" t="s">
        <v>27</v>
      </c>
      <c r="H23" s="35">
        <v>46064</v>
      </c>
      <c r="I23" s="10" t="s">
        <v>89</v>
      </c>
      <c r="J23" s="10">
        <v>12010351800</v>
      </c>
      <c r="K23" s="35">
        <v>25052</v>
      </c>
      <c r="L23" s="10">
        <v>33</v>
      </c>
      <c r="M23" s="10">
        <v>392</v>
      </c>
      <c r="N23" s="10">
        <v>10041323</v>
      </c>
      <c r="O23" s="31">
        <v>247.72</v>
      </c>
      <c r="P23" s="31">
        <v>2747.37</v>
      </c>
      <c r="R23" s="35">
        <v>46060</v>
      </c>
      <c r="S23" s="10" t="s">
        <v>29</v>
      </c>
      <c r="T23" s="10" t="s">
        <v>30</v>
      </c>
      <c r="U23" s="32" t="s">
        <v>31</v>
      </c>
      <c r="V23" s="16"/>
      <c r="W23" s="10" t="s">
        <v>32</v>
      </c>
    </row>
    <row r="24" spans="1:83" s="10" customFormat="1">
      <c r="A24" s="10">
        <v>7397603866</v>
      </c>
      <c r="B24" s="10" t="s">
        <v>91</v>
      </c>
      <c r="C24" s="13">
        <v>136377465</v>
      </c>
      <c r="D24" s="10">
        <v>3926867989</v>
      </c>
      <c r="E24" s="10" t="s">
        <v>92</v>
      </c>
      <c r="F24" s="10" t="s">
        <v>39</v>
      </c>
      <c r="G24" s="10" t="s">
        <v>27</v>
      </c>
      <c r="H24" s="35">
        <v>46064</v>
      </c>
      <c r="I24" s="10" t="s">
        <v>91</v>
      </c>
      <c r="J24" s="10">
        <v>7397603866</v>
      </c>
      <c r="K24" s="30">
        <v>23855</v>
      </c>
      <c r="L24" s="10">
        <v>33</v>
      </c>
      <c r="M24" s="10">
        <v>103</v>
      </c>
      <c r="N24" s="10">
        <v>10125852</v>
      </c>
      <c r="O24" s="31">
        <v>151.65</v>
      </c>
      <c r="P24" s="31">
        <v>1516.51</v>
      </c>
      <c r="Q24" s="35">
        <v>46065</v>
      </c>
      <c r="R24" s="30">
        <v>46071</v>
      </c>
      <c r="S24" s="10" t="s">
        <v>46</v>
      </c>
      <c r="T24" s="10" t="s">
        <v>30</v>
      </c>
      <c r="U24" s="32" t="s">
        <v>31</v>
      </c>
      <c r="V24" s="16"/>
      <c r="W24" s="10" t="s">
        <v>32</v>
      </c>
    </row>
    <row r="25" spans="1:83" s="10" customFormat="1">
      <c r="A25" s="10">
        <v>26362804805</v>
      </c>
      <c r="B25" s="10" t="s">
        <v>93</v>
      </c>
      <c r="C25" s="13">
        <v>136519828</v>
      </c>
      <c r="D25" s="10">
        <v>136519828</v>
      </c>
      <c r="E25" s="10" t="s">
        <v>94</v>
      </c>
      <c r="F25" s="10" t="s">
        <v>26</v>
      </c>
      <c r="G25" s="10" t="s">
        <v>27</v>
      </c>
      <c r="H25" s="35">
        <v>46064</v>
      </c>
      <c r="I25" s="10" t="s">
        <v>93</v>
      </c>
      <c r="J25" s="10">
        <v>26362804805</v>
      </c>
      <c r="K25" s="30">
        <v>28018</v>
      </c>
      <c r="L25" s="10">
        <v>33</v>
      </c>
      <c r="M25" s="10">
        <v>3255</v>
      </c>
      <c r="N25" s="10">
        <v>10352000</v>
      </c>
      <c r="O25" s="31">
        <v>336.8</v>
      </c>
      <c r="P25" s="31">
        <v>3368.23</v>
      </c>
      <c r="R25" s="30">
        <v>46082</v>
      </c>
      <c r="S25" s="10" t="s">
        <v>29</v>
      </c>
      <c r="T25" s="10" t="s">
        <v>30</v>
      </c>
      <c r="U25" s="32" t="s">
        <v>31</v>
      </c>
      <c r="V25" s="16"/>
      <c r="W25" s="10" t="s">
        <v>32</v>
      </c>
    </row>
    <row r="26" spans="1:83" s="10" customFormat="1">
      <c r="A26" s="10">
        <v>8172915802</v>
      </c>
      <c r="B26" s="10" t="s">
        <v>95</v>
      </c>
      <c r="C26" s="13">
        <v>135668756</v>
      </c>
      <c r="D26" s="10">
        <v>3454286760</v>
      </c>
      <c r="E26" s="10" t="s">
        <v>96</v>
      </c>
      <c r="F26" s="10" t="s">
        <v>26</v>
      </c>
      <c r="G26" s="10" t="s">
        <v>27</v>
      </c>
      <c r="H26" s="35">
        <v>46064</v>
      </c>
      <c r="I26" s="10" t="s">
        <v>95</v>
      </c>
      <c r="J26" s="10">
        <v>8172915802</v>
      </c>
      <c r="K26" s="30">
        <v>24763</v>
      </c>
      <c r="L26" s="10">
        <v>33</v>
      </c>
      <c r="M26" s="13" t="s">
        <v>97</v>
      </c>
      <c r="N26" s="10">
        <v>10323580</v>
      </c>
      <c r="O26" s="31">
        <v>214.41</v>
      </c>
      <c r="P26" s="31">
        <v>2144.16</v>
      </c>
      <c r="Q26" s="35">
        <v>46065</v>
      </c>
      <c r="R26" s="30">
        <v>46071</v>
      </c>
      <c r="S26" s="10" t="s">
        <v>46</v>
      </c>
      <c r="T26" s="10" t="s">
        <v>30</v>
      </c>
      <c r="U26" s="32" t="s">
        <v>31</v>
      </c>
      <c r="V26" s="16"/>
      <c r="W26" s="10" t="s">
        <v>32</v>
      </c>
    </row>
    <row r="27" spans="1:83" s="10" customFormat="1">
      <c r="A27" s="10">
        <v>15389588720</v>
      </c>
      <c r="B27" s="10" t="s">
        <v>98</v>
      </c>
      <c r="C27" s="13">
        <v>135850332</v>
      </c>
      <c r="D27" s="13">
        <v>135850332</v>
      </c>
      <c r="E27" s="10" t="s">
        <v>99</v>
      </c>
      <c r="F27" s="10" t="s">
        <v>26</v>
      </c>
      <c r="G27" s="10" t="s">
        <v>27</v>
      </c>
      <c r="H27" s="35">
        <v>46064</v>
      </c>
      <c r="I27" s="10" t="s">
        <v>98</v>
      </c>
      <c r="J27" s="10">
        <v>15389588720</v>
      </c>
      <c r="K27" s="30">
        <v>16317</v>
      </c>
      <c r="L27" s="10">
        <v>33</v>
      </c>
      <c r="M27" s="10">
        <v>1528</v>
      </c>
      <c r="N27" s="10">
        <v>10298084</v>
      </c>
      <c r="O27" s="34">
        <v>197.11</v>
      </c>
      <c r="P27" s="33">
        <v>1971.25</v>
      </c>
      <c r="R27" s="30">
        <v>46063</v>
      </c>
      <c r="S27" s="10" t="s">
        <v>100</v>
      </c>
      <c r="T27" s="10" t="s">
        <v>30</v>
      </c>
      <c r="U27" s="32" t="s">
        <v>31</v>
      </c>
      <c r="V27" s="16"/>
      <c r="W27" s="10" t="s">
        <v>32</v>
      </c>
    </row>
    <row r="28" spans="1:83" s="10" customFormat="1">
      <c r="A28" s="10">
        <v>24694031899</v>
      </c>
      <c r="B28" s="10" t="s">
        <v>101</v>
      </c>
      <c r="C28" s="13">
        <v>136628548</v>
      </c>
      <c r="D28" s="11">
        <v>136628548</v>
      </c>
      <c r="E28" s="10" t="s">
        <v>102</v>
      </c>
      <c r="F28" s="10" t="s">
        <v>26</v>
      </c>
      <c r="G28" s="10" t="s">
        <v>27</v>
      </c>
      <c r="H28" s="35">
        <v>46064</v>
      </c>
      <c r="I28" s="10" t="s">
        <v>101</v>
      </c>
      <c r="J28" s="10">
        <v>24694031899</v>
      </c>
      <c r="K28" s="35">
        <v>27207</v>
      </c>
      <c r="L28" s="10">
        <v>33</v>
      </c>
      <c r="M28" s="10">
        <v>3188</v>
      </c>
      <c r="N28" s="10">
        <v>10003691</v>
      </c>
      <c r="O28" s="33">
        <v>196.52</v>
      </c>
      <c r="P28" s="33">
        <v>1965.34</v>
      </c>
      <c r="Q28" s="35"/>
      <c r="R28" s="30">
        <v>46087</v>
      </c>
      <c r="S28" s="10" t="s">
        <v>29</v>
      </c>
      <c r="T28" s="10" t="s">
        <v>30</v>
      </c>
      <c r="U28" s="32" t="s">
        <v>31</v>
      </c>
      <c r="V28" s="32"/>
      <c r="W28" s="10" t="s">
        <v>32</v>
      </c>
    </row>
    <row r="29" spans="1:83" s="10" customFormat="1">
      <c r="A29" s="10">
        <v>58359591768</v>
      </c>
      <c r="B29" s="10" t="s">
        <v>103</v>
      </c>
      <c r="C29" s="14" t="s">
        <v>104</v>
      </c>
      <c r="D29" s="13" t="s">
        <v>105</v>
      </c>
      <c r="E29" s="11" t="s">
        <v>106</v>
      </c>
      <c r="F29" s="10" t="s">
        <v>39</v>
      </c>
      <c r="G29" s="10" t="s">
        <v>50</v>
      </c>
      <c r="H29" s="35">
        <v>46064</v>
      </c>
      <c r="I29" s="10" t="s">
        <v>107</v>
      </c>
      <c r="J29" s="13" t="s">
        <v>108</v>
      </c>
      <c r="K29" s="30">
        <v>32969</v>
      </c>
      <c r="L29" s="10">
        <v>33</v>
      </c>
      <c r="M29" s="13">
        <v>3860</v>
      </c>
      <c r="N29" s="10">
        <v>130000511</v>
      </c>
      <c r="O29" s="34">
        <v>593.15</v>
      </c>
      <c r="P29" s="33">
        <v>5931.5</v>
      </c>
      <c r="R29" s="30">
        <v>46086</v>
      </c>
      <c r="S29" s="10" t="s">
        <v>29</v>
      </c>
      <c r="T29" s="10" t="s">
        <v>30</v>
      </c>
      <c r="U29" s="32" t="s">
        <v>31</v>
      </c>
      <c r="V29" s="32"/>
      <c r="W29" s="9" t="s">
        <v>56</v>
      </c>
    </row>
    <row r="30" spans="1:83" s="10" customFormat="1">
      <c r="A30" s="10">
        <v>52233073800</v>
      </c>
      <c r="B30" s="10" t="s">
        <v>109</v>
      </c>
      <c r="C30" s="13">
        <v>133557458</v>
      </c>
      <c r="D30" s="11">
        <v>133557458</v>
      </c>
      <c r="E30" s="10" t="s">
        <v>110</v>
      </c>
      <c r="F30" s="10" t="s">
        <v>26</v>
      </c>
      <c r="G30" s="10" t="s">
        <v>27</v>
      </c>
      <c r="H30" s="35">
        <v>46064</v>
      </c>
      <c r="I30" s="10" t="s">
        <v>109</v>
      </c>
      <c r="J30" s="10">
        <v>52233073800</v>
      </c>
      <c r="K30" s="30">
        <v>17624</v>
      </c>
      <c r="L30" s="10">
        <v>33</v>
      </c>
      <c r="M30" s="13" t="s">
        <v>111</v>
      </c>
      <c r="N30" s="13">
        <v>10602596</v>
      </c>
      <c r="O30" s="33">
        <v>273.49</v>
      </c>
      <c r="P30" s="33">
        <v>2735.1</v>
      </c>
      <c r="R30" s="30">
        <v>46044</v>
      </c>
      <c r="S30" s="10" t="s">
        <v>112</v>
      </c>
      <c r="T30" s="10" t="s">
        <v>30</v>
      </c>
      <c r="U30" s="32" t="s">
        <v>31</v>
      </c>
      <c r="V30" s="32"/>
      <c r="W30" s="10" t="s">
        <v>41</v>
      </c>
    </row>
    <row r="31" spans="1:83" s="10" customFormat="1">
      <c r="A31" s="13" t="s">
        <v>113</v>
      </c>
      <c r="B31" s="10" t="s">
        <v>114</v>
      </c>
      <c r="C31" s="13">
        <v>131491375</v>
      </c>
      <c r="D31" s="11">
        <v>131491375</v>
      </c>
      <c r="E31" s="10" t="s">
        <v>115</v>
      </c>
      <c r="F31" s="10" t="s">
        <v>26</v>
      </c>
      <c r="G31" s="10" t="s">
        <v>61</v>
      </c>
      <c r="H31" s="35">
        <v>46064</v>
      </c>
      <c r="I31" s="10" t="s">
        <v>114</v>
      </c>
      <c r="J31" s="13" t="s">
        <v>113</v>
      </c>
      <c r="K31" s="38">
        <v>29865</v>
      </c>
      <c r="L31" s="10">
        <v>33</v>
      </c>
      <c r="M31" s="13">
        <v>3462</v>
      </c>
      <c r="N31" s="10">
        <v>10834256</v>
      </c>
      <c r="O31" s="33">
        <v>2205.11</v>
      </c>
      <c r="P31" s="33">
        <v>2205.11</v>
      </c>
      <c r="R31" s="30">
        <v>45733</v>
      </c>
      <c r="S31" s="10" t="s">
        <v>29</v>
      </c>
      <c r="T31" s="10" t="s">
        <v>30</v>
      </c>
      <c r="U31" s="32" t="s">
        <v>31</v>
      </c>
      <c r="V31" s="32"/>
      <c r="W31" s="10" t="s">
        <v>68</v>
      </c>
    </row>
    <row r="32" spans="1:83" s="10" customFormat="1">
      <c r="A32" s="10">
        <v>21516639812</v>
      </c>
      <c r="B32" s="10" t="s">
        <v>116</v>
      </c>
      <c r="C32" s="13">
        <v>131475792</v>
      </c>
      <c r="D32" s="11">
        <v>131475792</v>
      </c>
      <c r="E32" s="10" t="s">
        <v>117</v>
      </c>
      <c r="F32" s="10" t="s">
        <v>39</v>
      </c>
      <c r="G32" s="10" t="s">
        <v>61</v>
      </c>
      <c r="H32" s="35">
        <v>46064</v>
      </c>
      <c r="I32" s="10" t="s">
        <v>118</v>
      </c>
      <c r="J32" s="10">
        <v>33486535846</v>
      </c>
      <c r="K32" s="35">
        <v>30943</v>
      </c>
      <c r="L32" s="10">
        <v>33</v>
      </c>
      <c r="M32" s="10">
        <v>1358</v>
      </c>
      <c r="N32" s="10">
        <v>10194631</v>
      </c>
      <c r="O32" s="33">
        <v>121.59</v>
      </c>
      <c r="P32" s="33">
        <v>1216.08</v>
      </c>
      <c r="Q32" s="30"/>
      <c r="R32" s="30">
        <v>45733</v>
      </c>
      <c r="S32" s="10" t="s">
        <v>29</v>
      </c>
      <c r="T32" s="10" t="s">
        <v>30</v>
      </c>
      <c r="U32" s="32" t="s">
        <v>31</v>
      </c>
      <c r="V32" s="32"/>
      <c r="W32" s="9" t="s">
        <v>62</v>
      </c>
    </row>
    <row r="33" spans="1:23" s="16" customFormat="1">
      <c r="A33" s="13" t="s">
        <v>119</v>
      </c>
      <c r="B33" s="10" t="s">
        <v>120</v>
      </c>
      <c r="C33" s="13">
        <v>136628305</v>
      </c>
      <c r="D33" s="10"/>
      <c r="E33" s="10" t="s">
        <v>121</v>
      </c>
      <c r="F33" s="10" t="s">
        <v>26</v>
      </c>
      <c r="G33" s="10" t="s">
        <v>27</v>
      </c>
      <c r="H33" s="35">
        <v>46064</v>
      </c>
      <c r="I33" s="10" t="s">
        <v>120</v>
      </c>
      <c r="J33" s="13" t="s">
        <v>119</v>
      </c>
      <c r="K33" s="30">
        <v>27386</v>
      </c>
      <c r="L33" s="10">
        <v>33</v>
      </c>
      <c r="M33" s="13">
        <v>1697</v>
      </c>
      <c r="N33" s="10">
        <v>10031707</v>
      </c>
      <c r="O33" s="34">
        <v>307.20999999999998</v>
      </c>
      <c r="P33" s="34">
        <v>3072.24</v>
      </c>
      <c r="Q33" s="10"/>
      <c r="R33" s="35">
        <v>46087</v>
      </c>
      <c r="S33" s="10" t="s">
        <v>29</v>
      </c>
      <c r="T33" s="10" t="s">
        <v>30</v>
      </c>
      <c r="U33" s="32" t="s">
        <v>31</v>
      </c>
      <c r="W33" s="10" t="s">
        <v>32</v>
      </c>
    </row>
    <row r="34" spans="1:23" s="16" customFormat="1">
      <c r="A34" s="10">
        <v>10005453690</v>
      </c>
      <c r="B34" s="10" t="s">
        <v>122</v>
      </c>
      <c r="C34" s="13">
        <v>132888485</v>
      </c>
      <c r="D34" s="13" t="s">
        <v>123</v>
      </c>
      <c r="E34" s="10" t="s">
        <v>124</v>
      </c>
      <c r="F34" s="10" t="s">
        <v>26</v>
      </c>
      <c r="G34" s="10" t="s">
        <v>27</v>
      </c>
      <c r="H34" s="35">
        <v>46064</v>
      </c>
      <c r="I34" s="10" t="s">
        <v>122</v>
      </c>
      <c r="J34" s="10">
        <v>10005453690</v>
      </c>
      <c r="K34" s="30">
        <v>32132</v>
      </c>
      <c r="L34" s="10">
        <v>33</v>
      </c>
      <c r="M34" s="13">
        <v>3601</v>
      </c>
      <c r="N34" s="10">
        <v>20148966</v>
      </c>
      <c r="O34" s="31">
        <v>1087.68</v>
      </c>
      <c r="P34" s="31">
        <v>10876.95</v>
      </c>
      <c r="Q34" s="10"/>
      <c r="R34" s="35">
        <v>46059</v>
      </c>
      <c r="S34" s="10" t="s">
        <v>100</v>
      </c>
      <c r="T34" s="10" t="s">
        <v>30</v>
      </c>
      <c r="U34" s="32" t="s">
        <v>31</v>
      </c>
      <c r="W34" s="10" t="s">
        <v>32</v>
      </c>
    </row>
    <row r="35" spans="1:23" s="16" customFormat="1">
      <c r="A35" s="10">
        <v>56371705091</v>
      </c>
      <c r="B35" s="10" t="s">
        <v>125</v>
      </c>
      <c r="C35" s="13">
        <v>131438717</v>
      </c>
      <c r="D35" s="10"/>
      <c r="E35" s="10" t="s">
        <v>126</v>
      </c>
      <c r="F35" s="10" t="s">
        <v>39</v>
      </c>
      <c r="G35" s="10" t="s">
        <v>61</v>
      </c>
      <c r="H35" s="35">
        <v>46064</v>
      </c>
      <c r="I35" s="10" t="s">
        <v>125</v>
      </c>
      <c r="J35" s="10">
        <v>56371705091</v>
      </c>
      <c r="K35" s="35">
        <v>25205</v>
      </c>
      <c r="L35" s="10">
        <v>33</v>
      </c>
      <c r="M35" s="10">
        <v>2124</v>
      </c>
      <c r="N35" s="10">
        <v>10184575</v>
      </c>
      <c r="O35" s="31">
        <v>424.68</v>
      </c>
      <c r="P35" s="31">
        <v>4246.8900000000003</v>
      </c>
      <c r="Q35" s="35"/>
      <c r="R35" s="30">
        <v>45998</v>
      </c>
      <c r="S35" s="10" t="s">
        <v>100</v>
      </c>
      <c r="T35" s="10" t="s">
        <v>30</v>
      </c>
      <c r="U35" s="32" t="s">
        <v>31</v>
      </c>
      <c r="W35" s="10" t="s">
        <v>127</v>
      </c>
    </row>
    <row r="36" spans="1:23" s="10" customFormat="1">
      <c r="A36" s="13" t="s">
        <v>128</v>
      </c>
      <c r="B36" s="10" t="s">
        <v>129</v>
      </c>
      <c r="C36" s="13">
        <v>131470593</v>
      </c>
      <c r="D36" s="13"/>
      <c r="E36" s="11" t="s">
        <v>130</v>
      </c>
      <c r="F36" s="10" t="s">
        <v>26</v>
      </c>
      <c r="G36" s="10" t="s">
        <v>61</v>
      </c>
      <c r="H36" s="35">
        <v>46064</v>
      </c>
      <c r="I36" s="10" t="s">
        <v>129</v>
      </c>
      <c r="J36" s="13" t="s">
        <v>128</v>
      </c>
      <c r="K36" s="30">
        <v>29069</v>
      </c>
      <c r="L36" s="10">
        <v>33</v>
      </c>
      <c r="M36" s="13">
        <v>1697</v>
      </c>
      <c r="N36" s="10">
        <v>10143389</v>
      </c>
      <c r="O36" s="34">
        <v>210.48</v>
      </c>
      <c r="P36" s="33">
        <v>2104.89</v>
      </c>
      <c r="R36" s="30">
        <v>46001</v>
      </c>
      <c r="S36" s="10" t="s">
        <v>100</v>
      </c>
      <c r="T36" s="10" t="s">
        <v>30</v>
      </c>
      <c r="U36" s="32" t="s">
        <v>31</v>
      </c>
      <c r="V36" s="16"/>
      <c r="W36" s="10" t="s">
        <v>68</v>
      </c>
    </row>
    <row r="37" spans="1:23" s="10" customFormat="1">
      <c r="A37" s="10">
        <v>24244120815</v>
      </c>
      <c r="B37" s="10" t="s">
        <v>131</v>
      </c>
      <c r="C37" s="13">
        <v>136693728</v>
      </c>
      <c r="E37" s="10" t="s">
        <v>132</v>
      </c>
      <c r="F37" s="10" t="s">
        <v>26</v>
      </c>
      <c r="G37" s="10" t="s">
        <v>27</v>
      </c>
      <c r="H37" s="35">
        <v>46064</v>
      </c>
      <c r="I37" s="10" t="s">
        <v>131</v>
      </c>
      <c r="J37" s="10">
        <v>24244120815</v>
      </c>
      <c r="K37" s="30">
        <v>18546</v>
      </c>
      <c r="L37" s="10">
        <v>33</v>
      </c>
      <c r="M37" s="13" t="s">
        <v>133</v>
      </c>
      <c r="N37" s="10">
        <v>920401153</v>
      </c>
      <c r="O37" s="31">
        <v>299.63</v>
      </c>
      <c r="P37" s="31">
        <v>2996.43</v>
      </c>
      <c r="R37" s="35">
        <v>46089</v>
      </c>
      <c r="S37" s="10" t="s">
        <v>29</v>
      </c>
      <c r="T37" s="10" t="s">
        <v>30</v>
      </c>
      <c r="U37" s="32" t="s">
        <v>31</v>
      </c>
      <c r="V37" s="16"/>
      <c r="W37" s="10" t="s">
        <v>32</v>
      </c>
    </row>
    <row r="38" spans="1:23" s="10" customFormat="1">
      <c r="A38" s="10">
        <v>20563418834</v>
      </c>
      <c r="B38" s="10" t="s">
        <v>134</v>
      </c>
      <c r="C38" s="13">
        <v>136459349</v>
      </c>
      <c r="E38" s="10" t="s">
        <v>135</v>
      </c>
      <c r="F38" s="10" t="s">
        <v>26</v>
      </c>
      <c r="G38" s="10" t="s">
        <v>27</v>
      </c>
      <c r="H38" s="35">
        <v>46058</v>
      </c>
      <c r="I38" s="10" t="s">
        <v>134</v>
      </c>
      <c r="J38" s="10">
        <v>20563418834</v>
      </c>
      <c r="K38" s="35">
        <v>16573</v>
      </c>
      <c r="L38" s="10">
        <v>33</v>
      </c>
      <c r="M38" s="10">
        <v>3925</v>
      </c>
      <c r="N38" s="10">
        <v>10002901</v>
      </c>
      <c r="O38" s="31">
        <v>579.80999999999995</v>
      </c>
      <c r="P38" s="31">
        <v>2319.2399999999998</v>
      </c>
      <c r="Q38" s="30"/>
      <c r="R38" s="35">
        <v>46078</v>
      </c>
      <c r="S38" s="10" t="s">
        <v>29</v>
      </c>
      <c r="T38" s="10" t="s">
        <v>30</v>
      </c>
      <c r="U38" s="32" t="s">
        <v>31</v>
      </c>
      <c r="V38" s="16"/>
      <c r="W38" s="10" t="s">
        <v>41</v>
      </c>
    </row>
    <row r="39" spans="1:23" s="10" customFormat="1">
      <c r="A39" s="10">
        <v>13361084873</v>
      </c>
      <c r="B39" s="10" t="s">
        <v>136</v>
      </c>
      <c r="C39" s="13">
        <v>136540476</v>
      </c>
      <c r="D39" s="13" t="s">
        <v>137</v>
      </c>
      <c r="E39" s="10" t="s">
        <v>138</v>
      </c>
      <c r="F39" s="10" t="s">
        <v>39</v>
      </c>
      <c r="G39" s="10" t="s">
        <v>27</v>
      </c>
      <c r="H39" s="35">
        <v>46065</v>
      </c>
      <c r="I39" s="10" t="s">
        <v>136</v>
      </c>
      <c r="J39" s="10">
        <v>13361084873</v>
      </c>
      <c r="K39" s="30">
        <v>25850</v>
      </c>
      <c r="L39" s="10">
        <v>33</v>
      </c>
      <c r="M39" s="13">
        <v>2985</v>
      </c>
      <c r="N39" s="10">
        <v>20954864</v>
      </c>
      <c r="O39" s="31">
        <v>284.18</v>
      </c>
      <c r="P39" s="31">
        <v>1420.94</v>
      </c>
      <c r="Q39" s="10" t="s">
        <v>137</v>
      </c>
      <c r="R39" s="10" t="s">
        <v>137</v>
      </c>
      <c r="S39" s="10" t="s">
        <v>29</v>
      </c>
      <c r="T39" s="10" t="s">
        <v>30</v>
      </c>
      <c r="U39" s="32" t="s">
        <v>31</v>
      </c>
      <c r="V39" s="16"/>
      <c r="W39" s="10" t="s">
        <v>32</v>
      </c>
    </row>
    <row r="40" spans="1:23" s="10" customFormat="1">
      <c r="A40" s="10">
        <v>70323465617</v>
      </c>
      <c r="B40" s="10" t="s">
        <v>139</v>
      </c>
      <c r="C40" s="13">
        <v>136438267</v>
      </c>
      <c r="D40" s="13" t="s">
        <v>137</v>
      </c>
      <c r="E40" s="10" t="s">
        <v>140</v>
      </c>
      <c r="F40" s="10" t="s">
        <v>39</v>
      </c>
      <c r="G40" s="10" t="s">
        <v>27</v>
      </c>
      <c r="H40" s="35">
        <v>46065</v>
      </c>
      <c r="I40" s="10" t="s">
        <v>139</v>
      </c>
      <c r="J40" s="10">
        <v>70323465617</v>
      </c>
      <c r="K40" s="30">
        <v>36404</v>
      </c>
      <c r="L40" s="10">
        <v>33</v>
      </c>
      <c r="M40" s="13">
        <v>3884</v>
      </c>
      <c r="N40" s="10">
        <v>10927488</v>
      </c>
      <c r="O40" s="31">
        <v>148.05000000000001</v>
      </c>
      <c r="P40" s="31">
        <v>1480.66</v>
      </c>
      <c r="Q40" s="10" t="s">
        <v>137</v>
      </c>
      <c r="R40" s="10" t="s">
        <v>137</v>
      </c>
      <c r="S40" s="10" t="s">
        <v>29</v>
      </c>
      <c r="T40" s="10" t="s">
        <v>30</v>
      </c>
      <c r="U40" s="32" t="s">
        <v>31</v>
      </c>
      <c r="V40" s="16"/>
      <c r="W40" s="10" t="s">
        <v>32</v>
      </c>
    </row>
    <row r="41" spans="1:23" s="10" customFormat="1">
      <c r="A41" s="13">
        <v>11495162753</v>
      </c>
      <c r="B41" s="10" t="s">
        <v>141</v>
      </c>
      <c r="C41" s="13">
        <v>136711239</v>
      </c>
      <c r="D41" s="13" t="s">
        <v>137</v>
      </c>
      <c r="E41" s="10" t="s">
        <v>142</v>
      </c>
      <c r="F41" s="10" t="s">
        <v>26</v>
      </c>
      <c r="G41" s="10" t="s">
        <v>61</v>
      </c>
      <c r="H41" s="35">
        <v>46065</v>
      </c>
      <c r="I41" s="10" t="s">
        <v>141</v>
      </c>
      <c r="J41" s="13">
        <v>11495162753</v>
      </c>
      <c r="K41" s="30">
        <v>18405</v>
      </c>
      <c r="L41" s="10">
        <v>33</v>
      </c>
      <c r="M41" s="11">
        <v>3031</v>
      </c>
      <c r="N41" s="10">
        <v>10588506</v>
      </c>
      <c r="O41" s="34">
        <v>180.73</v>
      </c>
      <c r="P41" s="34">
        <v>1807.26</v>
      </c>
      <c r="Q41" s="10" t="s">
        <v>137</v>
      </c>
      <c r="R41" s="10" t="s">
        <v>137</v>
      </c>
      <c r="S41" s="10" t="s">
        <v>29</v>
      </c>
      <c r="T41" s="10" t="s">
        <v>30</v>
      </c>
      <c r="U41" s="32" t="s">
        <v>31</v>
      </c>
      <c r="V41" s="16"/>
      <c r="W41" s="10" t="s">
        <v>68</v>
      </c>
    </row>
    <row r="42" spans="1:23" s="10" customFormat="1">
      <c r="A42" s="13" t="s">
        <v>143</v>
      </c>
      <c r="B42" s="10" t="s">
        <v>144</v>
      </c>
      <c r="C42" s="13">
        <v>136446209</v>
      </c>
      <c r="D42" s="13" t="s">
        <v>137</v>
      </c>
      <c r="E42" s="10" t="s">
        <v>145</v>
      </c>
      <c r="F42" s="10" t="s">
        <v>39</v>
      </c>
      <c r="G42" s="10" t="s">
        <v>27</v>
      </c>
      <c r="H42" s="35">
        <v>46065</v>
      </c>
      <c r="I42" s="10" t="s">
        <v>144</v>
      </c>
      <c r="J42" s="13" t="s">
        <v>143</v>
      </c>
      <c r="K42" s="30">
        <v>28573</v>
      </c>
      <c r="L42" s="10">
        <v>33</v>
      </c>
      <c r="M42" s="13">
        <v>3369</v>
      </c>
      <c r="N42" s="10">
        <v>10619596</v>
      </c>
      <c r="O42" s="34">
        <v>272.14</v>
      </c>
      <c r="P42" s="34">
        <v>2721.57</v>
      </c>
      <c r="Q42" s="10" t="s">
        <v>137</v>
      </c>
      <c r="R42" s="10" t="s">
        <v>137</v>
      </c>
      <c r="S42" s="10" t="s">
        <v>29</v>
      </c>
      <c r="T42" s="10" t="s">
        <v>30</v>
      </c>
      <c r="U42" s="32" t="s">
        <v>31</v>
      </c>
      <c r="V42" s="16"/>
      <c r="W42" s="10" t="s">
        <v>32</v>
      </c>
    </row>
    <row r="43" spans="1:23" s="10" customFormat="1" ht="15.75">
      <c r="A43" s="13" t="s">
        <v>146</v>
      </c>
      <c r="B43" s="10" t="s">
        <v>147</v>
      </c>
      <c r="C43" s="17">
        <v>136550848</v>
      </c>
      <c r="D43" s="13" t="s">
        <v>148</v>
      </c>
      <c r="E43" s="10" t="s">
        <v>149</v>
      </c>
      <c r="F43" s="10" t="s">
        <v>39</v>
      </c>
      <c r="G43" s="10" t="s">
        <v>50</v>
      </c>
      <c r="H43" s="35">
        <v>46065</v>
      </c>
      <c r="I43" s="10" t="s">
        <v>147</v>
      </c>
      <c r="J43" s="13" t="s">
        <v>146</v>
      </c>
      <c r="K43" s="30">
        <v>25704</v>
      </c>
      <c r="L43" s="10">
        <v>33</v>
      </c>
      <c r="M43" s="13">
        <v>2351</v>
      </c>
      <c r="N43" s="10">
        <v>10008934</v>
      </c>
      <c r="O43" s="31">
        <v>506.11</v>
      </c>
      <c r="P43" s="31">
        <v>5061.1000000000004</v>
      </c>
      <c r="Q43" s="10" t="s">
        <v>137</v>
      </c>
      <c r="R43" s="10" t="s">
        <v>137</v>
      </c>
      <c r="S43" s="10" t="s">
        <v>29</v>
      </c>
      <c r="T43" s="10" t="s">
        <v>30</v>
      </c>
      <c r="U43" s="32" t="s">
        <v>31</v>
      </c>
      <c r="V43" s="16"/>
      <c r="W43" s="9" t="s">
        <v>56</v>
      </c>
    </row>
    <row r="44" spans="1:23" s="10" customFormat="1">
      <c r="A44" s="10">
        <v>99001004334</v>
      </c>
      <c r="B44" s="10" t="s">
        <v>150</v>
      </c>
      <c r="C44" s="13">
        <v>131574180</v>
      </c>
      <c r="D44" s="13" t="s">
        <v>137</v>
      </c>
      <c r="E44" s="10" t="s">
        <v>151</v>
      </c>
      <c r="F44" s="10" t="s">
        <v>39</v>
      </c>
      <c r="G44" s="10" t="s">
        <v>61</v>
      </c>
      <c r="H44" s="35">
        <v>46065</v>
      </c>
      <c r="I44" s="10" t="s">
        <v>150</v>
      </c>
      <c r="J44" s="10">
        <v>99001004334</v>
      </c>
      <c r="K44" s="35">
        <v>30156</v>
      </c>
      <c r="L44" s="10">
        <v>33</v>
      </c>
      <c r="M44" s="13">
        <v>3132</v>
      </c>
      <c r="N44" s="10">
        <v>10522137</v>
      </c>
      <c r="O44" s="31">
        <v>249.1</v>
      </c>
      <c r="P44" s="31">
        <v>1245.55</v>
      </c>
      <c r="Q44" s="10" t="s">
        <v>137</v>
      </c>
      <c r="R44" s="10" t="s">
        <v>137</v>
      </c>
      <c r="S44" s="10" t="s">
        <v>29</v>
      </c>
      <c r="T44" s="10" t="s">
        <v>30</v>
      </c>
      <c r="U44" s="32" t="s">
        <v>31</v>
      </c>
      <c r="V44" s="16"/>
      <c r="W44" s="9" t="s">
        <v>62</v>
      </c>
    </row>
    <row r="45" spans="1:23" s="10" customFormat="1">
      <c r="A45" s="10">
        <v>13308122472</v>
      </c>
      <c r="B45" s="10" t="s">
        <v>152</v>
      </c>
      <c r="C45" s="13">
        <v>131668194</v>
      </c>
      <c r="D45" s="13" t="s">
        <v>137</v>
      </c>
      <c r="E45" s="10" t="s">
        <v>153</v>
      </c>
      <c r="F45" s="10" t="s">
        <v>39</v>
      </c>
      <c r="G45" s="10" t="s">
        <v>61</v>
      </c>
      <c r="H45" s="35">
        <v>46065</v>
      </c>
      <c r="I45" s="10" t="s">
        <v>152</v>
      </c>
      <c r="J45" s="10">
        <v>13308122472</v>
      </c>
      <c r="K45" s="30" t="s">
        <v>154</v>
      </c>
      <c r="L45" s="10">
        <v>33</v>
      </c>
      <c r="M45" s="13">
        <v>4344</v>
      </c>
      <c r="N45" s="10">
        <v>10007007</v>
      </c>
      <c r="O45" s="31">
        <v>121.95</v>
      </c>
      <c r="P45" s="31">
        <v>1219.5</v>
      </c>
      <c r="Q45" s="10" t="s">
        <v>137</v>
      </c>
      <c r="R45" s="10" t="s">
        <v>137</v>
      </c>
      <c r="S45" s="10" t="s">
        <v>29</v>
      </c>
      <c r="T45" s="10" t="s">
        <v>30</v>
      </c>
      <c r="U45" s="32" t="s">
        <v>31</v>
      </c>
      <c r="V45" s="16"/>
      <c r="W45" s="9" t="s">
        <v>62</v>
      </c>
    </row>
    <row r="46" spans="1:23" s="10" customFormat="1">
      <c r="A46" s="10">
        <v>98108662834</v>
      </c>
      <c r="B46" s="10" t="s">
        <v>155</v>
      </c>
      <c r="C46" s="13">
        <v>136378484</v>
      </c>
      <c r="D46" s="13" t="s">
        <v>137</v>
      </c>
      <c r="E46" s="10" t="s">
        <v>156</v>
      </c>
      <c r="F46" s="10" t="s">
        <v>26</v>
      </c>
      <c r="G46" s="10" t="s">
        <v>27</v>
      </c>
      <c r="H46" s="35">
        <v>46065</v>
      </c>
      <c r="I46" s="10" t="s">
        <v>155</v>
      </c>
      <c r="J46" s="10">
        <v>98108662834</v>
      </c>
      <c r="K46" s="30">
        <v>19863</v>
      </c>
      <c r="L46" s="10">
        <v>33</v>
      </c>
      <c r="M46" s="13" t="s">
        <v>157</v>
      </c>
      <c r="N46" s="10">
        <v>10202824</v>
      </c>
      <c r="O46" s="31">
        <v>3418.89</v>
      </c>
      <c r="P46" s="31">
        <v>3418.89</v>
      </c>
      <c r="Q46" s="10" t="s">
        <v>137</v>
      </c>
      <c r="R46" s="35">
        <v>46071</v>
      </c>
      <c r="S46" s="10" t="s">
        <v>46</v>
      </c>
      <c r="T46" s="10" t="s">
        <v>30</v>
      </c>
      <c r="U46" s="32" t="s">
        <v>31</v>
      </c>
      <c r="V46" s="16"/>
      <c r="W46" s="10" t="s">
        <v>32</v>
      </c>
    </row>
    <row r="47" spans="1:23" s="10" customFormat="1">
      <c r="A47" s="13">
        <v>44655100478</v>
      </c>
      <c r="B47" s="10" t="s">
        <v>158</v>
      </c>
      <c r="C47" s="13">
        <v>136409998</v>
      </c>
      <c r="D47" s="13" t="s">
        <v>137</v>
      </c>
      <c r="E47" s="10" t="s">
        <v>159</v>
      </c>
      <c r="F47" s="10" t="s">
        <v>26</v>
      </c>
      <c r="G47" s="10" t="s">
        <v>27</v>
      </c>
      <c r="H47" s="35">
        <v>46065</v>
      </c>
      <c r="I47" s="10" t="s">
        <v>160</v>
      </c>
      <c r="J47" s="13" t="s">
        <v>161</v>
      </c>
      <c r="K47" s="30">
        <v>23409</v>
      </c>
      <c r="L47" s="10">
        <v>33</v>
      </c>
      <c r="M47" s="11">
        <v>3100</v>
      </c>
      <c r="N47" s="10">
        <v>20005179</v>
      </c>
      <c r="O47" s="34">
        <v>1755.21</v>
      </c>
      <c r="P47" s="34">
        <v>1755.21</v>
      </c>
      <c r="Q47" s="10" t="s">
        <v>137</v>
      </c>
      <c r="R47" s="10" t="s">
        <v>137</v>
      </c>
      <c r="S47" s="10" t="s">
        <v>29</v>
      </c>
      <c r="T47" s="10" t="s">
        <v>30</v>
      </c>
      <c r="U47" s="32" t="s">
        <v>31</v>
      </c>
      <c r="V47" s="16"/>
      <c r="W47" s="10" t="s">
        <v>32</v>
      </c>
    </row>
    <row r="48" spans="1:23" s="10" customFormat="1">
      <c r="A48" s="10">
        <v>11276342837</v>
      </c>
      <c r="B48" s="10" t="s">
        <v>162</v>
      </c>
      <c r="C48" s="13">
        <v>136460099</v>
      </c>
      <c r="D48" s="13" t="s">
        <v>137</v>
      </c>
      <c r="E48" s="10" t="s">
        <v>163</v>
      </c>
      <c r="F48" s="10" t="s">
        <v>39</v>
      </c>
      <c r="G48" s="10" t="s">
        <v>27</v>
      </c>
      <c r="H48" s="35">
        <v>46065</v>
      </c>
      <c r="I48" s="10" t="s">
        <v>162</v>
      </c>
      <c r="J48" s="10">
        <v>11276342837</v>
      </c>
      <c r="K48" s="35" t="s">
        <v>164</v>
      </c>
      <c r="L48" s="10">
        <v>33</v>
      </c>
      <c r="M48" s="10">
        <v>4651</v>
      </c>
      <c r="N48" s="10">
        <v>10001031</v>
      </c>
      <c r="O48" s="31">
        <v>134.22</v>
      </c>
      <c r="P48" s="31">
        <v>1342.35</v>
      </c>
      <c r="Q48" s="10" t="s">
        <v>137</v>
      </c>
      <c r="R48" s="10" t="s">
        <v>137</v>
      </c>
      <c r="S48" s="10" t="s">
        <v>29</v>
      </c>
      <c r="T48" s="10" t="s">
        <v>30</v>
      </c>
      <c r="U48" s="32" t="s">
        <v>31</v>
      </c>
      <c r="V48" s="16"/>
      <c r="W48" s="10" t="s">
        <v>32</v>
      </c>
    </row>
    <row r="49" spans="1:23" s="10" customFormat="1">
      <c r="A49" s="10">
        <v>39961471806</v>
      </c>
      <c r="B49" s="10" t="s">
        <v>165</v>
      </c>
      <c r="C49" s="13">
        <v>136580198</v>
      </c>
      <c r="D49" s="13" t="s">
        <v>137</v>
      </c>
      <c r="E49" s="10" t="s">
        <v>166</v>
      </c>
      <c r="F49" s="10" t="s">
        <v>26</v>
      </c>
      <c r="G49" s="10" t="s">
        <v>27</v>
      </c>
      <c r="H49" s="35">
        <v>46065</v>
      </c>
      <c r="I49" s="10" t="s">
        <v>165</v>
      </c>
      <c r="J49" s="10">
        <v>39961471806</v>
      </c>
      <c r="K49" s="10" t="s">
        <v>167</v>
      </c>
      <c r="L49" s="10">
        <v>33</v>
      </c>
      <c r="M49" s="10">
        <v>3432</v>
      </c>
      <c r="N49" s="10">
        <v>20033732</v>
      </c>
      <c r="O49" s="31">
        <v>268.58999999999997</v>
      </c>
      <c r="P49" s="31">
        <v>1611.59</v>
      </c>
      <c r="Q49" s="10" t="s">
        <v>137</v>
      </c>
      <c r="R49" s="10" t="s">
        <v>137</v>
      </c>
      <c r="S49" s="10" t="s">
        <v>29</v>
      </c>
      <c r="T49" s="10" t="s">
        <v>30</v>
      </c>
      <c r="U49" s="32" t="s">
        <v>31</v>
      </c>
      <c r="V49" s="16"/>
      <c r="W49" s="10" t="s">
        <v>32</v>
      </c>
    </row>
    <row r="50" spans="1:23" s="10" customFormat="1">
      <c r="A50" s="12" t="s">
        <v>168</v>
      </c>
      <c r="B50" s="15" t="s">
        <v>169</v>
      </c>
      <c r="C50" s="15">
        <v>135588762</v>
      </c>
      <c r="D50" s="12" t="s">
        <v>137</v>
      </c>
      <c r="E50" s="22" t="s">
        <v>170</v>
      </c>
      <c r="F50" s="16" t="s">
        <v>171</v>
      </c>
      <c r="G50" s="16" t="s">
        <v>27</v>
      </c>
      <c r="H50" s="35">
        <v>46063</v>
      </c>
      <c r="I50" s="16" t="s">
        <v>169</v>
      </c>
      <c r="J50" s="12" t="s">
        <v>168</v>
      </c>
      <c r="K50" s="39">
        <v>30444</v>
      </c>
      <c r="L50" s="15">
        <v>33</v>
      </c>
      <c r="M50" s="22" t="s">
        <v>172</v>
      </c>
      <c r="N50" s="15" t="s">
        <v>173</v>
      </c>
      <c r="O50" s="40">
        <v>407.09</v>
      </c>
      <c r="P50" s="41">
        <v>4071.05</v>
      </c>
      <c r="Q50" s="29" t="s">
        <v>137</v>
      </c>
      <c r="R50" s="42" t="s">
        <v>174</v>
      </c>
      <c r="S50" s="16" t="s">
        <v>29</v>
      </c>
      <c r="T50" s="16" t="s">
        <v>30</v>
      </c>
      <c r="U50" s="16" t="s">
        <v>175</v>
      </c>
      <c r="V50" s="16" t="s">
        <v>176</v>
      </c>
      <c r="W50" s="10" t="s">
        <v>32</v>
      </c>
    </row>
    <row r="51" spans="1:23" s="10" customFormat="1">
      <c r="A51" s="12" t="s">
        <v>177</v>
      </c>
      <c r="B51" s="16" t="s">
        <v>178</v>
      </c>
      <c r="C51" s="15">
        <v>136400361</v>
      </c>
      <c r="D51" s="16" t="s">
        <v>137</v>
      </c>
      <c r="E51" s="15" t="s">
        <v>179</v>
      </c>
      <c r="F51" s="16" t="s">
        <v>171</v>
      </c>
      <c r="G51" s="16" t="s">
        <v>27</v>
      </c>
      <c r="H51" s="35">
        <v>46064</v>
      </c>
      <c r="I51" s="16" t="s">
        <v>178</v>
      </c>
      <c r="J51" s="15" t="s">
        <v>177</v>
      </c>
      <c r="K51" s="43">
        <v>32412</v>
      </c>
      <c r="L51" s="16">
        <v>33</v>
      </c>
      <c r="M51" s="15" t="s">
        <v>180</v>
      </c>
      <c r="N51" s="15" t="s">
        <v>181</v>
      </c>
      <c r="O51" s="40">
        <v>484.07</v>
      </c>
      <c r="P51" s="40">
        <v>1936.3</v>
      </c>
      <c r="Q51" s="43">
        <v>46065</v>
      </c>
      <c r="R51" s="43">
        <v>46073</v>
      </c>
      <c r="S51" s="16" t="s">
        <v>46</v>
      </c>
      <c r="T51" s="16" t="s">
        <v>30</v>
      </c>
      <c r="U51" s="16" t="s">
        <v>182</v>
      </c>
      <c r="V51" s="16" t="s">
        <v>176</v>
      </c>
      <c r="W51" s="10" t="s">
        <v>41</v>
      </c>
    </row>
    <row r="52" spans="1:23" s="10" customFormat="1">
      <c r="A52" s="12" t="s">
        <v>183</v>
      </c>
      <c r="B52" s="16" t="s">
        <v>184</v>
      </c>
      <c r="C52" s="15">
        <v>136652517</v>
      </c>
      <c r="D52" s="15" t="s">
        <v>137</v>
      </c>
      <c r="E52" s="15" t="s">
        <v>185</v>
      </c>
      <c r="F52" s="16" t="s">
        <v>39</v>
      </c>
      <c r="G52" s="16" t="s">
        <v>27</v>
      </c>
      <c r="H52" s="35">
        <v>46064</v>
      </c>
      <c r="I52" s="16" t="s">
        <v>184</v>
      </c>
      <c r="J52" s="15" t="s">
        <v>183</v>
      </c>
      <c r="K52" s="43">
        <v>33088</v>
      </c>
      <c r="L52" s="16">
        <v>33</v>
      </c>
      <c r="M52" s="15" t="s">
        <v>186</v>
      </c>
      <c r="N52" s="15" t="s">
        <v>187</v>
      </c>
      <c r="O52" s="40">
        <v>175.14</v>
      </c>
      <c r="P52" s="40">
        <v>1751.66</v>
      </c>
      <c r="Q52" s="43" t="s">
        <v>137</v>
      </c>
      <c r="R52" s="43">
        <v>46087</v>
      </c>
      <c r="S52" s="16" t="s">
        <v>29</v>
      </c>
      <c r="T52" s="16" t="s">
        <v>30</v>
      </c>
      <c r="U52" s="16" t="s">
        <v>182</v>
      </c>
      <c r="V52" s="16" t="s">
        <v>176</v>
      </c>
      <c r="W52" s="10" t="s">
        <v>32</v>
      </c>
    </row>
    <row r="53" spans="1:23" s="10" customFormat="1">
      <c r="A53" s="12">
        <v>35779080178</v>
      </c>
      <c r="B53" s="16" t="s">
        <v>188</v>
      </c>
      <c r="C53" s="15">
        <v>136558522</v>
      </c>
      <c r="D53" s="16" t="s">
        <v>137</v>
      </c>
      <c r="E53" s="15" t="s">
        <v>189</v>
      </c>
      <c r="F53" s="16" t="s">
        <v>26</v>
      </c>
      <c r="G53" s="16" t="s">
        <v>27</v>
      </c>
      <c r="H53" s="35">
        <v>46065</v>
      </c>
      <c r="I53" s="16" t="s">
        <v>188</v>
      </c>
      <c r="J53" s="16">
        <v>35779080178</v>
      </c>
      <c r="K53" s="43">
        <v>24147</v>
      </c>
      <c r="L53" s="16">
        <v>33</v>
      </c>
      <c r="M53" s="16">
        <v>3564</v>
      </c>
      <c r="N53" s="15" t="s">
        <v>190</v>
      </c>
      <c r="O53" s="40" t="s">
        <v>191</v>
      </c>
      <c r="P53" s="40" t="s">
        <v>192</v>
      </c>
      <c r="Q53" s="43">
        <v>46064</v>
      </c>
      <c r="R53" s="43">
        <v>46071</v>
      </c>
      <c r="S53" s="16" t="s">
        <v>46</v>
      </c>
      <c r="T53" s="16" t="s">
        <v>30</v>
      </c>
      <c r="U53" s="16" t="s">
        <v>175</v>
      </c>
      <c r="V53" s="16" t="s">
        <v>176</v>
      </c>
      <c r="W53" s="10" t="s">
        <v>32</v>
      </c>
    </row>
    <row r="54" spans="1:23" s="10" customFormat="1">
      <c r="A54" s="12">
        <v>6254197405</v>
      </c>
      <c r="B54" s="16" t="s">
        <v>193</v>
      </c>
      <c r="C54" s="15">
        <v>136677717</v>
      </c>
      <c r="D54" s="16" t="s">
        <v>137</v>
      </c>
      <c r="E54" s="15" t="s">
        <v>194</v>
      </c>
      <c r="F54" s="16" t="s">
        <v>171</v>
      </c>
      <c r="G54" s="16" t="s">
        <v>27</v>
      </c>
      <c r="H54" s="35">
        <v>46065</v>
      </c>
      <c r="I54" s="16" t="s">
        <v>193</v>
      </c>
      <c r="J54" s="16">
        <v>6254197405</v>
      </c>
      <c r="K54" s="43">
        <v>30812</v>
      </c>
      <c r="L54" s="16">
        <v>33</v>
      </c>
      <c r="M54" s="16">
        <v>4017</v>
      </c>
      <c r="N54" s="15" t="s">
        <v>195</v>
      </c>
      <c r="O54" s="40" t="s">
        <v>196</v>
      </c>
      <c r="P54" s="40" t="s">
        <v>197</v>
      </c>
      <c r="Q54" s="16" t="s">
        <v>137</v>
      </c>
      <c r="R54" s="43">
        <v>46076</v>
      </c>
      <c r="S54" s="16" t="s">
        <v>29</v>
      </c>
      <c r="T54" s="16" t="s">
        <v>30</v>
      </c>
      <c r="U54" s="16" t="s">
        <v>175</v>
      </c>
      <c r="V54" s="16" t="s">
        <v>176</v>
      </c>
      <c r="W54" s="10" t="s">
        <v>32</v>
      </c>
    </row>
    <row r="55" spans="1:23" s="10" customFormat="1">
      <c r="A55" s="12">
        <v>23382694387</v>
      </c>
      <c r="B55" s="16" t="s">
        <v>198</v>
      </c>
      <c r="C55" s="15">
        <v>136460019</v>
      </c>
      <c r="D55" s="16" t="s">
        <v>137</v>
      </c>
      <c r="E55" s="15" t="s">
        <v>199</v>
      </c>
      <c r="F55" s="16" t="s">
        <v>171</v>
      </c>
      <c r="G55" s="16" t="s">
        <v>27</v>
      </c>
      <c r="H55" s="35">
        <v>46065</v>
      </c>
      <c r="I55" s="16" t="s">
        <v>198</v>
      </c>
      <c r="J55" s="16">
        <v>23382694387</v>
      </c>
      <c r="K55" s="43">
        <v>23026</v>
      </c>
      <c r="L55" s="16">
        <v>33</v>
      </c>
      <c r="M55" s="16">
        <v>4389</v>
      </c>
      <c r="N55" s="15" t="s">
        <v>200</v>
      </c>
      <c r="O55" s="40" t="s">
        <v>201</v>
      </c>
      <c r="P55" s="40" t="s">
        <v>202</v>
      </c>
      <c r="Q55" s="16" t="s">
        <v>137</v>
      </c>
      <c r="R55" s="43">
        <v>46077</v>
      </c>
      <c r="S55" s="16" t="s">
        <v>29</v>
      </c>
      <c r="T55" s="16" t="s">
        <v>30</v>
      </c>
      <c r="U55" s="16" t="s">
        <v>175</v>
      </c>
      <c r="V55" s="16" t="s">
        <v>176</v>
      </c>
      <c r="W55" s="10" t="s">
        <v>32</v>
      </c>
    </row>
    <row r="56" spans="1:23" s="60" customFormat="1">
      <c r="A56" s="54">
        <v>64585280510</v>
      </c>
      <c r="B56" s="55" t="s">
        <v>203</v>
      </c>
      <c r="C56" s="56" t="s">
        <v>204</v>
      </c>
      <c r="D56" s="55" t="s">
        <v>137</v>
      </c>
      <c r="E56" s="56" t="s">
        <v>205</v>
      </c>
      <c r="F56" s="55" t="s">
        <v>171</v>
      </c>
      <c r="G56" s="55" t="s">
        <v>27</v>
      </c>
      <c r="H56" s="57">
        <v>46064</v>
      </c>
      <c r="I56" s="55" t="s">
        <v>203</v>
      </c>
      <c r="J56" s="55">
        <v>64585280510</v>
      </c>
      <c r="K56" s="58">
        <v>26100</v>
      </c>
      <c r="L56" s="55">
        <v>33</v>
      </c>
      <c r="M56" s="55">
        <v>1982</v>
      </c>
      <c r="N56" s="56" t="s">
        <v>206</v>
      </c>
      <c r="O56" s="59">
        <v>239.27</v>
      </c>
      <c r="P56" s="59">
        <v>2392.89</v>
      </c>
      <c r="Q56" s="55" t="s">
        <v>137</v>
      </c>
      <c r="R56" s="58" t="s">
        <v>137</v>
      </c>
      <c r="S56" s="55" t="s">
        <v>29</v>
      </c>
      <c r="T56" s="55" t="s">
        <v>30</v>
      </c>
      <c r="U56" s="55" t="s">
        <v>182</v>
      </c>
      <c r="V56" s="55" t="s">
        <v>176</v>
      </c>
      <c r="W56" s="60" t="s">
        <v>207</v>
      </c>
    </row>
    <row r="57" spans="1:23" s="10" customFormat="1">
      <c r="A57" s="9">
        <v>79672361904</v>
      </c>
      <c r="B57" s="16" t="s">
        <v>208</v>
      </c>
      <c r="C57" s="15" t="s">
        <v>209</v>
      </c>
      <c r="D57" s="16" t="s">
        <v>137</v>
      </c>
      <c r="E57" s="15" t="s">
        <v>210</v>
      </c>
      <c r="F57" s="16" t="s">
        <v>171</v>
      </c>
      <c r="G57" s="16" t="s">
        <v>27</v>
      </c>
      <c r="H57" s="35">
        <v>46064</v>
      </c>
      <c r="I57" s="16" t="s">
        <v>208</v>
      </c>
      <c r="J57" s="16">
        <v>79672361904</v>
      </c>
      <c r="K57" s="43">
        <v>26006</v>
      </c>
      <c r="L57" s="16">
        <v>33</v>
      </c>
      <c r="M57" s="16">
        <v>4191</v>
      </c>
      <c r="N57" s="15" t="s">
        <v>211</v>
      </c>
      <c r="O57" s="41">
        <v>256.33999999999997</v>
      </c>
      <c r="P57" s="41">
        <v>2563.58</v>
      </c>
      <c r="Q57" s="43" t="s">
        <v>137</v>
      </c>
      <c r="R57" s="43" t="s">
        <v>137</v>
      </c>
      <c r="S57" s="16" t="s">
        <v>29</v>
      </c>
      <c r="T57" s="16" t="s">
        <v>30</v>
      </c>
      <c r="U57" s="16" t="s">
        <v>182</v>
      </c>
      <c r="V57" s="16" t="s">
        <v>212</v>
      </c>
      <c r="W57" s="10" t="s">
        <v>207</v>
      </c>
    </row>
    <row r="58" spans="1:23" s="10" customFormat="1">
      <c r="A58" s="9">
        <v>20053333870</v>
      </c>
      <c r="B58" s="16" t="s">
        <v>213</v>
      </c>
      <c r="C58" s="44" t="s">
        <v>214</v>
      </c>
      <c r="D58" s="16">
        <v>3450241806</v>
      </c>
      <c r="E58" s="16" t="s">
        <v>215</v>
      </c>
      <c r="F58" s="16" t="s">
        <v>26</v>
      </c>
      <c r="G58" s="16" t="s">
        <v>50</v>
      </c>
      <c r="H58" s="35">
        <v>46062</v>
      </c>
      <c r="I58" s="16" t="s">
        <v>213</v>
      </c>
      <c r="J58" s="9">
        <v>20053333870</v>
      </c>
      <c r="K58" s="43">
        <v>27013</v>
      </c>
      <c r="L58" s="16">
        <v>33</v>
      </c>
      <c r="M58" s="16">
        <v>4442</v>
      </c>
      <c r="N58" s="16" t="s">
        <v>216</v>
      </c>
      <c r="O58" s="41">
        <v>107.53</v>
      </c>
      <c r="P58" s="41">
        <v>1075.3</v>
      </c>
      <c r="Q58" s="43" t="s">
        <v>137</v>
      </c>
      <c r="R58" s="43" t="s">
        <v>137</v>
      </c>
      <c r="S58" s="16" t="s">
        <v>29</v>
      </c>
      <c r="T58" s="16" t="s">
        <v>30</v>
      </c>
      <c r="U58" s="16" t="s">
        <v>182</v>
      </c>
      <c r="V58" s="16" t="s">
        <v>176</v>
      </c>
      <c r="W58" s="9" t="s">
        <v>56</v>
      </c>
    </row>
    <row r="59" spans="1:23" s="10" customFormat="1">
      <c r="A59" s="54">
        <v>33406160867</v>
      </c>
      <c r="B59" s="61" t="s">
        <v>217</v>
      </c>
      <c r="C59" s="62" t="s">
        <v>218</v>
      </c>
      <c r="D59" s="63" t="s">
        <v>137</v>
      </c>
      <c r="E59" s="63" t="s">
        <v>189</v>
      </c>
      <c r="F59" s="55" t="s">
        <v>171</v>
      </c>
      <c r="G59" s="55" t="s">
        <v>27</v>
      </c>
      <c r="H59" s="57">
        <v>46062</v>
      </c>
      <c r="I59" s="63" t="s">
        <v>217</v>
      </c>
      <c r="J59" s="63">
        <v>33406160867</v>
      </c>
      <c r="K59" s="64">
        <v>33814</v>
      </c>
      <c r="L59" s="63">
        <v>33</v>
      </c>
      <c r="M59" s="63">
        <v>1229</v>
      </c>
      <c r="N59" s="54" t="s">
        <v>219</v>
      </c>
      <c r="O59" s="65">
        <v>152.80000000000001</v>
      </c>
      <c r="P59" s="65">
        <v>1528.12</v>
      </c>
      <c r="Q59" s="64" t="s">
        <v>137</v>
      </c>
      <c r="R59" s="64" t="s">
        <v>137</v>
      </c>
      <c r="S59" s="55" t="s">
        <v>29</v>
      </c>
      <c r="T59" s="55" t="s">
        <v>30</v>
      </c>
      <c r="U59" s="63" t="s">
        <v>182</v>
      </c>
      <c r="V59" s="55" t="s">
        <v>212</v>
      </c>
      <c r="W59" s="60" t="s">
        <v>207</v>
      </c>
    </row>
    <row r="60" spans="1:23">
      <c r="A60" s="54">
        <v>55402429804</v>
      </c>
      <c r="B60" s="63" t="s">
        <v>220</v>
      </c>
      <c r="C60" s="62" t="s">
        <v>221</v>
      </c>
      <c r="D60" s="63" t="s">
        <v>137</v>
      </c>
      <c r="E60" s="63" t="s">
        <v>222</v>
      </c>
      <c r="F60" s="55" t="s">
        <v>171</v>
      </c>
      <c r="G60" s="55" t="s">
        <v>27</v>
      </c>
      <c r="H60" s="57">
        <v>46064</v>
      </c>
      <c r="I60" s="63" t="s">
        <v>220</v>
      </c>
      <c r="J60" s="54">
        <v>55402429804</v>
      </c>
      <c r="K60" s="64">
        <v>17792</v>
      </c>
      <c r="L60" s="63">
        <v>33</v>
      </c>
      <c r="M60" s="63">
        <v>19</v>
      </c>
      <c r="N60" s="63" t="s">
        <v>223</v>
      </c>
      <c r="O60" s="66">
        <v>106.15</v>
      </c>
      <c r="P60" s="66">
        <v>1061.71</v>
      </c>
      <c r="Q60" s="64" t="s">
        <v>137</v>
      </c>
      <c r="R60" s="64" t="s">
        <v>137</v>
      </c>
      <c r="S60" s="55" t="s">
        <v>29</v>
      </c>
      <c r="T60" s="55" t="s">
        <v>30</v>
      </c>
      <c r="U60" s="63" t="s">
        <v>175</v>
      </c>
      <c r="V60" s="55" t="s">
        <v>212</v>
      </c>
      <c r="W60" s="60" t="s">
        <v>207</v>
      </c>
    </row>
    <row r="61" spans="1:23">
      <c r="A61" s="54">
        <v>13052897730</v>
      </c>
      <c r="B61" s="63" t="s">
        <v>224</v>
      </c>
      <c r="C61" s="67" t="s">
        <v>225</v>
      </c>
      <c r="D61" s="63" t="s">
        <v>137</v>
      </c>
      <c r="E61" s="63" t="s">
        <v>189</v>
      </c>
      <c r="F61" s="55" t="s">
        <v>39</v>
      </c>
      <c r="G61" s="55" t="s">
        <v>27</v>
      </c>
      <c r="H61" s="57">
        <v>46064</v>
      </c>
      <c r="I61" s="63" t="s">
        <v>224</v>
      </c>
      <c r="J61" s="54">
        <v>13052897730</v>
      </c>
      <c r="K61" s="64" t="s">
        <v>226</v>
      </c>
      <c r="L61" s="61">
        <v>33</v>
      </c>
      <c r="M61" s="63">
        <v>2987</v>
      </c>
      <c r="N61" s="63" t="s">
        <v>227</v>
      </c>
      <c r="O61" s="66">
        <v>577.74</v>
      </c>
      <c r="P61" s="68">
        <v>5777.59</v>
      </c>
      <c r="Q61" s="64">
        <v>46065</v>
      </c>
      <c r="R61" s="64">
        <v>46072</v>
      </c>
      <c r="S61" s="55" t="s">
        <v>46</v>
      </c>
      <c r="T61" s="55" t="s">
        <v>30</v>
      </c>
      <c r="U61" s="63" t="s">
        <v>175</v>
      </c>
      <c r="V61" s="55" t="s">
        <v>176</v>
      </c>
      <c r="W61" s="60" t="s">
        <v>207</v>
      </c>
    </row>
    <row r="62" spans="1:23">
      <c r="A62" s="69">
        <v>1736359118</v>
      </c>
      <c r="B62" s="56" t="s">
        <v>228</v>
      </c>
      <c r="C62" s="69" t="s">
        <v>229</v>
      </c>
      <c r="D62" s="69" t="s">
        <v>137</v>
      </c>
      <c r="E62" s="69" t="s">
        <v>230</v>
      </c>
      <c r="F62" s="55" t="s">
        <v>39</v>
      </c>
      <c r="G62" s="55" t="s">
        <v>27</v>
      </c>
      <c r="H62" s="57">
        <v>46065</v>
      </c>
      <c r="I62" s="55" t="s">
        <v>228</v>
      </c>
      <c r="J62" s="69">
        <v>1736359118</v>
      </c>
      <c r="K62" s="58">
        <v>32178</v>
      </c>
      <c r="L62" s="69">
        <v>33</v>
      </c>
      <c r="M62" s="69">
        <v>2349</v>
      </c>
      <c r="N62" s="69" t="s">
        <v>231</v>
      </c>
      <c r="O62" s="70">
        <v>357.63</v>
      </c>
      <c r="P62" s="70">
        <v>3576.4</v>
      </c>
      <c r="Q62" s="58" t="s">
        <v>137</v>
      </c>
      <c r="R62" s="58" t="s">
        <v>137</v>
      </c>
      <c r="S62" s="55" t="s">
        <v>29</v>
      </c>
      <c r="T62" s="55" t="s">
        <v>30</v>
      </c>
      <c r="U62" s="55" t="s">
        <v>175</v>
      </c>
      <c r="V62" s="55" t="s">
        <v>176</v>
      </c>
      <c r="W62" s="60" t="s">
        <v>207</v>
      </c>
    </row>
    <row r="63" spans="1:23">
      <c r="A63" s="12"/>
      <c r="B63" s="16"/>
      <c r="C63" s="15"/>
      <c r="D63" s="16"/>
      <c r="E63" s="15"/>
      <c r="F63" s="16"/>
      <c r="G63" s="16"/>
      <c r="H63" s="35"/>
      <c r="I63" s="16"/>
      <c r="J63" s="16"/>
      <c r="K63" s="43"/>
      <c r="L63" s="16"/>
      <c r="M63" s="16"/>
      <c r="N63" s="15"/>
      <c r="O63" s="40"/>
      <c r="P63" s="40"/>
      <c r="Q63" s="16"/>
      <c r="R63" s="43"/>
      <c r="S63" s="16"/>
      <c r="T63" s="16"/>
      <c r="U63" s="16"/>
      <c r="V63" s="16"/>
      <c r="W63" s="15"/>
    </row>
    <row r="64" spans="1:23">
      <c r="A64" s="12"/>
      <c r="B64" s="16"/>
      <c r="C64" s="15"/>
      <c r="D64" s="16"/>
      <c r="E64" s="15"/>
      <c r="F64" s="16"/>
      <c r="G64" s="16"/>
      <c r="H64" s="35"/>
      <c r="I64" s="16"/>
      <c r="J64" s="16"/>
      <c r="K64" s="43"/>
      <c r="L64" s="16"/>
      <c r="M64" s="16"/>
      <c r="N64" s="15"/>
      <c r="O64" s="40"/>
      <c r="P64" s="40"/>
      <c r="Q64" s="43"/>
      <c r="R64" s="43"/>
      <c r="S64" s="16"/>
      <c r="T64" s="16"/>
      <c r="U64" s="16"/>
      <c r="V64" s="16"/>
      <c r="W64" s="15"/>
    </row>
    <row r="65" spans="1:23">
      <c r="A65" s="12"/>
      <c r="B65" s="16"/>
      <c r="C65" s="15"/>
      <c r="D65" s="16"/>
      <c r="E65" s="15"/>
      <c r="F65" s="16"/>
      <c r="G65" s="16"/>
      <c r="H65" s="35"/>
      <c r="I65" s="16"/>
      <c r="J65" s="16"/>
      <c r="K65" s="43"/>
      <c r="L65" s="16"/>
      <c r="M65" s="16"/>
      <c r="N65" s="15"/>
      <c r="O65" s="40"/>
      <c r="P65" s="40"/>
      <c r="Q65" s="43"/>
      <c r="R65" s="43"/>
      <c r="S65" s="16"/>
      <c r="T65" s="16"/>
      <c r="U65" s="16"/>
      <c r="V65" s="16"/>
      <c r="W65" s="15"/>
    </row>
    <row r="66" spans="1:23">
      <c r="A66" s="12"/>
      <c r="B66" s="16"/>
      <c r="C66" s="15"/>
      <c r="D66" s="16"/>
      <c r="E66" s="15"/>
      <c r="F66" s="16"/>
      <c r="G66" s="16"/>
      <c r="H66" s="35"/>
      <c r="I66" s="16"/>
      <c r="J66" s="16"/>
      <c r="K66" s="43"/>
      <c r="L66" s="16"/>
      <c r="M66" s="16"/>
      <c r="N66" s="15"/>
      <c r="O66" s="40"/>
      <c r="P66" s="40"/>
      <c r="Q66" s="43"/>
      <c r="R66" s="43"/>
      <c r="S66" s="16"/>
      <c r="T66" s="16"/>
      <c r="U66" s="16"/>
      <c r="V66" s="16"/>
      <c r="W66" s="15"/>
    </row>
    <row r="67" spans="1:23">
      <c r="A67" s="12"/>
      <c r="B67" s="16"/>
      <c r="C67" s="15"/>
      <c r="D67" s="16"/>
      <c r="E67" s="15"/>
      <c r="F67" s="16"/>
      <c r="G67" s="16"/>
      <c r="H67" s="35"/>
      <c r="I67" s="16"/>
      <c r="J67" s="16"/>
      <c r="K67" s="43"/>
      <c r="L67" s="16"/>
      <c r="M67" s="16"/>
      <c r="N67" s="15"/>
      <c r="O67" s="40"/>
      <c r="P67" s="40"/>
      <c r="Q67" s="43"/>
      <c r="R67" s="43"/>
      <c r="S67" s="16"/>
      <c r="T67" s="16"/>
      <c r="U67" s="16"/>
      <c r="V67" s="16"/>
      <c r="W67" s="15"/>
    </row>
    <row r="68" spans="1:23">
      <c r="A68" s="12"/>
      <c r="B68" s="16"/>
      <c r="C68" s="15"/>
      <c r="D68" s="16"/>
      <c r="E68" s="15"/>
      <c r="F68" s="16"/>
      <c r="G68" s="16"/>
      <c r="H68" s="35"/>
      <c r="I68" s="16"/>
      <c r="J68" s="16"/>
      <c r="K68" s="43"/>
      <c r="L68" s="16"/>
      <c r="M68" s="16"/>
      <c r="N68" s="15"/>
      <c r="O68" s="40"/>
      <c r="P68" s="40"/>
      <c r="Q68" s="43"/>
      <c r="R68" s="43"/>
      <c r="S68" s="16"/>
      <c r="T68" s="16"/>
      <c r="U68" s="16"/>
      <c r="V68" s="16"/>
      <c r="W68" s="15"/>
    </row>
    <row r="69" spans="1:23">
      <c r="A69" s="12"/>
      <c r="B69" s="16"/>
      <c r="C69" s="15"/>
      <c r="D69" s="16"/>
      <c r="E69" s="15"/>
      <c r="F69" s="16"/>
      <c r="G69" s="16"/>
      <c r="H69" s="35"/>
      <c r="I69" s="16"/>
      <c r="J69" s="16"/>
      <c r="K69" s="43"/>
      <c r="L69" s="16"/>
      <c r="M69" s="16"/>
      <c r="N69" s="15"/>
      <c r="O69" s="40"/>
      <c r="P69" s="40"/>
      <c r="Q69" s="43"/>
      <c r="R69" s="43"/>
      <c r="S69" s="16"/>
      <c r="T69" s="16"/>
      <c r="U69" s="16"/>
      <c r="V69" s="16"/>
      <c r="W69" s="15"/>
    </row>
    <row r="70" spans="1:23">
      <c r="A70" s="12"/>
      <c r="B70" s="16"/>
      <c r="C70" s="15"/>
      <c r="D70" s="16"/>
      <c r="E70" s="15"/>
      <c r="F70" s="16"/>
      <c r="G70" s="16"/>
      <c r="H70" s="35"/>
      <c r="I70" s="16"/>
      <c r="J70" s="16"/>
      <c r="K70" s="43"/>
      <c r="L70" s="16"/>
      <c r="M70" s="16"/>
      <c r="N70" s="15"/>
      <c r="O70" s="40"/>
      <c r="P70" s="40"/>
      <c r="Q70" s="16"/>
      <c r="R70" s="16"/>
      <c r="S70" s="16"/>
      <c r="T70" s="16"/>
      <c r="U70" s="16"/>
      <c r="V70" s="16"/>
      <c r="W70" s="15"/>
    </row>
    <row r="71" spans="1:23">
      <c r="A71" s="12"/>
      <c r="B71" s="16"/>
      <c r="C71" s="15"/>
      <c r="D71" s="16"/>
      <c r="E71" s="15"/>
      <c r="F71" s="16"/>
      <c r="G71" s="16"/>
      <c r="H71" s="35"/>
      <c r="I71" s="16"/>
      <c r="J71" s="16"/>
      <c r="K71" s="43"/>
      <c r="L71" s="16"/>
      <c r="M71" s="16"/>
      <c r="N71" s="15"/>
      <c r="O71" s="40"/>
      <c r="P71" s="40"/>
      <c r="Q71" s="43"/>
      <c r="R71" s="43"/>
      <c r="S71" s="16"/>
      <c r="T71" s="16"/>
      <c r="U71" s="16"/>
      <c r="V71" s="16"/>
      <c r="W71" s="15"/>
    </row>
    <row r="72" spans="1:23">
      <c r="A72" s="9"/>
      <c r="B72" s="16"/>
      <c r="C72" s="15"/>
      <c r="D72" s="16"/>
      <c r="E72" s="16"/>
      <c r="F72" s="16"/>
      <c r="G72" s="16"/>
      <c r="H72" s="35"/>
      <c r="I72" s="16"/>
      <c r="J72" s="9"/>
      <c r="K72" s="43"/>
      <c r="L72" s="16"/>
      <c r="M72" s="16"/>
      <c r="N72" s="16"/>
      <c r="O72" s="41"/>
      <c r="P72" s="41"/>
      <c r="Q72" s="43"/>
      <c r="R72" s="43"/>
      <c r="S72" s="16"/>
      <c r="T72" s="16"/>
      <c r="U72" s="16"/>
      <c r="V72" s="16"/>
      <c r="W72" s="16"/>
    </row>
    <row r="73" spans="1:23">
      <c r="A73" s="9"/>
      <c r="B73" s="19"/>
      <c r="C73" s="50"/>
      <c r="D73" s="9"/>
      <c r="E73" s="9"/>
      <c r="F73" s="16"/>
      <c r="G73" s="16"/>
      <c r="H73" s="35"/>
      <c r="I73" s="19"/>
      <c r="J73" s="9"/>
      <c r="K73" s="45"/>
      <c r="L73" s="9"/>
      <c r="M73" s="9"/>
      <c r="N73" s="9"/>
      <c r="O73" s="46"/>
      <c r="P73" s="46"/>
      <c r="Q73" s="29"/>
      <c r="R73" s="30"/>
      <c r="S73" s="16"/>
      <c r="T73" s="16"/>
      <c r="U73" s="19"/>
      <c r="V73" s="16"/>
      <c r="W73" s="9"/>
    </row>
    <row r="74" spans="1:23">
      <c r="A74" s="9"/>
      <c r="B74" s="11"/>
      <c r="C74" s="18"/>
      <c r="D74" s="19"/>
      <c r="E74" s="19"/>
      <c r="F74" s="16"/>
      <c r="G74" s="16"/>
      <c r="H74" s="35"/>
      <c r="I74" s="19"/>
      <c r="J74" s="19"/>
      <c r="K74" s="45"/>
      <c r="L74" s="19"/>
      <c r="M74" s="19"/>
      <c r="N74" s="9"/>
      <c r="O74" s="46"/>
      <c r="P74" s="46"/>
      <c r="Q74" s="45"/>
      <c r="R74" s="45"/>
      <c r="S74" s="16"/>
      <c r="T74" s="16"/>
      <c r="U74" s="19"/>
      <c r="V74" s="16"/>
      <c r="W74" s="19"/>
    </row>
    <row r="75" spans="1:23">
      <c r="A75" s="9"/>
      <c r="B75" s="19"/>
      <c r="C75" s="20"/>
      <c r="D75" s="19"/>
      <c r="E75" s="19"/>
      <c r="F75" s="16"/>
      <c r="G75" s="16"/>
      <c r="H75" s="35"/>
      <c r="I75" s="19"/>
      <c r="J75" s="9"/>
      <c r="K75" s="45"/>
      <c r="L75" s="19"/>
      <c r="M75" s="19"/>
      <c r="N75" s="19"/>
      <c r="O75" s="46"/>
      <c r="P75" s="47"/>
      <c r="Q75" s="45"/>
      <c r="R75" s="45"/>
      <c r="S75" s="16"/>
      <c r="T75" s="16"/>
      <c r="U75" s="19"/>
      <c r="V75" s="16"/>
      <c r="W75" s="19"/>
    </row>
    <row r="76" spans="1:23">
      <c r="A76" s="9"/>
      <c r="B76" s="19"/>
      <c r="C76" s="20"/>
      <c r="D76" s="19"/>
      <c r="E76" s="19"/>
      <c r="F76" s="16"/>
      <c r="G76" s="16"/>
      <c r="H76" s="35"/>
      <c r="I76" s="19"/>
      <c r="J76" s="19"/>
      <c r="K76" s="45"/>
      <c r="L76" s="19"/>
      <c r="M76" s="19"/>
      <c r="N76" s="19"/>
      <c r="O76" s="47"/>
      <c r="P76" s="47"/>
      <c r="Q76" s="45"/>
      <c r="R76" s="45"/>
      <c r="S76" s="16"/>
      <c r="T76" s="16"/>
      <c r="U76" s="19"/>
      <c r="V76" s="16"/>
      <c r="W76" s="19"/>
    </row>
    <row r="77" spans="1:23">
      <c r="A77" s="9"/>
      <c r="B77" s="19"/>
      <c r="C77" s="18"/>
      <c r="D77" s="19"/>
      <c r="E77" s="19"/>
      <c r="F77" s="16"/>
      <c r="G77" s="16"/>
      <c r="H77" s="35"/>
      <c r="I77" s="19"/>
      <c r="J77" s="9"/>
      <c r="K77" s="45"/>
      <c r="L77" s="19"/>
      <c r="M77" s="19"/>
      <c r="N77" s="19"/>
      <c r="O77" s="47"/>
      <c r="P77" s="47"/>
      <c r="Q77" s="45"/>
      <c r="R77" s="45"/>
      <c r="S77" s="16"/>
      <c r="T77" s="16"/>
      <c r="U77" s="19"/>
      <c r="V77" s="16"/>
      <c r="W77" s="19"/>
    </row>
    <row r="78" spans="1:23">
      <c r="A78" s="9"/>
      <c r="B78" s="19"/>
      <c r="C78" s="18"/>
      <c r="D78" s="19"/>
      <c r="E78" s="19"/>
      <c r="F78" s="16"/>
      <c r="G78" s="16"/>
      <c r="H78" s="35"/>
      <c r="I78" s="19"/>
      <c r="J78" s="9"/>
      <c r="K78" s="45"/>
      <c r="L78" s="19"/>
      <c r="M78" s="11"/>
      <c r="N78" s="19"/>
      <c r="O78" s="47"/>
      <c r="P78" s="48"/>
      <c r="Q78" s="19"/>
      <c r="R78" s="19"/>
      <c r="S78" s="16"/>
      <c r="T78" s="16"/>
      <c r="U78" s="19"/>
      <c r="V78" s="16"/>
      <c r="W78" s="19"/>
    </row>
    <row r="79" spans="1:23">
      <c r="A79" s="9"/>
      <c r="B79" s="19"/>
      <c r="C79" s="20"/>
      <c r="D79" s="19"/>
      <c r="E79" s="19"/>
      <c r="F79" s="16"/>
      <c r="G79" s="16"/>
      <c r="H79" s="35"/>
      <c r="I79" s="19"/>
      <c r="J79" s="9"/>
      <c r="K79" s="45"/>
      <c r="L79" s="11"/>
      <c r="M79" s="19"/>
      <c r="N79" s="19"/>
      <c r="O79" s="47"/>
      <c r="P79" s="48"/>
      <c r="Q79" s="45"/>
      <c r="R79" s="45"/>
      <c r="S79" s="16"/>
      <c r="T79" s="16"/>
      <c r="U79" s="19"/>
      <c r="V79" s="16"/>
      <c r="W79" s="19"/>
    </row>
    <row r="80" spans="1:23">
      <c r="A80" s="9"/>
      <c r="B80" s="19"/>
      <c r="C80" s="18"/>
      <c r="D80" s="19"/>
      <c r="E80" s="19"/>
      <c r="F80" s="16"/>
      <c r="G80" s="16"/>
      <c r="H80" s="35"/>
      <c r="I80" s="19"/>
      <c r="J80" s="19"/>
      <c r="K80" s="45"/>
      <c r="L80" s="19"/>
      <c r="M80" s="19"/>
      <c r="N80" s="19"/>
      <c r="O80" s="47"/>
      <c r="P80" s="48"/>
      <c r="Q80" s="45"/>
      <c r="R80" s="45"/>
      <c r="S80" s="16"/>
      <c r="T80" s="16"/>
      <c r="U80" s="19"/>
      <c r="V80" s="16"/>
      <c r="W80" s="19"/>
    </row>
    <row r="81" spans="1:23">
      <c r="A81" s="9"/>
      <c r="B81" s="19"/>
      <c r="C81" s="18"/>
      <c r="D81" s="19"/>
      <c r="E81" s="19"/>
      <c r="F81" s="16"/>
      <c r="G81" s="16"/>
      <c r="H81" s="35"/>
      <c r="I81" s="19"/>
      <c r="J81" s="9"/>
      <c r="K81" s="45"/>
      <c r="L81" s="19"/>
      <c r="M81" s="19"/>
      <c r="N81" s="19"/>
      <c r="O81" s="47"/>
      <c r="P81" s="47"/>
      <c r="Q81" s="19"/>
      <c r="R81" s="19"/>
      <c r="S81" s="16"/>
      <c r="T81" s="16"/>
      <c r="U81" s="19"/>
      <c r="V81" s="16"/>
      <c r="W81" s="19"/>
    </row>
    <row r="82" spans="1:23">
      <c r="A82" s="9"/>
      <c r="B82" s="19"/>
      <c r="C82" s="18"/>
      <c r="D82" s="19"/>
      <c r="E82" s="19"/>
      <c r="F82" s="16"/>
      <c r="G82" s="16"/>
      <c r="H82" s="35"/>
      <c r="I82" s="19"/>
      <c r="J82" s="9"/>
      <c r="K82" s="45"/>
      <c r="L82" s="19"/>
      <c r="M82" s="11"/>
      <c r="N82" s="19"/>
      <c r="O82" s="47"/>
      <c r="P82" s="48"/>
      <c r="Q82" s="19"/>
      <c r="R82" s="19"/>
      <c r="S82" s="16"/>
      <c r="T82" s="16"/>
      <c r="U82" s="19"/>
      <c r="V82" s="16"/>
      <c r="W82" s="19"/>
    </row>
    <row r="83" spans="1:23">
      <c r="A83" s="9"/>
      <c r="B83" s="19"/>
      <c r="C83" s="51"/>
      <c r="D83" s="19"/>
      <c r="E83" s="19"/>
      <c r="F83" s="16"/>
      <c r="G83" s="16"/>
      <c r="H83" s="35"/>
      <c r="I83" s="19"/>
      <c r="J83" s="9"/>
      <c r="K83" s="45"/>
      <c r="L83" s="11"/>
      <c r="M83" s="19"/>
      <c r="N83" s="19"/>
      <c r="O83" s="47"/>
      <c r="P83" s="48"/>
      <c r="Q83" s="45"/>
      <c r="R83" s="45"/>
      <c r="S83" s="16"/>
      <c r="T83" s="16"/>
      <c r="U83" s="19"/>
      <c r="V83" s="16"/>
      <c r="W83" s="19"/>
    </row>
    <row r="84" spans="1:23">
      <c r="A84" s="9"/>
      <c r="B84" s="19"/>
      <c r="C84" s="18"/>
      <c r="D84" s="19"/>
      <c r="E84" s="19"/>
      <c r="F84" s="16"/>
      <c r="G84" s="16"/>
      <c r="H84" s="35"/>
      <c r="I84" s="19"/>
      <c r="J84" s="19"/>
      <c r="K84" s="45"/>
      <c r="L84" s="19"/>
      <c r="M84" s="19"/>
      <c r="N84" s="19"/>
      <c r="O84" s="47"/>
      <c r="P84" s="48"/>
      <c r="Q84" s="19"/>
      <c r="R84" s="19"/>
      <c r="S84" s="16"/>
      <c r="T84" s="16"/>
      <c r="U84" s="19"/>
      <c r="V84" s="16"/>
      <c r="W84" s="19"/>
    </row>
    <row r="85" spans="1:23">
      <c r="A85" s="12"/>
      <c r="B85" s="15"/>
      <c r="C85" s="12"/>
      <c r="D85" s="16"/>
      <c r="E85" s="12"/>
      <c r="F85" s="16"/>
      <c r="G85" s="16"/>
      <c r="H85" s="35"/>
      <c r="I85" s="15"/>
      <c r="J85" s="12"/>
      <c r="K85" s="43"/>
      <c r="L85" s="9"/>
      <c r="M85" s="11"/>
      <c r="N85" s="12"/>
      <c r="O85" s="49"/>
      <c r="P85" s="49"/>
      <c r="Q85" s="43"/>
      <c r="R85" s="43"/>
      <c r="S85" s="16"/>
      <c r="T85" s="16"/>
      <c r="U85" s="16"/>
      <c r="V85" s="16"/>
      <c r="W85" s="12"/>
    </row>
    <row r="86" spans="1:23">
      <c r="A86" s="12"/>
      <c r="B86" s="16"/>
      <c r="C86" s="12"/>
      <c r="D86" s="12"/>
      <c r="E86" s="12"/>
      <c r="F86" s="16"/>
      <c r="G86" s="16"/>
      <c r="H86" s="35"/>
      <c r="I86" s="16"/>
      <c r="J86" s="12"/>
      <c r="K86" s="43"/>
      <c r="L86" s="9"/>
      <c r="M86" s="12"/>
      <c r="N86" s="12"/>
      <c r="O86" s="49"/>
      <c r="P86" s="49"/>
      <c r="Q86" s="29"/>
      <c r="R86" s="43"/>
      <c r="S86" s="16"/>
      <c r="T86" s="16"/>
      <c r="U86" s="16"/>
      <c r="V86" s="16"/>
      <c r="W86" s="12"/>
    </row>
    <row r="87" spans="1:23">
      <c r="A87" s="12"/>
      <c r="B87" s="16"/>
      <c r="C87" s="12"/>
      <c r="D87" s="12"/>
      <c r="E87" s="12"/>
      <c r="F87" s="16"/>
      <c r="G87" s="16"/>
      <c r="H87" s="35"/>
      <c r="I87" s="16"/>
      <c r="J87" s="12"/>
      <c r="K87" s="43"/>
      <c r="L87" s="9"/>
      <c r="M87" s="12"/>
      <c r="N87" s="12"/>
      <c r="O87" s="49"/>
      <c r="P87" s="49"/>
      <c r="Q87" s="43"/>
      <c r="R87" s="43"/>
      <c r="S87" s="16"/>
      <c r="T87" s="16"/>
      <c r="U87" s="16"/>
      <c r="V87" s="16"/>
      <c r="W87" s="12"/>
    </row>
    <row r="88" spans="1:23">
      <c r="A88" s="12"/>
      <c r="B88" s="16"/>
      <c r="C88" s="12"/>
      <c r="D88" s="9"/>
      <c r="E88" s="12"/>
      <c r="F88" s="16"/>
      <c r="G88" s="16"/>
      <c r="H88" s="35"/>
      <c r="I88" s="16"/>
      <c r="J88" s="12"/>
      <c r="K88" s="43"/>
      <c r="L88" s="12"/>
      <c r="M88" s="12"/>
      <c r="N88" s="12"/>
      <c r="O88" s="49"/>
      <c r="P88" s="49"/>
      <c r="Q88" s="43"/>
      <c r="R88" s="43"/>
      <c r="S88" s="16"/>
      <c r="T88" s="16"/>
      <c r="U88" s="16"/>
      <c r="V88" s="16"/>
      <c r="W88" s="12"/>
    </row>
    <row r="89" spans="1:23">
      <c r="A89" s="12"/>
      <c r="B89" s="15"/>
      <c r="C89" s="12"/>
      <c r="D89" s="12"/>
      <c r="E89" s="12"/>
      <c r="F89" s="16"/>
      <c r="G89" s="16"/>
      <c r="H89" s="35"/>
      <c r="I89" s="16"/>
      <c r="J89" s="12"/>
      <c r="K89" s="43"/>
      <c r="L89" s="12"/>
      <c r="M89" s="12"/>
      <c r="N89" s="12"/>
      <c r="O89" s="49"/>
      <c r="P89" s="49"/>
      <c r="Q89" s="43"/>
      <c r="R89" s="43"/>
      <c r="S89" s="16"/>
      <c r="T89" s="16"/>
      <c r="U89" s="16"/>
      <c r="V89" s="16"/>
      <c r="W89" s="12"/>
    </row>
    <row r="90" spans="1:23">
      <c r="A90" s="12"/>
      <c r="B90" s="15"/>
      <c r="C90" s="12"/>
      <c r="D90" s="12"/>
      <c r="E90" s="12"/>
      <c r="F90" s="16"/>
      <c r="G90" s="16"/>
      <c r="H90" s="35"/>
      <c r="I90" s="16"/>
      <c r="J90" s="12"/>
      <c r="K90" s="43"/>
      <c r="L90" s="12"/>
      <c r="M90" s="12"/>
      <c r="N90" s="12"/>
      <c r="O90" s="49"/>
      <c r="P90" s="49"/>
      <c r="Q90" s="43"/>
      <c r="R90" s="43"/>
      <c r="S90" s="16"/>
      <c r="T90" s="16"/>
      <c r="U90" s="16"/>
      <c r="V90" s="16"/>
      <c r="W90" s="12"/>
    </row>
    <row r="91" spans="1:23">
      <c r="A91" s="12"/>
      <c r="B91" s="16"/>
      <c r="C91" s="12"/>
      <c r="D91" s="12"/>
      <c r="E91" s="12"/>
      <c r="F91" s="16"/>
      <c r="G91" s="16"/>
      <c r="H91" s="35"/>
      <c r="I91" s="16"/>
      <c r="J91" s="12"/>
      <c r="K91" s="43"/>
      <c r="L91" s="9"/>
      <c r="M91" s="12"/>
      <c r="N91" s="12"/>
      <c r="O91" s="49"/>
      <c r="P91" s="49"/>
      <c r="Q91" s="43"/>
      <c r="R91" s="43"/>
      <c r="S91" s="16"/>
      <c r="T91" s="16"/>
      <c r="U91" s="16"/>
      <c r="V91" s="16"/>
      <c r="W91" s="12"/>
    </row>
    <row r="92" spans="1:23">
      <c r="A92" s="12"/>
      <c r="B92" s="16"/>
      <c r="C92" s="12"/>
      <c r="D92" s="12"/>
      <c r="E92" s="12"/>
      <c r="F92" s="16"/>
      <c r="G92" s="16"/>
      <c r="H92" s="35"/>
      <c r="I92" s="16"/>
      <c r="J92" s="12"/>
      <c r="K92" s="43"/>
      <c r="L92" s="9"/>
      <c r="M92" s="12"/>
      <c r="N92" s="12"/>
      <c r="O92" s="49"/>
      <c r="P92" s="49"/>
      <c r="Q92" s="29"/>
      <c r="R92" s="43"/>
      <c r="S92" s="16"/>
      <c r="T92" s="16"/>
      <c r="U92" s="16"/>
      <c r="V92" s="16"/>
      <c r="W92" s="12"/>
    </row>
    <row r="93" spans="1:23">
      <c r="A93" s="12"/>
      <c r="B93" s="16"/>
      <c r="C93" s="15"/>
      <c r="D93" s="16"/>
      <c r="E93" s="16"/>
      <c r="F93" s="16"/>
      <c r="G93" s="16"/>
      <c r="H93" s="35"/>
      <c r="I93" s="16"/>
      <c r="J93" s="16"/>
      <c r="K93" s="43"/>
      <c r="L93" s="16"/>
      <c r="M93" s="16"/>
      <c r="N93" s="16"/>
      <c r="O93" s="41"/>
      <c r="P93" s="41"/>
      <c r="Q93" s="16"/>
      <c r="R93" s="16"/>
      <c r="S93" s="16"/>
      <c r="T93" s="16"/>
      <c r="U93" s="16"/>
      <c r="V93" s="16"/>
      <c r="W93" s="16"/>
    </row>
    <row r="94" spans="1:23">
      <c r="A94" s="12"/>
      <c r="B94" s="16"/>
      <c r="C94" s="15"/>
      <c r="D94" s="16"/>
      <c r="E94" s="16"/>
      <c r="F94" s="16"/>
      <c r="G94" s="16"/>
      <c r="H94" s="35"/>
      <c r="I94" s="16"/>
      <c r="J94" s="16"/>
      <c r="K94" s="16"/>
      <c r="L94" s="16"/>
      <c r="M94" s="16"/>
      <c r="N94" s="16"/>
      <c r="O94" s="41"/>
      <c r="P94" s="41"/>
      <c r="Q94" s="43"/>
      <c r="R94" s="43"/>
      <c r="S94" s="16"/>
      <c r="T94" s="16"/>
      <c r="U94" s="16"/>
      <c r="V94" s="16"/>
      <c r="W94" s="16"/>
    </row>
    <row r="95" spans="1:23">
      <c r="A95" s="12"/>
      <c r="B95" s="16"/>
      <c r="C95" s="16"/>
      <c r="D95" s="16"/>
      <c r="E95" s="16"/>
      <c r="F95" s="16"/>
      <c r="G95" s="16"/>
      <c r="H95" s="35"/>
      <c r="I95" s="16"/>
      <c r="J95" s="16"/>
      <c r="K95" s="43"/>
      <c r="L95" s="16"/>
      <c r="M95" s="16"/>
      <c r="N95" s="16"/>
      <c r="O95" s="41"/>
      <c r="P95" s="41"/>
      <c r="Q95" s="43"/>
      <c r="R95" s="43"/>
      <c r="S95" s="16"/>
      <c r="T95" s="16"/>
      <c r="U95" s="16"/>
      <c r="V95" s="16"/>
      <c r="W95" s="16"/>
    </row>
    <row r="96" spans="1:23">
      <c r="A96" s="12"/>
      <c r="B96" s="16"/>
      <c r="C96" s="16"/>
      <c r="D96" s="16"/>
      <c r="E96" s="16"/>
      <c r="F96" s="16"/>
      <c r="G96" s="16"/>
      <c r="H96" s="35"/>
      <c r="I96" s="16"/>
      <c r="J96" s="16"/>
      <c r="K96" s="43"/>
      <c r="L96" s="16"/>
      <c r="M96" s="16"/>
      <c r="N96" s="16"/>
      <c r="O96" s="41"/>
      <c r="P96" s="41"/>
      <c r="Q96" s="16"/>
      <c r="R96" s="16"/>
      <c r="S96" s="16"/>
      <c r="T96" s="16"/>
      <c r="U96" s="16"/>
      <c r="V96" s="16"/>
      <c r="W96" s="16"/>
    </row>
    <row r="97" spans="1:23">
      <c r="A97" s="12"/>
      <c r="B97" s="16"/>
      <c r="C97" s="15"/>
      <c r="D97" s="16"/>
      <c r="E97" s="16"/>
      <c r="F97" s="16"/>
      <c r="G97" s="16"/>
      <c r="H97" s="35"/>
      <c r="I97" s="16"/>
      <c r="J97" s="16"/>
      <c r="K97" s="43"/>
      <c r="L97" s="16"/>
      <c r="M97" s="16"/>
      <c r="N97" s="16"/>
      <c r="O97" s="41"/>
      <c r="P97" s="41"/>
      <c r="Q97" s="43"/>
      <c r="R97" s="43"/>
      <c r="S97" s="16"/>
      <c r="T97" s="16"/>
      <c r="U97" s="16"/>
      <c r="V97" s="16"/>
      <c r="W97" s="16"/>
    </row>
    <row r="98" spans="1:23">
      <c r="A98" s="12"/>
      <c r="B98" s="16"/>
      <c r="C98" s="15"/>
      <c r="D98" s="16"/>
      <c r="E98" s="16"/>
      <c r="F98" s="16"/>
      <c r="G98" s="16"/>
      <c r="H98" s="35"/>
      <c r="I98" s="16"/>
      <c r="J98" s="16"/>
      <c r="K98" s="43"/>
      <c r="L98" s="16"/>
      <c r="M98" s="16"/>
      <c r="N98" s="16"/>
      <c r="O98" s="41"/>
      <c r="P98" s="41"/>
      <c r="Q98" s="16"/>
      <c r="R98" s="16"/>
      <c r="S98" s="16"/>
      <c r="T98" s="16"/>
      <c r="U98" s="16"/>
      <c r="V98" s="16"/>
      <c r="W98" s="16"/>
    </row>
  </sheetData>
  <autoFilter ref="A1:CE98" xr:uid="{7ADD7736-230D-422E-A853-9C9D2D67F1A3}"/>
  <dataValidations count="3">
    <dataValidation type="list" allowBlank="1" showInputMessage="1" showErrorMessage="1" sqref="V72:V98 V23 V33:V37 V45:V46 V50 V58:V62 V2" xr:uid="{40E04D1C-A3A9-4E1E-853B-311EF90C0C69}">
      <formula1>$AC$1:$AC$2</formula1>
    </dataValidation>
    <dataValidation type="list" allowBlank="1" showInputMessage="1" showErrorMessage="1" sqref="V27 V4 V38:V44 V47:V49 V51:V57 V6 V25 V63:V71" xr:uid="{3CC9A8B0-7202-4277-A1D1-34D1AB067533}">
      <formula1>$AC$2:$AC$2</formula1>
    </dataValidation>
    <dataValidation type="list" allowBlank="1" showInputMessage="1" showErrorMessage="1" sqref="U85:U98 U50:U58 U62:U72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T99:T3137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232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233</v>
      </c>
    </row>
    <row r="3" spans="1:12">
      <c r="A3" s="5" t="s">
        <v>50</v>
      </c>
      <c r="G3" t="s">
        <v>39</v>
      </c>
      <c r="J3" s="7" t="s">
        <v>46</v>
      </c>
      <c r="L3" s="5" t="s">
        <v>234</v>
      </c>
    </row>
    <row r="4" spans="1:12">
      <c r="A4" s="5" t="s">
        <v>61</v>
      </c>
      <c r="G4" t="s">
        <v>171</v>
      </c>
      <c r="J4" s="7" t="s">
        <v>100</v>
      </c>
      <c r="L4" s="5" t="s">
        <v>235</v>
      </c>
    </row>
    <row r="5" spans="1:12">
      <c r="J5" s="7" t="s">
        <v>112</v>
      </c>
      <c r="L5" s="5" t="s">
        <v>236</v>
      </c>
    </row>
    <row r="6" spans="1:12">
      <c r="J6" s="7" t="s">
        <v>237</v>
      </c>
      <c r="L6" s="5" t="s">
        <v>30</v>
      </c>
    </row>
    <row r="7" spans="1:12">
      <c r="J7" s="7" t="s">
        <v>238</v>
      </c>
      <c r="L7" s="5" t="s">
        <v>239</v>
      </c>
    </row>
    <row r="8" spans="1:12">
      <c r="J8" s="7" t="s">
        <v>240</v>
      </c>
      <c r="L8" s="5" t="s">
        <v>241</v>
      </c>
    </row>
    <row r="9" spans="1:12">
      <c r="L9" s="5" t="s">
        <v>242</v>
      </c>
    </row>
    <row r="10" spans="1:12">
      <c r="J10" s="7"/>
      <c r="L10" s="5" t="s">
        <v>243</v>
      </c>
    </row>
    <row r="11" spans="1:12">
      <c r="L11" s="5" t="s">
        <v>244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QAFFA7D2F2TC-2102087286-575026</_dlc_DocId>
    <_dlc_DocIdUrl xmlns="01f4fd7c-51c3-4ad2-ae58-e5034556b4ea">
      <Url>https://allianzms.sharepoint.com/teams/BR0010-4356589/_layouts/15/DocIdRedir.aspx?ID=QAFFA7D2F2TC-2102087286-575026</Url>
      <Description>QAFFA7D2F2TC-2102087286-575026</Description>
    </_dlc_DocIdUrl>
  </documentManagement>
</p:properties>
</file>

<file path=customXml/itemProps1.xml><?xml version="1.0" encoding="utf-8"?>
<ds:datastoreItem xmlns:ds="http://schemas.openxmlformats.org/officeDocument/2006/customXml" ds:itemID="{289D26D4-66F4-4A40-83F6-9AF6E35CE56A}"/>
</file>

<file path=customXml/itemProps2.xml><?xml version="1.0" encoding="utf-8"?>
<ds:datastoreItem xmlns:ds="http://schemas.openxmlformats.org/officeDocument/2006/customXml" ds:itemID="{7C17EAF1-208E-412E-95A1-BC484B097A9E}"/>
</file>

<file path=customXml/itemProps3.xml><?xml version="1.0" encoding="utf-8"?>
<ds:datastoreItem xmlns:ds="http://schemas.openxmlformats.org/officeDocument/2006/customXml" ds:itemID="{F2A47885-71A3-4366-B259-7A60467B9FB2}"/>
</file>

<file path=customXml/itemProps4.xml><?xml version="1.0" encoding="utf-8"?>
<ds:datastoreItem xmlns:ds="http://schemas.openxmlformats.org/officeDocument/2006/customXml" ds:itemID="{10422040-C682-4D0F-8572-F8D15E6ED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ALLIANZ_12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2026-02-13T15:52:23Z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5162f521-049c-4878-aba2-e5218ae0a294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2026-02-13T13:44:16Z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6d14c485-ff0d-4477-ab09-1865d21514d4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1456876113</vt:i4>
  </property>
  <property fmtid="{D5CDD505-2E9C-101B-9397-08002B2CF9AE}" pid="27" name="_NewReviewCycle">
    <vt:lpwstr/>
  </property>
</Properties>
</file>