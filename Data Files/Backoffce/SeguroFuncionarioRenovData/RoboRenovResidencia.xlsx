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Users\Public\RPA_ALLIANZ\Data Files\Backoffce\SeguroFuncionarioRenovData\"/>
    </mc:Choice>
  </mc:AlternateContent>
  <xr:revisionPtr documentId="13_ncr:1_{F6BA008E-C52C-4D9D-9AC8-D4386ECE349A}" revIDLastSave="0" xr10:uidLastSave="{00000000-0000-0000-0000-000000000000}" xr6:coauthVersionLast="47" xr6:coauthVersionMax="47"/>
  <bookViews>
    <workbookView windowHeight="11160" windowWidth="20730" xWindow="-120" xr2:uid="{125D162C-2643-44C8-B7A8-839239A969EA}" yWindow="-120"/>
  </bookViews>
  <sheets>
    <sheet name="SeguroRenovResidencia" r:id="rId1" sheetId="1"/>
    <sheet name="Calendario" r:id="rId2" sheetId="2"/>
  </sheets>
  <definedNames>
    <definedName hidden="1" localSheetId="0" name="_xlnm._FilterDatabase">SeguroRenovResidencia!$A$1:$S$79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" l="1" r="C35"/>
  <c i="2" r="C34"/>
  <c i="2" r="C33"/>
  <c i="2" r="C30"/>
  <c i="2" r="C29"/>
  <c i="2" r="C28"/>
  <c i="2" r="C27"/>
  <c i="2" r="C26"/>
  <c i="2" r="C23"/>
  <c i="2" r="C22"/>
  <c i="2" r="C21"/>
  <c i="2" r="C20"/>
  <c i="2" r="C19"/>
  <c i="2" r="C16"/>
  <c i="2" r="C15"/>
  <c i="2" r="C14"/>
  <c i="2" r="C13"/>
  <c i="2" r="C12"/>
  <c i="2" r="C9"/>
  <c i="2" r="C8"/>
  <c i="2" r="C7"/>
  <c i="2" r="C6"/>
  <c i="2" r="C5"/>
</calcChain>
</file>

<file path=xl/sharedStrings.xml><?xml version="1.0" encoding="utf-8"?>
<sst xmlns="http://schemas.openxmlformats.org/spreadsheetml/2006/main" count="1064" uniqueCount="510">
  <si>
    <t>POLIZA</t>
  </si>
  <si>
    <t>POLIZA_SUSEP</t>
  </si>
  <si>
    <t>POLIZAR</t>
  </si>
  <si>
    <t>RAMO</t>
  </si>
  <si>
    <t>QTDE_PARCELA</t>
  </si>
  <si>
    <t>FINAL_VIG</t>
  </si>
  <si>
    <t>DIA_PAGO</t>
  </si>
  <si>
    <t>MOTIVO</t>
  </si>
  <si>
    <t>SITUACAO</t>
  </si>
  <si>
    <t>DIREINTER</t>
  </si>
  <si>
    <t>NOMBRE</t>
  </si>
  <si>
    <t>DNI</t>
  </si>
  <si>
    <t>NUMEROCL</t>
  </si>
  <si>
    <t>5177202253140204628</t>
  </si>
  <si>
    <t/>
  </si>
  <si>
    <t>Emitida</t>
  </si>
  <si>
    <t>evandrodeungaro@gmail.com</t>
  </si>
  <si>
    <t>EVANDRO REINALDO DEUNGARO</t>
  </si>
  <si>
    <t>19235885833</t>
  </si>
  <si>
    <t>5177202253140216292</t>
  </si>
  <si>
    <t>carla.nascimento@allianz.com.br</t>
  </si>
  <si>
    <t>LEDANIR ZUCHI</t>
  </si>
  <si>
    <t>91348854987</t>
  </si>
  <si>
    <t>5177202253140204549</t>
  </si>
  <si>
    <t>rosely.fonseca@allianz.com.br</t>
  </si>
  <si>
    <t>ROSELY BOER CORINO DA FONSECA</t>
  </si>
  <si>
    <t>08215338860</t>
  </si>
  <si>
    <t>5177202253140205539</t>
  </si>
  <si>
    <t>caroline.monteiro@allianz.com.br</t>
  </si>
  <si>
    <t>CAROLINE MONFORTE MONTEIRO</t>
  </si>
  <si>
    <t>34480378855</t>
  </si>
  <si>
    <t>5177202253140212704</t>
  </si>
  <si>
    <t>eunice.santos@allianz.com.br</t>
  </si>
  <si>
    <t>EUNICE C MOREIRA DOS SANTOS</t>
  </si>
  <si>
    <t>29789328800</t>
  </si>
  <si>
    <t>5177202253140223176</t>
  </si>
  <si>
    <t>leticia.carvalho@allianz.com.br</t>
  </si>
  <si>
    <t>LETICIA FONSECA DE CARVALHO</t>
  </si>
  <si>
    <t>08824273696</t>
  </si>
  <si>
    <t>5177202253140205865</t>
  </si>
  <si>
    <t>carla.valnisio@allianz.com.br</t>
  </si>
  <si>
    <t>CARLA DE VALNISIO</t>
  </si>
  <si>
    <t>05274485758</t>
  </si>
  <si>
    <t>5177202253140208536</t>
  </si>
  <si>
    <t>beatriz.yokota@allianz.com.br</t>
  </si>
  <si>
    <t>BEATRIZ YUMI YAMAGUTI YOKOTA</t>
  </si>
  <si>
    <t>34242532865</t>
  </si>
  <si>
    <t>5177202253140215663</t>
  </si>
  <si>
    <t>rosangela.sanches@allianz.com.br</t>
  </si>
  <si>
    <t>ROSANGELA MILANI SANCHES</t>
  </si>
  <si>
    <t>07263234890</t>
  </si>
  <si>
    <t>5177202253140218203</t>
  </si>
  <si>
    <t>suelen.portela@mondial-assistance.com.br</t>
  </si>
  <si>
    <t>SUELEN ALONSO PORTELA MACHADO</t>
  </si>
  <si>
    <t>31890506869</t>
  </si>
  <si>
    <t>5177202253140208265</t>
  </si>
  <si>
    <t>cassia.silveira@allianz.com.br</t>
  </si>
  <si>
    <t>CASSIA MELINA DE OLIVEIRA SILV</t>
  </si>
  <si>
    <t>83900780072</t>
  </si>
  <si>
    <t>5177202253140215682</t>
  </si>
  <si>
    <t>5177202253140233998</t>
  </si>
  <si>
    <t>antonio.trevine@allianz.com.br</t>
  </si>
  <si>
    <t>ANA PAULA DE SENA TREVINE</t>
  </si>
  <si>
    <t>26440845802</t>
  </si>
  <si>
    <t>5177202253140210190</t>
  </si>
  <si>
    <t>rosemeire.carvalho@allianz.com.br</t>
  </si>
  <si>
    <t>ROSEMEIRE DO CARMO CARVALHO</t>
  </si>
  <si>
    <t>13283668809</t>
  </si>
  <si>
    <t>fabio.netto@allianz.com.br</t>
  </si>
  <si>
    <t>FABIO LUIZ DOS SANTOS NETTO</t>
  </si>
  <si>
    <t>02205104748</t>
  </si>
  <si>
    <t>5177202253140211216</t>
  </si>
  <si>
    <t>sandro.moreira@allianz.com.br</t>
  </si>
  <si>
    <t>SANDRO ROLIM MOREIRA</t>
  </si>
  <si>
    <t>31366720890</t>
  </si>
  <si>
    <t>5177202253140211590</t>
  </si>
  <si>
    <t>gessica.sorrentino@allianz.com.br</t>
  </si>
  <si>
    <t>GESSICA SORRENTINO MARINHO</t>
  </si>
  <si>
    <t>05366522790</t>
  </si>
  <si>
    <t>5177202253140227220</t>
  </si>
  <si>
    <t>marcos.freire@allianz.com.br</t>
  </si>
  <si>
    <t>MARCOS VINICIUS FREIRE</t>
  </si>
  <si>
    <t>11977372783</t>
  </si>
  <si>
    <t>5177202253140228174</t>
  </si>
  <si>
    <t>lurdes.quintana@allianz.pt</t>
  </si>
  <si>
    <t>MARIA DE LOURDES FERREIRA MAGALHAES DE QUINTA</t>
  </si>
  <si>
    <t>06319533706</t>
  </si>
  <si>
    <t>5177202253140234288</t>
  </si>
  <si>
    <t>katia.medeiros@allianz.com.br</t>
  </si>
  <si>
    <t>KATIA REGINA DOS S MEDEIROS</t>
  </si>
  <si>
    <t>26124249898</t>
  </si>
  <si>
    <t>5177202253140213096</t>
  </si>
  <si>
    <t>fabrizio.graziano@allianz.com.br</t>
  </si>
  <si>
    <t>ROSANA PIGNATARO GRAZIANO</t>
  </si>
  <si>
    <t>03922127819</t>
  </si>
  <si>
    <t>5177202253140217944</t>
  </si>
  <si>
    <t>callebe.mendes@allianz.com</t>
  </si>
  <si>
    <t>MARCELLO GAMITO MENDES</t>
  </si>
  <si>
    <t>07625083888</t>
  </si>
  <si>
    <t>5177202253140231431</t>
  </si>
  <si>
    <t>renato.skripkiunas@eulerhermes.com</t>
  </si>
  <si>
    <t>RENATO SKRIPKIUNAS</t>
  </si>
  <si>
    <t>15562265869</t>
  </si>
  <si>
    <t>5177202253140234065</t>
  </si>
  <si>
    <t>luisa.almeida@allianz.com.br</t>
  </si>
  <si>
    <t>LUISA MARIA CARNEIRO DE ALMEID</t>
  </si>
  <si>
    <t>00038618729</t>
  </si>
  <si>
    <t>5177202253140216105</t>
  </si>
  <si>
    <t>micael.silveira@allianz.com.br</t>
  </si>
  <si>
    <t>MICAEL DE MOURA SILVEIRA</t>
  </si>
  <si>
    <t>03518456075</t>
  </si>
  <si>
    <t>5177202253140219117</t>
  </si>
  <si>
    <t>valeria.lima@allianz.com.br</t>
  </si>
  <si>
    <t>VALERIA APARECIDA LIMA</t>
  </si>
  <si>
    <t>31366576837</t>
  </si>
  <si>
    <t>5177202253140225621</t>
  </si>
  <si>
    <t>tuani.rego@allianz.com.br</t>
  </si>
  <si>
    <t>TUANI BARRETO R DE OLIVEIRA</t>
  </si>
  <si>
    <t>42011174805</t>
  </si>
  <si>
    <t>5177202253140228928</t>
  </si>
  <si>
    <t>wagner.simon@allianz.com.br</t>
  </si>
  <si>
    <t>WAGNER DE OLIVEIRA SIMON</t>
  </si>
  <si>
    <t>04026660974</t>
  </si>
  <si>
    <t>5177202253140247101</t>
  </si>
  <si>
    <t>paulo.sa@allianz.com.br</t>
  </si>
  <si>
    <t>PAULO SERGIO DO CARMO SA</t>
  </si>
  <si>
    <t>97165727787</t>
  </si>
  <si>
    <t>leandro.galinaro@allianz.com.br</t>
  </si>
  <si>
    <t>LEANDRO APARECIDO GALINARO</t>
  </si>
  <si>
    <t>16298129863</t>
  </si>
  <si>
    <t>5177202253140217995</t>
  </si>
  <si>
    <t>CALLEBE LIMA MENDES</t>
  </si>
  <si>
    <t>36473563873</t>
  </si>
  <si>
    <t>5177202253140220251</t>
  </si>
  <si>
    <t>bianca.barreto@allianz.com.br</t>
  </si>
  <si>
    <t>BIANCA DE SA BARRETO</t>
  </si>
  <si>
    <t>05243073776</t>
  </si>
  <si>
    <t>5177202253140223965</t>
  </si>
  <si>
    <t>5177202253140207334</t>
  </si>
  <si>
    <t>marcos.rufino@allianz.com.br</t>
  </si>
  <si>
    <t>MARCOS VINICIUS CABRAL RUFINO</t>
  </si>
  <si>
    <t>10068318782</t>
  </si>
  <si>
    <t>5177202253140217596</t>
  </si>
  <si>
    <t>erica.cassandre@allianz.com.br</t>
  </si>
  <si>
    <t>ERICA TATIANA C DA C CASSANDRE</t>
  </si>
  <si>
    <t>21577731859</t>
  </si>
  <si>
    <t>5177202253140217631</t>
  </si>
  <si>
    <t>michel.morais@allianz.com.br</t>
  </si>
  <si>
    <t>DIULDETE MAXIMIANO DE MORAIS TECHERA</t>
  </si>
  <si>
    <t>95086757800</t>
  </si>
  <si>
    <t>5177202253140221451</t>
  </si>
  <si>
    <t>edson.martins@allianz.com.br</t>
  </si>
  <si>
    <t>EDSON PEREIRA MARTINS</t>
  </si>
  <si>
    <t>27382585816</t>
  </si>
  <si>
    <t>5177202253140225072</t>
  </si>
  <si>
    <t>vitor41a@gmail.com</t>
  </si>
  <si>
    <t>VITOR SANTOS LEAL</t>
  </si>
  <si>
    <t>37920996830</t>
  </si>
  <si>
    <t>5177202253140229254</t>
  </si>
  <si>
    <t>PAULO CESAR MARTINS DE CARVALHO</t>
  </si>
  <si>
    <t>30378273604</t>
  </si>
  <si>
    <t>5177202253140222296</t>
  </si>
  <si>
    <t>claudenice.barbosa@allianz.com.br</t>
  </si>
  <si>
    <t>CLAUDENICE PEREIRA BARBOSA</t>
  </si>
  <si>
    <t>12716747857</t>
  </si>
  <si>
    <t>5177202253140228123</t>
  </si>
  <si>
    <t>lirlanda.freitas@allianz.com.br</t>
  </si>
  <si>
    <t>LIRLANDA ROCHA FREITAS</t>
  </si>
  <si>
    <t>11919976779</t>
  </si>
  <si>
    <t>5177202253140219381</t>
  </si>
  <si>
    <t>marcos.rozzeto@allianz.com.br</t>
  </si>
  <si>
    <t>MARCOS ANTONIO ROZZETO</t>
  </si>
  <si>
    <t>62981358634</t>
  </si>
  <si>
    <t>5177202253140223813</t>
  </si>
  <si>
    <t>gisele.garcia@allianz.com.br</t>
  </si>
  <si>
    <t>BENEDITA MARQUES GARCIA</t>
  </si>
  <si>
    <t>30073652873</t>
  </si>
  <si>
    <t>5177202253140235462</t>
  </si>
  <si>
    <t>mariana.mendonca@allianz.com.br</t>
  </si>
  <si>
    <t>MARIANA PRETOLA S DE MENDONCA</t>
  </si>
  <si>
    <t>32559397803</t>
  </si>
  <si>
    <t>5177202253140236730</t>
  </si>
  <si>
    <t>wanderlan.andrade@allianz.com.br</t>
  </si>
  <si>
    <t>WANDERLAN FIGUEIREDO DE ANDRAD</t>
  </si>
  <si>
    <t>08324453717</t>
  </si>
  <si>
    <t>5177202253140237849</t>
  </si>
  <si>
    <t>debora.pacheco@allianz.com.br</t>
  </si>
  <si>
    <t>02939788910</t>
  </si>
  <si>
    <t>5177202253140241525</t>
  </si>
  <si>
    <t>fagner.saldanha@allianz.com.br</t>
  </si>
  <si>
    <t>FAGNER LUIZ SALDANHA DE SANT A</t>
  </si>
  <si>
    <t>10533545765</t>
  </si>
  <si>
    <t>5177202253140220742</t>
  </si>
  <si>
    <t>gabriela.logrado@allianz.com.br</t>
  </si>
  <si>
    <t>GABRIELA DE MATTOS R LOGRADO</t>
  </si>
  <si>
    <t>70468494120</t>
  </si>
  <si>
    <t>5177202253140223296</t>
  </si>
  <si>
    <t>israel.silva1@allianz.com.br</t>
  </si>
  <si>
    <t>ISRAEL BRUNO SILVA</t>
  </si>
  <si>
    <t>08311849650</t>
  </si>
  <si>
    <t>5177202253140238569</t>
  </si>
  <si>
    <t>fernanda.moreira@allianz.com.br</t>
  </si>
  <si>
    <t>FERNANDA CORDEIRO MOREIRA</t>
  </si>
  <si>
    <t>05324546771</t>
  </si>
  <si>
    <t>5177202253140241508</t>
  </si>
  <si>
    <t>carolina.castro@allianz.com.br</t>
  </si>
  <si>
    <t>CAROLINA TAVORA DE CASTRO</t>
  </si>
  <si>
    <t>31943088829</t>
  </si>
  <si>
    <t>5177202253140223054</t>
  </si>
  <si>
    <t>igor.kulas@allianz.com.br</t>
  </si>
  <si>
    <t>IGOR KAROL KULAS</t>
  </si>
  <si>
    <t>29921403842</t>
  </si>
  <si>
    <t>5177202253140223276</t>
  </si>
  <si>
    <t>roberto.prado@allianz.com.br</t>
  </si>
  <si>
    <t>ROBERTO KANCELSKIS PRADO</t>
  </si>
  <si>
    <t>29930076883</t>
  </si>
  <si>
    <t>5177202253140227579</t>
  </si>
  <si>
    <t>eloisa.avila@allianz.com.br</t>
  </si>
  <si>
    <t>ELOISA LIDIA SOUSA DE AVILA</t>
  </si>
  <si>
    <t>30677662882</t>
  </si>
  <si>
    <t>douglas.bizerra@allianz.com.br</t>
  </si>
  <si>
    <t>CLAUDIA SINESIO FERNANDES</t>
  </si>
  <si>
    <t>14292849862</t>
  </si>
  <si>
    <t>5177202253140234927</t>
  </si>
  <si>
    <t>mvpsvinny@gmail.com</t>
  </si>
  <si>
    <t>MARCUS VINICIUS DO PRADO DA SILVA</t>
  </si>
  <si>
    <t>03744633527</t>
  </si>
  <si>
    <t>5177202253140225886</t>
  </si>
  <si>
    <t>5177202253140253978</t>
  </si>
  <si>
    <t>neide.aguiaro@allianz.com.br</t>
  </si>
  <si>
    <t>MAURICIO CARLOS AGUIARO</t>
  </si>
  <si>
    <t>03429683866</t>
  </si>
  <si>
    <t>5177202253140230122</t>
  </si>
  <si>
    <t>diego.mega@allianz.com.br</t>
  </si>
  <si>
    <t>DIEGO MOREIRA MEGA</t>
  </si>
  <si>
    <t>05826029714</t>
  </si>
  <si>
    <t>5177202253140230168</t>
  </si>
  <si>
    <t>marta.borelli@eulerhermes.com</t>
  </si>
  <si>
    <t>ANA LUCIA MISAWA</t>
  </si>
  <si>
    <t>29134405844</t>
  </si>
  <si>
    <t>5177202253140232190</t>
  </si>
  <si>
    <t>camila.cardoso@allianz.com.br</t>
  </si>
  <si>
    <t>CAMILA DOS SANTOS CARDOSO</t>
  </si>
  <si>
    <t>05523705764</t>
  </si>
  <si>
    <t>5177202253140234630</t>
  </si>
  <si>
    <t>daniel.iarrocheski@allianz.com.br</t>
  </si>
  <si>
    <t>DANIEL ANDERSON IARROCHESKI</t>
  </si>
  <si>
    <t>09682608961</t>
  </si>
  <si>
    <t>5177202253140247445</t>
  </si>
  <si>
    <t>max.rodrigues@allianz.com.br</t>
  </si>
  <si>
    <t>MAX DOS SANTOS RODRIGUES</t>
  </si>
  <si>
    <t>05208759748</t>
  </si>
  <si>
    <t>5177202253140230330</t>
  </si>
  <si>
    <t>silas.requena@allianz.com.br</t>
  </si>
  <si>
    <t>DANIEL SANTOS REQUENA</t>
  </si>
  <si>
    <t>34613434807</t>
  </si>
  <si>
    <t>5177202253140230461</t>
  </si>
  <si>
    <t>JOSE ALVANEZ SIMON</t>
  </si>
  <si>
    <t>34118306972</t>
  </si>
  <si>
    <t>5177202253140233920</t>
  </si>
  <si>
    <t>renato.roperto@allianz.com.br</t>
  </si>
  <si>
    <t>RENATO ROPERTO</t>
  </si>
  <si>
    <t>17682829869</t>
  </si>
  <si>
    <t>5177202253140233305</t>
  </si>
  <si>
    <t>5177202253140233338</t>
  </si>
  <si>
    <t>helena.nishida@allianz.com.br</t>
  </si>
  <si>
    <t>HELENA EIKO TEI NISHIDA</t>
  </si>
  <si>
    <t>89438167820</t>
  </si>
  <si>
    <t>5177202253140236719</t>
  </si>
  <si>
    <t>noadia.rodrigues@allianz.com.br</t>
  </si>
  <si>
    <t>NOADIA JAQUELINE DA SILVA RODRIGUES</t>
  </si>
  <si>
    <t>11161533869</t>
  </si>
  <si>
    <t>5177202253140233210</t>
  </si>
  <si>
    <t>adriano.avila@allianz.com.br</t>
  </si>
  <si>
    <t>ADRIANO TREDEZINI DE AVILA</t>
  </si>
  <si>
    <t>06824468827</t>
  </si>
  <si>
    <t>5177202253140250237</t>
  </si>
  <si>
    <t>cintia.wakayama@allianz.com.br</t>
  </si>
  <si>
    <t>THIAGO MOREIRA BARRETO</t>
  </si>
  <si>
    <t>06460389667</t>
  </si>
  <si>
    <t>5177202253140253400</t>
  </si>
  <si>
    <t>rodrigo.pelegrino@allianz.com.br</t>
  </si>
  <si>
    <t>RODRIGO PAIVA PELEGRINO</t>
  </si>
  <si>
    <t>10001825763</t>
  </si>
  <si>
    <t>5177202253140233441</t>
  </si>
  <si>
    <t>carlos.lanzani@allianz.com.br</t>
  </si>
  <si>
    <t>CARLOS EDUARDO LANZANI</t>
  </si>
  <si>
    <t>07341263873</t>
  </si>
  <si>
    <t>5177202253140242469</t>
  </si>
  <si>
    <t>daniele.oliveira@allianz.com.br</t>
  </si>
  <si>
    <t>ELEVIR DE OLIVEIRA</t>
  </si>
  <si>
    <t>37854470006</t>
  </si>
  <si>
    <t>5177202253140251644</t>
  </si>
  <si>
    <t>paula.galletta@allianz.com.br</t>
  </si>
  <si>
    <t>PAULA S PRIMAVERA GALLETTA</t>
  </si>
  <si>
    <t>28118056805</t>
  </si>
  <si>
    <t>5177202253140252687</t>
  </si>
  <si>
    <t>ademilson.junior@allianz.com.br</t>
  </si>
  <si>
    <t>ADEMILSON DANIELLI F JUNIOR</t>
  </si>
  <si>
    <t>13326607709</t>
  </si>
  <si>
    <t>5177202253140255751</t>
  </si>
  <si>
    <t>michelle.araujo@allianz.com.br</t>
  </si>
  <si>
    <t>MICHELLE CAMELO ARAUJO</t>
  </si>
  <si>
    <t>10030927722</t>
  </si>
  <si>
    <t>5177202253140242501</t>
  </si>
  <si>
    <t>rodrigo.macedo@allianz.com.br</t>
  </si>
  <si>
    <t>RODRIGO SANTOS DE MACEDO</t>
  </si>
  <si>
    <t>08982796746</t>
  </si>
  <si>
    <t>5177202253140252090</t>
  </si>
  <si>
    <t>fabricio.almeida@allianz.com.br</t>
  </si>
  <si>
    <t>FABRICIO GOMES E ALMEIDA</t>
  </si>
  <si>
    <t>07332958783</t>
  </si>
  <si>
    <t>5177202253140255318</t>
  </si>
  <si>
    <t>elias.felicio@allianz.com.br</t>
  </si>
  <si>
    <t>ELIAS GARCIA FELICIO</t>
  </si>
  <si>
    <t>13458556729</t>
  </si>
  <si>
    <t>5177202253140255960</t>
  </si>
  <si>
    <t>ricardo.sousa@allianz.com.br</t>
  </si>
  <si>
    <t>RICARDO LIBERTINO DE SOUSA</t>
  </si>
  <si>
    <t>54281121404</t>
  </si>
  <si>
    <t>RENOVAR</t>
  </si>
  <si>
    <t>Status</t>
  </si>
  <si>
    <t>Linha</t>
  </si>
  <si>
    <t>premioAtual</t>
  </si>
  <si>
    <t>premioAnterior</t>
  </si>
  <si>
    <t>OBSERVAÇÕES</t>
  </si>
  <si>
    <t>SIM</t>
  </si>
  <si>
    <t>NÃO</t>
  </si>
  <si>
    <t xml:space="preserve">Emissão da renovação </t>
  </si>
  <si>
    <t>Início de Vigência</t>
  </si>
  <si>
    <t>Executar</t>
  </si>
  <si>
    <t>Dia Mês</t>
  </si>
  <si>
    <t>Dia Semana</t>
  </si>
  <si>
    <t>Segunda-feira</t>
  </si>
  <si>
    <t>Terça-feira</t>
  </si>
  <si>
    <t>Quarta-feira</t>
  </si>
  <si>
    <t>Quinta-feira</t>
  </si>
  <si>
    <t>Sexta-feira</t>
  </si>
  <si>
    <t>Processar</t>
  </si>
  <si>
    <t>Stop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</si>
  <si>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</si>
  <si>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</si>
  <si>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</si>
  <si>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</si>
  <si>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</si>
  <si>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</si>
  <si>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</si>
  <si>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</si>
  <si>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</si>
  <si>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</si>
  <si>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</si>
  <si>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</si>
  <si>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</si>
  <si>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</si>
  <si>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</si>
  <si>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</si>
  <si>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</si>
  <si>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</si>
  <si>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</si>
  <si>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</si>
  <si>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</si>
  <si>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</si>
  <si>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</si>
  <si>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</si>
  <si>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</si>
  <si>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</si>
  <si>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</si>
  <si>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</si>
  <si>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</si>
  <si>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</si>
  <si>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</si>
  <si>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</si>
  <si>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</si>
  <si>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</si>
  <si>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</si>
  <si>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</si>
  <si>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</si>
  <si>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</si>
  <si>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</si>
  <si>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</si>
  <si>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</si>
  <si>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</si>
  <si>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</si>
  <si>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</si>
  <si>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</si>
  <si>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</si>
  <si>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</si>
  <si>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</si>
  <si>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</si>
  <si>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</si>
  <si>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</si>
  <si>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</si>
  <si>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</si>
  <si>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</si>
  <si>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</si>
  <si>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</si>
  <si>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</si>
  <si>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</si>
  <si>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</si>
  <si>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</si>
  <si>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</si>
  <si>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</si>
  <si>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</si>
  <si>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</si>
  <si>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</si>
  <si>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</si>
  <si>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</si>
  <si>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</si>
  <si>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</si>
  <si>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</si>
  <si>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</si>
  <si>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</si>
  <si>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</si>
  <si>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</si>
  <si>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</si>
  <si>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</si>
  <si>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</si>
  <si>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</si>
  <si>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</si>
  <si>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Processado</t>
  </si>
  <si>
    <t>Email não enviado!  Não Processado - [Erro ao realizar cálculo desta Renovação]</t>
  </si>
  <si>
    <t>633,02</t>
  </si>
  <si>
    <t>407</t>
  </si>
  <si>
    <t>Email Enviado Com Sucesso!</t>
  </si>
  <si>
    <t>441,44</t>
  </si>
  <si>
    <t>220,92</t>
  </si>
  <si>
    <t>754,03</t>
  </si>
  <si>
    <t>530,4</t>
  </si>
  <si>
    <t>341,26</t>
  </si>
  <si>
    <t>1.031,27</t>
  </si>
  <si>
    <t>677,54</t>
  </si>
  <si>
    <t>553,75</t>
  </si>
  <si>
    <t>341,41</t>
  </si>
  <si>
    <t>683,53</t>
  </si>
  <si>
    <t>410,1</t>
  </si>
  <si>
    <t>407,37</t>
  </si>
  <si>
    <t>230,7</t>
  </si>
  <si>
    <t>746,52</t>
  </si>
  <si>
    <t>463,89</t>
  </si>
  <si>
    <t>464,02</t>
  </si>
  <si>
    <t>264,06</t>
  </si>
  <si>
    <t>616,09</t>
  </si>
  <si>
    <t>378,46</t>
  </si>
  <si>
    <t>984,17</t>
  </si>
  <si>
    <t>736,67</t>
  </si>
  <si>
    <t>Não Processado - Não Renovar</t>
  </si>
  <si>
    <t>359,09</t>
  </si>
  <si>
    <t>233,86</t>
  </si>
  <si>
    <t>681,14</t>
  </si>
  <si>
    <t>505,71</t>
  </si>
  <si>
    <t>711,4</t>
  </si>
  <si>
    <t>426,8</t>
  </si>
  <si>
    <t>506,94</t>
  </si>
  <si>
    <t>312,54</t>
  </si>
  <si>
    <t>595,67</t>
  </si>
  <si>
    <t>537,37</t>
  </si>
  <si>
    <t>608,38</t>
  </si>
  <si>
    <t>388,16</t>
  </si>
  <si>
    <t>630,16</t>
  </si>
  <si>
    <t>378,03</t>
  </si>
  <si>
    <t>457,36</t>
  </si>
  <si>
    <t>262,2</t>
  </si>
  <si>
    <t xml:space="preserve">Email não enviado! </t>
  </si>
  <si>
    <t>613,49</t>
  </si>
  <si>
    <t>353,23</t>
  </si>
  <si>
    <t>869,95</t>
  </si>
  <si>
    <t>563,79</t>
  </si>
  <si>
    <t>152,73</t>
  </si>
  <si>
    <t>102,61</t>
  </si>
  <si>
    <t>434,43</t>
  </si>
  <si>
    <t>178,17</t>
  </si>
  <si>
    <t>424,85</t>
  </si>
  <si>
    <t>252,92</t>
  </si>
  <si>
    <t>345,98</t>
  </si>
  <si>
    <t>195,47</t>
  </si>
  <si>
    <t>501,61</t>
  </si>
  <si>
    <t>352,87</t>
  </si>
  <si>
    <t>348,36</t>
  </si>
  <si>
    <t>182,8</t>
  </si>
  <si>
    <t>616,21</t>
  </si>
  <si>
    <t>429,5</t>
  </si>
  <si>
    <t>374,74</t>
  </si>
  <si>
    <t>483,94</t>
  </si>
  <si>
    <t>292,83</t>
  </si>
  <si>
    <t>722,74</t>
  </si>
  <si>
    <t>467,17</t>
  </si>
  <si>
    <t>234,06</t>
  </si>
  <si>
    <t>206,42</t>
  </si>
  <si>
    <t>323,19</t>
  </si>
  <si>
    <t>128,17</t>
  </si>
  <si>
    <t>1.116,52</t>
  </si>
  <si>
    <t>752,06</t>
  </si>
  <si>
    <t>307,62</t>
  </si>
  <si>
    <t>194,47</t>
  </si>
  <si>
    <t>552,59</t>
  </si>
  <si>
    <t>275,69</t>
  </si>
  <si>
    <t>876,4</t>
  </si>
  <si>
    <t>551,86</t>
  </si>
  <si>
    <t>624,45</t>
  </si>
  <si>
    <t>383,56</t>
  </si>
  <si>
    <t>239,22</t>
  </si>
  <si>
    <t>325,1</t>
  </si>
  <si>
    <t>393,31</t>
  </si>
  <si>
    <t>243,16</t>
  </si>
  <si>
    <t>795,03</t>
  </si>
  <si>
    <t>574,1</t>
  </si>
  <si>
    <t>148,37</t>
  </si>
  <si>
    <t>265,13</t>
  </si>
  <si>
    <t>804,57</t>
  </si>
  <si>
    <t>551,85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</si>
</sst>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2">
    <xf borderId="0" fillId="0" fontId="0" numFmtId="0"/>
    <xf borderId="0" fillId="0" fontId="2" numFmtId="0"/>
  </cellStyleXfs>
  <cellXfs count="22">
    <xf borderId="0" fillId="0" fontId="0" numFmtId="0" xfId="0"/>
    <xf applyNumberFormat="1" borderId="0" fillId="0" fontId="0" numFmtId="49" xfId="0"/>
    <xf applyFont="1" borderId="0" fillId="0" fontId="1" numFmtId="0" xfId="0"/>
    <xf applyNumberFormat="1" borderId="0" fillId="0" fontId="0" numFmtId="49" xfId="0"/>
    <xf applyAlignment="1" applyFill="1" applyFont="1" borderId="0" fillId="2" fontId="3" numFmtId="0" xfId="1">
      <alignment horizontal="center"/>
    </xf>
    <xf applyAlignment="1" applyFill="1" applyFont="1" applyNumberFormat="1" borderId="0" fillId="3" fontId="3" numFmtId="49" xfId="1">
      <alignment horizontal="center"/>
    </xf>
    <xf applyAlignment="1" applyNumberFormat="1" borderId="0" fillId="0" fontId="0" numFmtId="49" xfId="0">
      <alignment horizontal="center"/>
    </xf>
    <xf applyAlignment="1" borderId="0" fillId="0" fontId="0" numFmtId="0" xfId="0">
      <alignment horizontal="center"/>
    </xf>
    <xf applyAlignment="1" applyBorder="1" applyFill="1" applyFont="1" borderId="7" fillId="4" fontId="5" numFmtId="0" xfId="0">
      <alignment horizontal="center" vertical="center"/>
    </xf>
    <xf applyAlignment="1" applyBorder="1" applyFill="1" applyFont="1" applyNumberFormat="1" borderId="8" fillId="2" fontId="6" numFmtId="14" xfId="0">
      <alignment horizontal="center"/>
    </xf>
    <xf applyAlignment="1" applyBorder="1" applyFill="1" applyFont="1" borderId="8" fillId="2" fontId="6" numFmtId="0" xfId="0">
      <alignment horizontal="center"/>
    </xf>
    <xf applyAlignment="1" applyBorder="1" applyFill="1" applyFont="1" applyNumberFormat="1" borderId="8" fillId="2" fontId="7" numFmtId="14" xfId="0">
      <alignment horizontal="center"/>
    </xf>
    <xf applyAlignment="1" applyBorder="1" applyFill="1" applyFont="1" borderId="8" fillId="2" fontId="7" numFmtId="0" xfId="0">
      <alignment horizontal="center"/>
    </xf>
    <xf applyAlignment="1" applyFill="1" applyFont="1" borderId="0" fillId="5" fontId="3" numFmtId="0" xfId="1">
      <alignment horizontal="center"/>
    </xf>
    <xf applyAlignment="1" applyFill="1" applyFont="1" applyNumberFormat="1" borderId="0" fillId="5" fontId="3" numFmtId="49" xfId="1">
      <alignment horizontal="center"/>
    </xf>
    <xf applyAlignment="1" applyBorder="1" applyFill="1" applyFont="1" borderId="1" fillId="4" fontId="4" numFmtId="0" xfId="0">
      <alignment horizontal="center" vertical="center"/>
    </xf>
    <xf applyAlignment="1" applyBorder="1" applyFill="1" applyFont="1" borderId="2" fillId="4" fontId="4" numFmtId="0" xfId="0">
      <alignment horizontal="center" vertical="center"/>
    </xf>
    <xf applyAlignment="1" applyBorder="1" applyFill="1" applyFont="1" borderId="3" fillId="4" fontId="4" numFmtId="0" xfId="0">
      <alignment horizontal="center" vertical="center"/>
    </xf>
    <xf applyAlignment="1" applyBorder="1" applyFill="1" applyFont="1" borderId="4" fillId="4" fontId="5" numFmtId="0" xfId="0">
      <alignment horizontal="center" vertical="center"/>
    </xf>
    <xf applyAlignment="1" applyBorder="1" applyFill="1" applyFont="1" borderId="7" fillId="4" fontId="5" numFmtId="0" xfId="0">
      <alignment horizontal="center" vertical="center"/>
    </xf>
    <xf applyAlignment="1" applyBorder="1" applyFill="1" applyFont="1" borderId="5" fillId="4" fontId="5" numFmtId="0" xfId="0">
      <alignment horizontal="center" vertical="center"/>
    </xf>
    <xf applyAlignment="1" applyBorder="1" applyFill="1" applyFont="1" borderId="6" fillId="4" fontId="5" numFmtId="0" xfId="0">
      <alignment horizontal="center" vertical="center"/>
    </xf>
  </cellXfs>
  <cellStyles count="2">
    <cellStyle builtinId="0" name="Normal" xfId="0"/>
    <cellStyle name="Normal 2" xfId="1" xr:uid="{E08D4593-72CE-4A0D-B2AC-1E6D8703181B}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ACDED-F7B4-473A-9296-AE6B14A121CB}">
  <dimension ref="A1:T80"/>
  <sheetViews>
    <sheetView tabSelected="1" topLeftCell="J48" workbookViewId="0">
      <selection activeCell="O63" sqref="O63"/>
    </sheetView>
  </sheetViews>
  <sheetFormatPr defaultRowHeight="12.75" x14ac:dyDescent="0.2"/>
  <cols>
    <col min="1" max="1" bestFit="true" customWidth="true" width="10.0" collapsed="true"/>
    <col min="2" max="2" bestFit="true" customWidth="true" width="20.42578125" collapsed="true"/>
    <col min="3" max="3" customWidth="true" width="11.42578125" collapsed="true"/>
    <col min="4" max="4" customWidth="true" width="8.85546875" collapsed="true"/>
    <col min="5" max="5" customWidth="true" width="18.140625" collapsed="true"/>
    <col min="6" max="6" bestFit="true" customWidth="true" width="13.0" collapsed="true"/>
    <col min="7" max="7" customWidth="true" width="12.85546875" collapsed="true"/>
    <col min="8" max="8" customWidth="true" width="10.5703125" collapsed="true"/>
    <col min="9" max="9" customWidth="true" width="12.85546875" collapsed="true"/>
    <col min="10" max="10" bestFit="true" customWidth="true" width="37.5703125" collapsed="true"/>
    <col min="11" max="11" customWidth="true" width="42.5703125" collapsed="true"/>
    <col min="12" max="12" bestFit="true" customWidth="true" width="12.0" collapsed="true"/>
    <col min="13" max="13" bestFit="true" customWidth="true" width="13.5703125" collapsed="true"/>
    <col min="14" max="14" bestFit="true" customWidth="true" style="7" width="14.42578125" collapsed="true"/>
    <col min="15" max="15" bestFit="true" customWidth="true" width="11.0" collapsed="true"/>
    <col min="16" max="16" bestFit="true" customWidth="true" width="10.42578125" collapsed="true"/>
    <col min="17" max="17" bestFit="true" customWidth="true" width="16.5703125" collapsed="true"/>
    <col min="18" max="18" bestFit="true" customWidth="true" width="19.5703125" collapsed="true"/>
    <col min="19" max="19" bestFit="true" customWidth="true" width="18.5703125" collapsed="true"/>
  </cols>
  <sheetData>
    <row ht="15"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320</v>
      </c>
      <c r="O1" s="13" t="s">
        <v>321</v>
      </c>
      <c r="P1" s="14" t="s">
        <v>322</v>
      </c>
      <c r="Q1" s="14" t="s">
        <v>323</v>
      </c>
      <c r="R1" s="14" t="s">
        <v>324</v>
      </c>
      <c r="S1" s="5" t="s">
        <v>325</v>
      </c>
    </row>
    <row r="2" spans="1:19" x14ac:dyDescent="0.2">
      <c r="A2">
        <v>120743221</v>
      </c>
      <c r="B2" s="1" t="s">
        <v>13</v>
      </c>
      <c r="C2">
        <v>117132727</v>
      </c>
      <c r="D2">
        <v>2013</v>
      </c>
      <c r="E2">
        <v>4</v>
      </c>
      <c r="F2">
        <v>20230801</v>
      </c>
      <c r="G2">
        <v>15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>
        <v>985096</v>
      </c>
      <c r="N2" s="6" t="s">
        <v>326</v>
      </c>
      <c r="O2" s="3" t="s">
        <v>419</v>
      </c>
      <c r="P2" s="3" t="s">
        <v>340</v>
      </c>
      <c r="Q2" s="3"/>
      <c r="R2" s="3"/>
      <c r="S2" s="3" t="s">
        <v>420</v>
      </c>
    </row>
    <row r="3" spans="1:19" x14ac:dyDescent="0.2">
      <c r="A3">
        <v>120867048</v>
      </c>
      <c r="B3" s="3" t="s">
        <v>19</v>
      </c>
      <c r="C3">
        <v>0</v>
      </c>
      <c r="D3">
        <v>2013</v>
      </c>
      <c r="E3">
        <v>10</v>
      </c>
      <c r="F3">
        <v>20230801</v>
      </c>
      <c r="G3">
        <v>1</v>
      </c>
      <c r="H3" s="3" t="s">
        <v>14</v>
      </c>
      <c r="I3" s="3" t="s">
        <v>15</v>
      </c>
      <c r="J3" s="3" t="s">
        <v>20</v>
      </c>
      <c r="K3" s="3" t="s">
        <v>21</v>
      </c>
      <c r="L3" s="3" t="s">
        <v>22</v>
      </c>
      <c r="M3">
        <v>129052079</v>
      </c>
      <c r="N3" s="6" t="s">
        <v>326</v>
      </c>
      <c r="O3" s="3" t="s">
        <v>419</v>
      </c>
      <c r="P3" s="3" t="s">
        <v>341</v>
      </c>
      <c r="Q3" s="3" t="s">
        <v>340</v>
      </c>
      <c r="R3" s="3" t="s">
        <v>428</v>
      </c>
      <c r="S3" s="3" t="s">
        <v>423</v>
      </c>
    </row>
    <row r="4" spans="1:19" x14ac:dyDescent="0.2">
      <c r="A4">
        <v>120742883</v>
      </c>
      <c r="B4" s="3" t="s">
        <v>23</v>
      </c>
      <c r="C4">
        <v>117091307</v>
      </c>
      <c r="D4">
        <v>2013</v>
      </c>
      <c r="E4">
        <v>4</v>
      </c>
      <c r="F4">
        <v>20230802</v>
      </c>
      <c r="G4">
        <v>15</v>
      </c>
      <c r="H4" s="3" t="s">
        <v>14</v>
      </c>
      <c r="I4" s="3" t="s">
        <v>15</v>
      </c>
      <c r="J4" s="3" t="s">
        <v>24</v>
      </c>
      <c r="K4" s="3" t="s">
        <v>25</v>
      </c>
      <c r="L4" s="3" t="s">
        <v>26</v>
      </c>
      <c r="M4">
        <v>3930156</v>
      </c>
      <c r="N4" s="6" t="s">
        <v>326</v>
      </c>
      <c r="O4" s="3" t="s">
        <v>419</v>
      </c>
      <c r="P4" s="3" t="s">
        <v>342</v>
      </c>
      <c r="Q4" s="3" t="s">
        <v>429</v>
      </c>
      <c r="R4" s="3" t="s">
        <v>430</v>
      </c>
      <c r="S4" s="3" t="s">
        <v>423</v>
      </c>
    </row>
    <row r="5" spans="1:19" x14ac:dyDescent="0.2">
      <c r="A5">
        <v>120752627</v>
      </c>
      <c r="B5" s="3" t="s">
        <v>27</v>
      </c>
      <c r="C5">
        <v>117126796</v>
      </c>
      <c r="D5">
        <v>2013</v>
      </c>
      <c r="E5">
        <v>2</v>
      </c>
      <c r="F5">
        <v>20230803</v>
      </c>
      <c r="G5">
        <v>30</v>
      </c>
      <c r="H5" s="3" t="s">
        <v>14</v>
      </c>
      <c r="I5" s="3" t="s">
        <v>15</v>
      </c>
      <c r="J5" s="3" t="s">
        <v>28</v>
      </c>
      <c r="K5" s="3" t="s">
        <v>29</v>
      </c>
      <c r="L5" s="3" t="s">
        <v>30</v>
      </c>
      <c r="M5">
        <v>3837185</v>
      </c>
      <c r="N5" s="6" t="s">
        <v>326</v>
      </c>
      <c r="O5" s="3" t="s">
        <v>419</v>
      </c>
      <c r="P5" s="3" t="s">
        <v>343</v>
      </c>
      <c r="Q5" s="3" t="s">
        <v>431</v>
      </c>
      <c r="R5" s="3" t="s">
        <v>432</v>
      </c>
      <c r="S5" s="3" t="s">
        <v>423</v>
      </c>
    </row>
    <row r="6" spans="1:19" x14ac:dyDescent="0.2">
      <c r="A6">
        <v>120829404</v>
      </c>
      <c r="B6" s="3" t="s">
        <v>31</v>
      </c>
      <c r="C6">
        <v>117087941</v>
      </c>
      <c r="D6">
        <v>2013</v>
      </c>
      <c r="E6">
        <v>4</v>
      </c>
      <c r="F6">
        <v>20230803</v>
      </c>
      <c r="G6">
        <v>15</v>
      </c>
      <c r="H6" s="3" t="s">
        <v>14</v>
      </c>
      <c r="I6" s="3" t="s">
        <v>15</v>
      </c>
      <c r="J6" s="3" t="s">
        <v>32</v>
      </c>
      <c r="K6" s="3" t="s">
        <v>33</v>
      </c>
      <c r="L6" s="3" t="s">
        <v>34</v>
      </c>
      <c r="M6">
        <v>4498644</v>
      </c>
      <c r="N6" s="6" t="s">
        <v>326</v>
      </c>
      <c r="O6" s="3" t="s">
        <v>419</v>
      </c>
      <c r="P6" s="3" t="s">
        <v>344</v>
      </c>
      <c r="Q6" s="3" t="s">
        <v>433</v>
      </c>
      <c r="R6" s="3" t="s">
        <v>434</v>
      </c>
      <c r="S6" s="3" t="s">
        <v>423</v>
      </c>
    </row>
    <row r="7" spans="1:19" x14ac:dyDescent="0.2">
      <c r="A7">
        <v>120936552</v>
      </c>
      <c r="B7" s="3" t="s">
        <v>35</v>
      </c>
      <c r="C7">
        <v>0</v>
      </c>
      <c r="D7">
        <v>2013</v>
      </c>
      <c r="E7">
        <v>1</v>
      </c>
      <c r="F7">
        <v>20230803</v>
      </c>
      <c r="G7">
        <v>9</v>
      </c>
      <c r="H7" s="3" t="s">
        <v>14</v>
      </c>
      <c r="I7" s="3" t="s">
        <v>15</v>
      </c>
      <c r="J7" s="3" t="s">
        <v>36</v>
      </c>
      <c r="K7" s="3" t="s">
        <v>37</v>
      </c>
      <c r="L7" s="3" t="s">
        <v>38</v>
      </c>
      <c r="M7">
        <v>122648944</v>
      </c>
      <c r="N7" s="6" t="s">
        <v>326</v>
      </c>
      <c r="O7" s="3" t="s">
        <v>419</v>
      </c>
      <c r="P7" s="3" t="s">
        <v>345</v>
      </c>
      <c r="Q7" s="3" t="s">
        <v>421</v>
      </c>
      <c r="R7" s="3" t="s">
        <v>422</v>
      </c>
      <c r="S7" s="3" t="s">
        <v>423</v>
      </c>
    </row>
    <row r="8" spans="1:19" x14ac:dyDescent="0.2">
      <c r="A8">
        <v>120756163</v>
      </c>
      <c r="B8" s="3" t="s">
        <v>39</v>
      </c>
      <c r="C8">
        <v>117197804</v>
      </c>
      <c r="D8">
        <v>2013</v>
      </c>
      <c r="E8">
        <v>10</v>
      </c>
      <c r="F8">
        <v>20230804</v>
      </c>
      <c r="G8">
        <v>15</v>
      </c>
      <c r="H8" s="3" t="s">
        <v>14</v>
      </c>
      <c r="I8" s="3" t="s">
        <v>15</v>
      </c>
      <c r="J8" s="3" t="s">
        <v>40</v>
      </c>
      <c r="K8" s="3" t="s">
        <v>41</v>
      </c>
      <c r="L8" s="3" t="s">
        <v>42</v>
      </c>
      <c r="M8">
        <v>123737364</v>
      </c>
      <c r="N8" s="6" t="s">
        <v>326</v>
      </c>
      <c r="O8" s="3" t="s">
        <v>419</v>
      </c>
      <c r="P8" s="3" t="s">
        <v>346</v>
      </c>
      <c r="Q8" s="3" t="s">
        <v>424</v>
      </c>
      <c r="R8" s="3" t="s">
        <v>425</v>
      </c>
      <c r="S8" s="3" t="s">
        <v>423</v>
      </c>
    </row>
    <row r="9" spans="1:19" x14ac:dyDescent="0.2">
      <c r="A9">
        <v>120783752</v>
      </c>
      <c r="B9" s="3" t="s">
        <v>43</v>
      </c>
      <c r="C9">
        <v>117131715</v>
      </c>
      <c r="D9">
        <v>2013</v>
      </c>
      <c r="E9">
        <v>1</v>
      </c>
      <c r="F9">
        <v>20230804</v>
      </c>
      <c r="G9">
        <v>1</v>
      </c>
      <c r="H9" s="3" t="s">
        <v>14</v>
      </c>
      <c r="I9" s="3" t="s">
        <v>15</v>
      </c>
      <c r="J9" s="3" t="s">
        <v>44</v>
      </c>
      <c r="K9" s="3" t="s">
        <v>45</v>
      </c>
      <c r="L9" s="3" t="s">
        <v>46</v>
      </c>
      <c r="M9">
        <v>120422736</v>
      </c>
      <c r="N9" s="6" t="s">
        <v>326</v>
      </c>
      <c r="O9" s="3" t="s">
        <v>419</v>
      </c>
      <c r="P9" s="3" t="s">
        <v>347</v>
      </c>
      <c r="Q9" s="3" t="s">
        <v>426</v>
      </c>
      <c r="R9" s="3" t="s">
        <v>427</v>
      </c>
      <c r="S9" s="3" t="s">
        <v>423</v>
      </c>
    </row>
    <row r="10" spans="1:19" x14ac:dyDescent="0.2">
      <c r="A10">
        <v>120860207</v>
      </c>
      <c r="B10" s="3" t="s">
        <v>47</v>
      </c>
      <c r="C10">
        <v>117214043</v>
      </c>
      <c r="D10">
        <v>2013</v>
      </c>
      <c r="E10">
        <v>1</v>
      </c>
      <c r="F10">
        <v>20230805</v>
      </c>
      <c r="G10">
        <v>16</v>
      </c>
      <c r="H10" s="3" t="s">
        <v>14</v>
      </c>
      <c r="I10" s="3" t="s">
        <v>15</v>
      </c>
      <c r="J10" s="3" t="s">
        <v>48</v>
      </c>
      <c r="K10" s="3" t="s">
        <v>49</v>
      </c>
      <c r="L10" s="3" t="s">
        <v>50</v>
      </c>
      <c r="M10">
        <v>1237325</v>
      </c>
      <c r="N10" s="6" t="s">
        <v>326</v>
      </c>
      <c r="O10" s="3" t="s">
        <v>419</v>
      </c>
      <c r="P10" s="3" t="s">
        <v>348</v>
      </c>
      <c r="Q10" s="3" t="s">
        <v>435</v>
      </c>
      <c r="R10" s="3" t="s">
        <v>436</v>
      </c>
      <c r="S10" s="3" t="s">
        <v>423</v>
      </c>
    </row>
    <row r="11" spans="1:19" x14ac:dyDescent="0.2">
      <c r="A11">
        <v>120887765</v>
      </c>
      <c r="B11" s="3" t="s">
        <v>51</v>
      </c>
      <c r="C11">
        <v>117183828</v>
      </c>
      <c r="D11">
        <v>2013</v>
      </c>
      <c r="E11">
        <v>10</v>
      </c>
      <c r="F11">
        <v>20230805</v>
      </c>
      <c r="G11">
        <v>15</v>
      </c>
      <c r="H11" s="3" t="s">
        <v>14</v>
      </c>
      <c r="I11" s="3" t="s">
        <v>15</v>
      </c>
      <c r="J11" s="3" t="s">
        <v>52</v>
      </c>
      <c r="K11" s="3" t="s">
        <v>53</v>
      </c>
      <c r="L11" s="3" t="s">
        <v>54</v>
      </c>
      <c r="M11">
        <v>2829013</v>
      </c>
      <c r="N11" s="6" t="s">
        <v>326</v>
      </c>
      <c r="O11" s="3" t="s">
        <v>419</v>
      </c>
      <c r="P11" s="3" t="s">
        <v>349</v>
      </c>
      <c r="Q11" s="3" t="s">
        <v>437</v>
      </c>
      <c r="R11" s="3" t="s">
        <v>438</v>
      </c>
      <c r="S11" s="3" t="s">
        <v>423</v>
      </c>
    </row>
    <row r="12" spans="1:19" x14ac:dyDescent="0.2">
      <c r="A12">
        <v>120780449</v>
      </c>
      <c r="B12" s="3" t="s">
        <v>55</v>
      </c>
      <c r="C12">
        <v>117107034</v>
      </c>
      <c r="D12">
        <v>2013</v>
      </c>
      <c r="E12">
        <v>10</v>
      </c>
      <c r="F12">
        <v>20230806</v>
      </c>
      <c r="G12">
        <v>1</v>
      </c>
      <c r="H12" s="3" t="s">
        <v>14</v>
      </c>
      <c r="I12" s="3" t="s">
        <v>15</v>
      </c>
      <c r="J12" s="3" t="s">
        <v>56</v>
      </c>
      <c r="K12" s="3" t="s">
        <v>57</v>
      </c>
      <c r="L12" s="3" t="s">
        <v>58</v>
      </c>
      <c r="M12">
        <v>123863389</v>
      </c>
      <c r="N12" s="6" t="s">
        <v>326</v>
      </c>
      <c r="O12" s="3" t="s">
        <v>419</v>
      </c>
      <c r="P12" s="3" t="s">
        <v>350</v>
      </c>
      <c r="Q12" s="3" t="s">
        <v>439</v>
      </c>
      <c r="R12" s="3" t="s">
        <v>440</v>
      </c>
      <c r="S12" s="3" t="s">
        <v>423</v>
      </c>
    </row>
    <row r="13" spans="1:19" x14ac:dyDescent="0.2">
      <c r="A13">
        <v>120860426</v>
      </c>
      <c r="B13" s="3" t="s">
        <v>59</v>
      </c>
      <c r="C13">
        <v>117155262</v>
      </c>
      <c r="D13">
        <v>2013</v>
      </c>
      <c r="E13">
        <v>2</v>
      </c>
      <c r="F13">
        <v>20230807</v>
      </c>
      <c r="G13">
        <v>18</v>
      </c>
      <c r="H13" s="3" t="s">
        <v>14</v>
      </c>
      <c r="I13" s="3" t="s">
        <v>15</v>
      </c>
      <c r="J13" s="3" t="s">
        <v>48</v>
      </c>
      <c r="K13" s="3" t="s">
        <v>49</v>
      </c>
      <c r="L13" s="3" t="s">
        <v>50</v>
      </c>
      <c r="M13">
        <v>1237325</v>
      </c>
      <c r="N13" s="6" t="s">
        <v>326</v>
      </c>
      <c r="O13" s="3" t="s">
        <v>419</v>
      </c>
      <c r="P13" s="3" t="s">
        <v>351</v>
      </c>
      <c r="Q13" s="3" t="s">
        <v>441</v>
      </c>
      <c r="R13" s="3" t="s">
        <v>442</v>
      </c>
      <c r="S13" s="3" t="s">
        <v>423</v>
      </c>
    </row>
    <row r="14" spans="1:19" x14ac:dyDescent="0.2">
      <c r="A14">
        <v>121045885</v>
      </c>
      <c r="B14" s="3" t="s">
        <v>60</v>
      </c>
      <c r="C14">
        <v>0</v>
      </c>
      <c r="D14">
        <v>2013</v>
      </c>
      <c r="E14">
        <v>1</v>
      </c>
      <c r="F14">
        <v>20230808</v>
      </c>
      <c r="G14">
        <v>15</v>
      </c>
      <c r="H14" s="3" t="s">
        <v>14</v>
      </c>
      <c r="I14" s="3" t="s">
        <v>15</v>
      </c>
      <c r="J14" s="3" t="s">
        <v>61</v>
      </c>
      <c r="K14" s="3" t="s">
        <v>62</v>
      </c>
      <c r="L14" s="3" t="s">
        <v>63</v>
      </c>
      <c r="M14">
        <v>14348487</v>
      </c>
      <c r="N14" s="6" t="s">
        <v>326</v>
      </c>
      <c r="O14" s="3" t="s">
        <v>419</v>
      </c>
      <c r="P14" s="3" t="s">
        <v>352</v>
      </c>
      <c r="Q14" s="3" t="s">
        <v>443</v>
      </c>
      <c r="R14" s="3" t="s">
        <v>444</v>
      </c>
      <c r="S14" s="3" t="s">
        <v>423</v>
      </c>
    </row>
    <row r="15" spans="1:19" x14ac:dyDescent="0.2">
      <c r="A15">
        <v>120803011</v>
      </c>
      <c r="B15" s="3" t="s">
        <v>64</v>
      </c>
      <c r="C15">
        <v>117241475</v>
      </c>
      <c r="D15">
        <v>2013</v>
      </c>
      <c r="E15">
        <v>10</v>
      </c>
      <c r="F15">
        <v>20230809</v>
      </c>
      <c r="G15">
        <v>1</v>
      </c>
      <c r="H15" s="3" t="s">
        <v>14</v>
      </c>
      <c r="I15" s="3" t="s">
        <v>15</v>
      </c>
      <c r="J15" s="3" t="s">
        <v>65</v>
      </c>
      <c r="K15" s="3" t="s">
        <v>66</v>
      </c>
      <c r="L15" s="3" t="s">
        <v>67</v>
      </c>
      <c r="M15">
        <v>2713538</v>
      </c>
      <c r="N15" s="6" t="s">
        <v>327</v>
      </c>
      <c r="O15" s="3" t="s">
        <v>419</v>
      </c>
      <c r="P15" s="3" t="s">
        <v>353</v>
      </c>
      <c r="Q15" s="3"/>
      <c r="R15" s="3"/>
      <c r="S15" s="3" t="s">
        <v>445</v>
      </c>
    </row>
    <row r="16" spans="1:19" x14ac:dyDescent="0.2">
      <c r="A16">
        <v>120814455</v>
      </c>
      <c r="B16" s="3" t="s">
        <v>71</v>
      </c>
      <c r="C16">
        <v>117248266</v>
      </c>
      <c r="D16">
        <v>2013</v>
      </c>
      <c r="E16">
        <v>10</v>
      </c>
      <c r="F16">
        <v>20230809</v>
      </c>
      <c r="G16">
        <v>15</v>
      </c>
      <c r="H16" s="3" t="s">
        <v>14</v>
      </c>
      <c r="I16" s="3" t="s">
        <v>15</v>
      </c>
      <c r="J16" s="3" t="s">
        <v>72</v>
      </c>
      <c r="K16" s="3" t="s">
        <v>73</v>
      </c>
      <c r="L16" s="3" t="s">
        <v>74</v>
      </c>
      <c r="M16">
        <v>123021359</v>
      </c>
      <c r="N16" s="6" t="s">
        <v>326</v>
      </c>
      <c r="O16" s="3" t="s">
        <v>419</v>
      </c>
      <c r="P16" s="3" t="s">
        <v>354</v>
      </c>
      <c r="Q16" s="3" t="s">
        <v>446</v>
      </c>
      <c r="R16" s="3" t="s">
        <v>447</v>
      </c>
      <c r="S16" s="3" t="s">
        <v>423</v>
      </c>
    </row>
    <row r="17" spans="1:19" x14ac:dyDescent="0.2">
      <c r="A17">
        <v>120818518</v>
      </c>
      <c r="B17" s="3" t="s">
        <v>75</v>
      </c>
      <c r="C17">
        <v>117114416</v>
      </c>
      <c r="D17">
        <v>2013</v>
      </c>
      <c r="E17">
        <v>10</v>
      </c>
      <c r="F17">
        <v>20230809</v>
      </c>
      <c r="G17">
        <v>15</v>
      </c>
      <c r="H17" s="3" t="s">
        <v>14</v>
      </c>
      <c r="I17" s="3" t="s">
        <v>15</v>
      </c>
      <c r="J17" s="3" t="s">
        <v>76</v>
      </c>
      <c r="K17" s="3" t="s">
        <v>77</v>
      </c>
      <c r="L17" s="3" t="s">
        <v>78</v>
      </c>
      <c r="M17">
        <v>123738654</v>
      </c>
      <c r="N17" s="6" t="s">
        <v>327</v>
      </c>
      <c r="O17" s="3" t="s">
        <v>419</v>
      </c>
      <c r="P17" s="3" t="s">
        <v>355</v>
      </c>
      <c r="Q17" s="3"/>
      <c r="R17" s="3"/>
      <c r="S17" s="3" t="s">
        <v>445</v>
      </c>
    </row>
    <row r="18" spans="1:19" x14ac:dyDescent="0.2">
      <c r="A18">
        <v>120977370</v>
      </c>
      <c r="B18" s="3" t="s">
        <v>79</v>
      </c>
      <c r="C18">
        <v>0</v>
      </c>
      <c r="D18">
        <v>2013</v>
      </c>
      <c r="E18">
        <v>6</v>
      </c>
      <c r="F18">
        <v>20230809</v>
      </c>
      <c r="G18">
        <v>0</v>
      </c>
      <c r="H18" s="3" t="s">
        <v>14</v>
      </c>
      <c r="I18" s="3" t="s">
        <v>15</v>
      </c>
      <c r="J18" s="3" t="s">
        <v>80</v>
      </c>
      <c r="K18" s="3" t="s">
        <v>81</v>
      </c>
      <c r="L18" s="3" t="s">
        <v>82</v>
      </c>
      <c r="M18">
        <v>123739549</v>
      </c>
      <c r="N18" s="6" t="s">
        <v>326</v>
      </c>
      <c r="O18" s="3" t="s">
        <v>419</v>
      </c>
      <c r="P18" s="3" t="s">
        <v>356</v>
      </c>
      <c r="Q18" s="3"/>
      <c r="R18" s="3"/>
      <c r="S18" s="3" t="s">
        <v>420</v>
      </c>
    </row>
    <row r="19" spans="1:19" x14ac:dyDescent="0.2">
      <c r="A19">
        <v>120986647</v>
      </c>
      <c r="B19" s="3" t="s">
        <v>83</v>
      </c>
      <c r="C19">
        <v>0</v>
      </c>
      <c r="D19">
        <v>2013</v>
      </c>
      <c r="E19">
        <v>10</v>
      </c>
      <c r="F19">
        <v>20230809</v>
      </c>
      <c r="G19">
        <v>5</v>
      </c>
      <c r="H19" s="3" t="s">
        <v>14</v>
      </c>
      <c r="I19" s="3" t="s">
        <v>15</v>
      </c>
      <c r="J19" s="3" t="s">
        <v>84</v>
      </c>
      <c r="K19" s="3" t="s">
        <v>85</v>
      </c>
      <c r="L19" s="3" t="s">
        <v>86</v>
      </c>
      <c r="M19">
        <v>128278498</v>
      </c>
      <c r="N19" s="6" t="s">
        <v>326</v>
      </c>
      <c r="O19" s="3" t="s">
        <v>419</v>
      </c>
      <c r="P19" s="3" t="s">
        <v>357</v>
      </c>
      <c r="Q19" s="3" t="s">
        <v>448</v>
      </c>
      <c r="R19" s="3" t="s">
        <v>449</v>
      </c>
      <c r="S19" s="3" t="s">
        <v>423</v>
      </c>
    </row>
    <row r="20" spans="1:19" x14ac:dyDescent="0.2">
      <c r="A20">
        <v>121049845</v>
      </c>
      <c r="B20" s="3" t="s">
        <v>87</v>
      </c>
      <c r="C20">
        <v>117248751</v>
      </c>
      <c r="D20">
        <v>2013</v>
      </c>
      <c r="E20">
        <v>4</v>
      </c>
      <c r="F20">
        <v>20230809</v>
      </c>
      <c r="G20">
        <v>30</v>
      </c>
      <c r="H20" s="3" t="s">
        <v>14</v>
      </c>
      <c r="I20" s="3" t="s">
        <v>15</v>
      </c>
      <c r="J20" s="3" t="s">
        <v>88</v>
      </c>
      <c r="K20" s="3" t="s">
        <v>89</v>
      </c>
      <c r="L20" s="3" t="s">
        <v>90</v>
      </c>
      <c r="M20">
        <v>13502529</v>
      </c>
      <c r="N20" s="6" t="s">
        <v>326</v>
      </c>
      <c r="O20" s="3" t="s">
        <v>419</v>
      </c>
      <c r="P20" s="3" t="s">
        <v>358</v>
      </c>
      <c r="Q20" s="3" t="s">
        <v>450</v>
      </c>
      <c r="R20" s="3" t="s">
        <v>451</v>
      </c>
      <c r="S20" s="3" t="s">
        <v>423</v>
      </c>
    </row>
    <row r="21" spans="1:19" x14ac:dyDescent="0.2">
      <c r="A21">
        <v>120833181</v>
      </c>
      <c r="B21" s="3" t="s">
        <v>91</v>
      </c>
      <c r="C21">
        <v>117097341</v>
      </c>
      <c r="D21">
        <v>2013</v>
      </c>
      <c r="E21">
        <v>3</v>
      </c>
      <c r="F21">
        <v>20230810</v>
      </c>
      <c r="G21">
        <v>15</v>
      </c>
      <c r="H21" s="3" t="s">
        <v>14</v>
      </c>
      <c r="I21" s="3" t="s">
        <v>15</v>
      </c>
      <c r="J21" s="3" t="s">
        <v>92</v>
      </c>
      <c r="K21" s="3" t="s">
        <v>93</v>
      </c>
      <c r="L21" s="3" t="s">
        <v>94</v>
      </c>
      <c r="M21">
        <v>119934232</v>
      </c>
      <c r="N21" s="6" t="s">
        <v>326</v>
      </c>
      <c r="O21" s="3" t="s">
        <v>419</v>
      </c>
      <c r="P21" s="3" t="s">
        <v>359</v>
      </c>
      <c r="Q21" s="3" t="s">
        <v>452</v>
      </c>
      <c r="R21" s="3" t="s">
        <v>453</v>
      </c>
      <c r="S21" s="3" t="s">
        <v>423</v>
      </c>
    </row>
    <row r="22" spans="1:19" x14ac:dyDescent="0.2">
      <c r="A22">
        <v>120884404</v>
      </c>
      <c r="B22" s="3" t="s">
        <v>95</v>
      </c>
      <c r="C22">
        <v>117419024</v>
      </c>
      <c r="D22">
        <v>2013</v>
      </c>
      <c r="E22">
        <v>10</v>
      </c>
      <c r="F22">
        <v>20230811</v>
      </c>
      <c r="G22">
        <v>5</v>
      </c>
      <c r="H22" s="3" t="s">
        <v>14</v>
      </c>
      <c r="I22" s="3" t="s">
        <v>15</v>
      </c>
      <c r="J22" s="3" t="s">
        <v>96</v>
      </c>
      <c r="K22" s="3" t="s">
        <v>97</v>
      </c>
      <c r="L22" s="3" t="s">
        <v>98</v>
      </c>
      <c r="M22">
        <v>125295047</v>
      </c>
      <c r="N22" s="6" t="s">
        <v>326</v>
      </c>
      <c r="O22" s="3" t="s">
        <v>419</v>
      </c>
      <c r="P22" s="3" t="s">
        <v>360</v>
      </c>
      <c r="Q22" s="3" t="s">
        <v>454</v>
      </c>
      <c r="R22" s="3" t="s">
        <v>455</v>
      </c>
      <c r="S22" s="3" t="s">
        <v>423</v>
      </c>
    </row>
    <row r="23" spans="1:19" x14ac:dyDescent="0.2">
      <c r="A23">
        <v>121018792</v>
      </c>
      <c r="B23" s="3" t="s">
        <v>99</v>
      </c>
      <c r="C23">
        <v>0</v>
      </c>
      <c r="D23">
        <v>2013</v>
      </c>
      <c r="E23">
        <v>10</v>
      </c>
      <c r="F23">
        <v>20230811</v>
      </c>
      <c r="G23">
        <v>15</v>
      </c>
      <c r="H23" s="3" t="s">
        <v>14</v>
      </c>
      <c r="I23" s="3" t="s">
        <v>15</v>
      </c>
      <c r="J23" s="3" t="s">
        <v>100</v>
      </c>
      <c r="K23" s="3" t="s">
        <v>101</v>
      </c>
      <c r="L23" s="3" t="s">
        <v>102</v>
      </c>
      <c r="M23">
        <v>122633529</v>
      </c>
      <c r="N23" s="6" t="s">
        <v>326</v>
      </c>
      <c r="O23" s="3" t="s">
        <v>419</v>
      </c>
      <c r="P23" s="3" t="s">
        <v>361</v>
      </c>
      <c r="Q23" s="3" t="s">
        <v>456</v>
      </c>
      <c r="R23" s="3" t="s">
        <v>457</v>
      </c>
      <c r="S23" s="3" t="s">
        <v>423</v>
      </c>
    </row>
    <row r="24" spans="1:19" x14ac:dyDescent="0.2">
      <c r="A24">
        <v>121046734</v>
      </c>
      <c r="B24" s="3" t="s">
        <v>103</v>
      </c>
      <c r="C24">
        <v>0</v>
      </c>
      <c r="D24">
        <v>2013</v>
      </c>
      <c r="E24">
        <v>10</v>
      </c>
      <c r="F24">
        <v>20230811</v>
      </c>
      <c r="G24">
        <v>1</v>
      </c>
      <c r="H24" s="3" t="s">
        <v>14</v>
      </c>
      <c r="I24" s="3" t="s">
        <v>15</v>
      </c>
      <c r="J24" s="3" t="s">
        <v>104</v>
      </c>
      <c r="K24" s="3" t="s">
        <v>105</v>
      </c>
      <c r="L24" s="3" t="s">
        <v>106</v>
      </c>
      <c r="M24">
        <v>123738270</v>
      </c>
      <c r="N24" s="6" t="s">
        <v>326</v>
      </c>
      <c r="O24" s="3" t="s">
        <v>419</v>
      </c>
      <c r="P24" s="3" t="s">
        <v>362</v>
      </c>
      <c r="Q24" s="3" t="s">
        <v>458</v>
      </c>
      <c r="R24" s="3" t="s">
        <v>459</v>
      </c>
      <c r="S24" s="3" t="s">
        <v>423</v>
      </c>
    </row>
    <row r="25" spans="1:19" x14ac:dyDescent="0.2">
      <c r="A25">
        <v>120864949</v>
      </c>
      <c r="B25" s="3" t="s">
        <v>107</v>
      </c>
      <c r="C25">
        <v>117269808</v>
      </c>
      <c r="D25">
        <v>2013</v>
      </c>
      <c r="E25">
        <v>10</v>
      </c>
      <c r="F25">
        <v>20230812</v>
      </c>
      <c r="G25">
        <v>5</v>
      </c>
      <c r="H25" s="3" t="s">
        <v>14</v>
      </c>
      <c r="I25" s="3" t="s">
        <v>15</v>
      </c>
      <c r="J25" s="3" t="s">
        <v>108</v>
      </c>
      <c r="K25" s="3" t="s">
        <v>109</v>
      </c>
      <c r="L25" s="3" t="s">
        <v>110</v>
      </c>
      <c r="M25">
        <v>123270235</v>
      </c>
      <c r="N25" s="6" t="s">
        <v>326</v>
      </c>
      <c r="O25" s="3" t="s">
        <v>419</v>
      </c>
      <c r="P25" s="3" t="s">
        <v>363</v>
      </c>
      <c r="Q25" s="3" t="s">
        <v>460</v>
      </c>
      <c r="R25" s="3" t="s">
        <v>461</v>
      </c>
      <c r="S25" s="3" t="s">
        <v>423</v>
      </c>
    </row>
    <row r="26" spans="1:19" x14ac:dyDescent="0.2">
      <c r="A26">
        <v>120895573</v>
      </c>
      <c r="B26" s="3" t="s">
        <v>111</v>
      </c>
      <c r="C26">
        <v>117293106</v>
      </c>
      <c r="D26">
        <v>2013</v>
      </c>
      <c r="E26">
        <v>10</v>
      </c>
      <c r="F26">
        <v>20230812</v>
      </c>
      <c r="G26">
        <v>30</v>
      </c>
      <c r="H26" s="3" t="s">
        <v>14</v>
      </c>
      <c r="I26" s="3" t="s">
        <v>15</v>
      </c>
      <c r="J26" s="3" t="s">
        <v>112</v>
      </c>
      <c r="K26" s="3" t="s">
        <v>113</v>
      </c>
      <c r="L26" s="3" t="s">
        <v>114</v>
      </c>
      <c r="M26">
        <v>123737683</v>
      </c>
      <c r="N26" s="6" t="s">
        <v>326</v>
      </c>
      <c r="O26" s="3" t="s">
        <v>419</v>
      </c>
      <c r="P26" s="3" t="s">
        <v>364</v>
      </c>
      <c r="Q26" s="3"/>
      <c r="R26" s="3"/>
      <c r="S26" s="3" t="s">
        <v>462</v>
      </c>
    </row>
    <row r="27" spans="1:19" x14ac:dyDescent="0.2">
      <c r="A27">
        <v>120962841</v>
      </c>
      <c r="B27" s="3" t="s">
        <v>115</v>
      </c>
      <c r="C27">
        <v>0</v>
      </c>
      <c r="D27">
        <v>2013</v>
      </c>
      <c r="E27">
        <v>7</v>
      </c>
      <c r="F27">
        <v>20230812</v>
      </c>
      <c r="G27">
        <v>17</v>
      </c>
      <c r="H27" s="3" t="s">
        <v>14</v>
      </c>
      <c r="I27" s="3" t="s">
        <v>15</v>
      </c>
      <c r="J27" s="3" t="s">
        <v>116</v>
      </c>
      <c r="K27" s="3" t="s">
        <v>117</v>
      </c>
      <c r="L27" s="3" t="s">
        <v>118</v>
      </c>
      <c r="M27">
        <v>120716372</v>
      </c>
      <c r="N27" s="6" t="s">
        <v>326</v>
      </c>
      <c r="O27" s="3" t="s">
        <v>419</v>
      </c>
      <c r="P27" s="3" t="s">
        <v>365</v>
      </c>
      <c r="Q27" s="3" t="s">
        <v>463</v>
      </c>
      <c r="R27" s="3" t="s">
        <v>464</v>
      </c>
      <c r="S27" s="3" t="s">
        <v>423</v>
      </c>
    </row>
    <row r="28" spans="1:19" x14ac:dyDescent="0.2">
      <c r="A28">
        <v>120994742</v>
      </c>
      <c r="B28" s="3" t="s">
        <v>119</v>
      </c>
      <c r="C28">
        <v>0</v>
      </c>
      <c r="D28">
        <v>2013</v>
      </c>
      <c r="E28">
        <v>10</v>
      </c>
      <c r="F28">
        <v>20230812</v>
      </c>
      <c r="G28">
        <v>15</v>
      </c>
      <c r="H28" s="3" t="s">
        <v>14</v>
      </c>
      <c r="I28" s="3" t="s">
        <v>15</v>
      </c>
      <c r="J28" s="3" t="s">
        <v>120</v>
      </c>
      <c r="K28" s="3" t="s">
        <v>121</v>
      </c>
      <c r="L28" s="3" t="s">
        <v>122</v>
      </c>
      <c r="M28">
        <v>8638659</v>
      </c>
      <c r="N28" s="6" t="s">
        <v>326</v>
      </c>
      <c r="O28" s="3" t="s">
        <v>419</v>
      </c>
      <c r="P28" s="3" t="s">
        <v>366</v>
      </c>
      <c r="Q28" s="3" t="s">
        <v>465</v>
      </c>
      <c r="R28" s="3" t="s">
        <v>466</v>
      </c>
      <c r="S28" s="3" t="s">
        <v>423</v>
      </c>
    </row>
    <row r="29" spans="1:19" x14ac:dyDescent="0.2">
      <c r="A29">
        <v>121165271</v>
      </c>
      <c r="B29" s="3" t="s">
        <v>123</v>
      </c>
      <c r="C29">
        <v>117284798</v>
      </c>
      <c r="D29">
        <v>2013</v>
      </c>
      <c r="E29">
        <v>1</v>
      </c>
      <c r="F29">
        <v>20230812</v>
      </c>
      <c r="G29">
        <v>15</v>
      </c>
      <c r="H29" s="3" t="s">
        <v>14</v>
      </c>
      <c r="I29" s="3" t="s">
        <v>15</v>
      </c>
      <c r="J29" s="3" t="s">
        <v>124</v>
      </c>
      <c r="K29" s="3" t="s">
        <v>125</v>
      </c>
      <c r="L29" s="3" t="s">
        <v>126</v>
      </c>
      <c r="M29">
        <v>123740041</v>
      </c>
      <c r="N29" s="6" t="s">
        <v>326</v>
      </c>
      <c r="O29" s="3" t="s">
        <v>419</v>
      </c>
      <c r="P29" s="3" t="s">
        <v>367</v>
      </c>
      <c r="Q29" s="3" t="s">
        <v>467</v>
      </c>
      <c r="R29" s="3" t="s">
        <v>468</v>
      </c>
      <c r="S29" s="3" t="s">
        <v>423</v>
      </c>
    </row>
    <row r="30" spans="1:19" x14ac:dyDescent="0.2">
      <c r="A30">
        <v>120884087</v>
      </c>
      <c r="B30" s="3" t="s">
        <v>130</v>
      </c>
      <c r="C30">
        <v>117327612</v>
      </c>
      <c r="D30">
        <v>2013</v>
      </c>
      <c r="E30">
        <v>6</v>
      </c>
      <c r="F30">
        <v>20230813</v>
      </c>
      <c r="G30">
        <v>0</v>
      </c>
      <c r="H30" s="3" t="s">
        <v>14</v>
      </c>
      <c r="I30" s="3" t="s">
        <v>15</v>
      </c>
      <c r="J30" s="3" t="s">
        <v>96</v>
      </c>
      <c r="K30" s="3" t="s">
        <v>131</v>
      </c>
      <c r="L30" s="3" t="s">
        <v>132</v>
      </c>
      <c r="M30">
        <v>119758582</v>
      </c>
      <c r="N30" s="6" t="s">
        <v>326</v>
      </c>
      <c r="O30" s="3" t="s">
        <v>419</v>
      </c>
      <c r="P30" s="3" t="s">
        <v>368</v>
      </c>
      <c r="Q30" s="3" t="s">
        <v>340</v>
      </c>
      <c r="R30" s="3" t="s">
        <v>469</v>
      </c>
      <c r="S30" s="3" t="s">
        <v>423</v>
      </c>
    </row>
    <row r="31" spans="1:19" x14ac:dyDescent="0.2">
      <c r="A31">
        <v>120906579</v>
      </c>
      <c r="B31" s="3" t="s">
        <v>133</v>
      </c>
      <c r="C31">
        <v>117240681</v>
      </c>
      <c r="D31">
        <v>2013</v>
      </c>
      <c r="E31">
        <v>5</v>
      </c>
      <c r="F31">
        <v>20230813</v>
      </c>
      <c r="G31">
        <v>15</v>
      </c>
      <c r="H31" s="3" t="s">
        <v>14</v>
      </c>
      <c r="I31" s="3" t="s">
        <v>15</v>
      </c>
      <c r="J31" s="3" t="s">
        <v>134</v>
      </c>
      <c r="K31" s="3" t="s">
        <v>135</v>
      </c>
      <c r="L31" s="3" t="s">
        <v>136</v>
      </c>
      <c r="M31">
        <v>123738626</v>
      </c>
      <c r="N31" s="6" t="s">
        <v>326</v>
      </c>
      <c r="O31" s="3" t="s">
        <v>419</v>
      </c>
      <c r="P31" s="3" t="s">
        <v>369</v>
      </c>
      <c r="Q31" s="3" t="s">
        <v>435</v>
      </c>
      <c r="R31" s="3" t="s">
        <v>470</v>
      </c>
      <c r="S31" s="3" t="s">
        <v>423</v>
      </c>
    </row>
    <row r="32" spans="1:19" x14ac:dyDescent="0.2">
      <c r="A32">
        <v>120944671</v>
      </c>
      <c r="B32" s="3" t="s">
        <v>137</v>
      </c>
      <c r="C32">
        <v>117354902</v>
      </c>
      <c r="D32">
        <v>2013</v>
      </c>
      <c r="E32">
        <v>10</v>
      </c>
      <c r="F32">
        <v>20230814</v>
      </c>
      <c r="G32">
        <v>30</v>
      </c>
      <c r="H32" s="3" t="s">
        <v>14</v>
      </c>
      <c r="I32" s="3" t="s">
        <v>15</v>
      </c>
      <c r="J32" s="3" t="s">
        <v>68</v>
      </c>
      <c r="K32" s="3" t="s">
        <v>69</v>
      </c>
      <c r="L32" s="3" t="s">
        <v>70</v>
      </c>
      <c r="M32">
        <v>7094655</v>
      </c>
      <c r="N32" s="6" t="s">
        <v>326</v>
      </c>
      <c r="O32" s="3" t="s">
        <v>419</v>
      </c>
      <c r="P32" s="3" t="s">
        <v>370</v>
      </c>
      <c r="Q32" s="3" t="s">
        <v>471</v>
      </c>
      <c r="R32" s="3" t="s">
        <v>472</v>
      </c>
      <c r="S32" s="3" t="s">
        <v>423</v>
      </c>
    </row>
    <row r="33" spans="1:19" x14ac:dyDescent="0.2">
      <c r="A33">
        <v>120771241</v>
      </c>
      <c r="B33" s="3" t="s">
        <v>138</v>
      </c>
      <c r="C33">
        <v>0</v>
      </c>
      <c r="D33">
        <v>2013</v>
      </c>
      <c r="E33">
        <v>4</v>
      </c>
      <c r="F33">
        <v>20230815</v>
      </c>
      <c r="G33">
        <v>1</v>
      </c>
      <c r="H33" s="3" t="s">
        <v>14</v>
      </c>
      <c r="I33" s="3" t="s">
        <v>15</v>
      </c>
      <c r="J33" s="3" t="s">
        <v>139</v>
      </c>
      <c r="K33" s="3" t="s">
        <v>140</v>
      </c>
      <c r="L33" s="3" t="s">
        <v>141</v>
      </c>
      <c r="M33">
        <v>123739286</v>
      </c>
      <c r="N33" s="6" t="s">
        <v>326</v>
      </c>
      <c r="O33" s="3" t="s">
        <v>419</v>
      </c>
      <c r="P33" s="3" t="s">
        <v>371</v>
      </c>
      <c r="Q33" s="3" t="s">
        <v>473</v>
      </c>
      <c r="R33" s="3" t="s">
        <v>474</v>
      </c>
      <c r="S33" s="3" t="s">
        <v>423</v>
      </c>
    </row>
    <row r="34" spans="1:19" x14ac:dyDescent="0.2">
      <c r="A34">
        <v>120880821</v>
      </c>
      <c r="B34" s="3" t="s">
        <v>142</v>
      </c>
      <c r="C34">
        <v>117165281</v>
      </c>
      <c r="D34">
        <v>2013</v>
      </c>
      <c r="E34">
        <v>6</v>
      </c>
      <c r="F34">
        <v>20230815</v>
      </c>
      <c r="G34">
        <v>15</v>
      </c>
      <c r="H34" s="3" t="s">
        <v>14</v>
      </c>
      <c r="I34" s="3" t="s">
        <v>15</v>
      </c>
      <c r="J34" s="3" t="s">
        <v>143</v>
      </c>
      <c r="K34" s="3" t="s">
        <v>144</v>
      </c>
      <c r="L34" s="3" t="s">
        <v>145</v>
      </c>
      <c r="M34">
        <v>25484829</v>
      </c>
      <c r="N34" s="6" t="s">
        <v>326</v>
      </c>
      <c r="O34" s="3" t="s">
        <v>419</v>
      </c>
      <c r="P34" s="3" t="s">
        <v>372</v>
      </c>
      <c r="Q34" s="3" t="s">
        <v>475</v>
      </c>
      <c r="R34" s="3" t="s">
        <v>476</v>
      </c>
      <c r="S34" s="3" t="s">
        <v>423</v>
      </c>
    </row>
    <row r="35" spans="1:19" x14ac:dyDescent="0.2">
      <c r="A35">
        <v>120881164</v>
      </c>
      <c r="B35" s="3" t="s">
        <v>146</v>
      </c>
      <c r="C35">
        <v>117164824</v>
      </c>
      <c r="D35">
        <v>2013</v>
      </c>
      <c r="E35">
        <v>4</v>
      </c>
      <c r="F35">
        <v>20230815</v>
      </c>
      <c r="G35">
        <v>15</v>
      </c>
      <c r="H35" s="3" t="s">
        <v>14</v>
      </c>
      <c r="I35" s="3" t="s">
        <v>15</v>
      </c>
      <c r="J35" s="3" t="s">
        <v>147</v>
      </c>
      <c r="K35" s="3" t="s">
        <v>148</v>
      </c>
      <c r="L35" s="3" t="s">
        <v>149</v>
      </c>
      <c r="M35">
        <v>122188142</v>
      </c>
      <c r="N35" s="6" t="s">
        <v>326</v>
      </c>
      <c r="O35" s="3" t="s">
        <v>419</v>
      </c>
      <c r="P35" s="3" t="s">
        <v>373</v>
      </c>
      <c r="Q35" s="3"/>
      <c r="R35" s="3"/>
      <c r="S35" s="3" t="s">
        <v>462</v>
      </c>
    </row>
    <row r="36" spans="1:19" x14ac:dyDescent="0.2">
      <c r="A36">
        <v>120909239</v>
      </c>
      <c r="B36" s="3" t="s">
        <v>150</v>
      </c>
      <c r="C36">
        <v>117149334</v>
      </c>
      <c r="D36">
        <v>2013</v>
      </c>
      <c r="E36">
        <v>4</v>
      </c>
      <c r="F36">
        <v>20230815</v>
      </c>
      <c r="G36">
        <v>0</v>
      </c>
      <c r="H36" s="3" t="s">
        <v>14</v>
      </c>
      <c r="I36" s="3" t="s">
        <v>15</v>
      </c>
      <c r="J36" s="3" t="s">
        <v>151</v>
      </c>
      <c r="K36" s="3" t="s">
        <v>152</v>
      </c>
      <c r="L36" s="3" t="s">
        <v>153</v>
      </c>
      <c r="M36">
        <v>5043470</v>
      </c>
      <c r="N36" s="6" t="s">
        <v>326</v>
      </c>
      <c r="O36" s="3" t="s">
        <v>419</v>
      </c>
      <c r="P36" s="3" t="s">
        <v>374</v>
      </c>
      <c r="Q36" s="3" t="s">
        <v>340</v>
      </c>
      <c r="R36" s="3" t="s">
        <v>477</v>
      </c>
      <c r="S36" s="3" t="s">
        <v>423</v>
      </c>
    </row>
    <row r="37" spans="1:19" x14ac:dyDescent="0.2">
      <c r="A37">
        <v>120958217</v>
      </c>
      <c r="B37" s="3" t="s">
        <v>154</v>
      </c>
      <c r="C37">
        <v>0</v>
      </c>
      <c r="D37">
        <v>2013</v>
      </c>
      <c r="E37">
        <v>1</v>
      </c>
      <c r="F37">
        <v>20230815</v>
      </c>
      <c r="G37">
        <v>0</v>
      </c>
      <c r="H37" s="3" t="s">
        <v>14</v>
      </c>
      <c r="I37" s="3" t="s">
        <v>15</v>
      </c>
      <c r="J37" s="3" t="s">
        <v>155</v>
      </c>
      <c r="K37" s="3" t="s">
        <v>156</v>
      </c>
      <c r="L37" s="3" t="s">
        <v>157</v>
      </c>
      <c r="M37">
        <v>123119165</v>
      </c>
      <c r="N37" s="6" t="s">
        <v>326</v>
      </c>
      <c r="O37" s="3" t="s">
        <v>419</v>
      </c>
      <c r="P37" s="3" t="s">
        <v>375</v>
      </c>
      <c r="Q37" s="3" t="s">
        <v>340</v>
      </c>
      <c r="R37" s="3" t="s">
        <v>478</v>
      </c>
      <c r="S37" s="3" t="s">
        <v>423</v>
      </c>
    </row>
    <row r="38" spans="1:19" x14ac:dyDescent="0.2">
      <c r="A38">
        <v>120998886</v>
      </c>
      <c r="B38" s="3" t="s">
        <v>158</v>
      </c>
      <c r="C38">
        <v>117236726</v>
      </c>
      <c r="D38">
        <v>2013</v>
      </c>
      <c r="E38">
        <v>1</v>
      </c>
      <c r="F38">
        <v>20230815</v>
      </c>
      <c r="G38">
        <v>10</v>
      </c>
      <c r="H38" s="3" t="s">
        <v>14</v>
      </c>
      <c r="I38" s="3" t="s">
        <v>15</v>
      </c>
      <c r="J38" s="3" t="s">
        <v>36</v>
      </c>
      <c r="K38" s="3" t="s">
        <v>159</v>
      </c>
      <c r="L38" s="3" t="s">
        <v>160</v>
      </c>
      <c r="M38">
        <v>122935811</v>
      </c>
      <c r="N38" s="6" t="s">
        <v>326</v>
      </c>
      <c r="O38" s="3" t="s">
        <v>419</v>
      </c>
      <c r="P38" s="3" t="s">
        <v>376</v>
      </c>
      <c r="Q38" s="3" t="s">
        <v>479</v>
      </c>
      <c r="R38" s="3" t="s">
        <v>480</v>
      </c>
      <c r="S38" s="3" t="s">
        <v>423</v>
      </c>
    </row>
    <row r="39" spans="1:19" x14ac:dyDescent="0.2">
      <c r="A39">
        <v>120927409</v>
      </c>
      <c r="B39" s="3" t="s">
        <v>161</v>
      </c>
      <c r="C39">
        <v>117237696</v>
      </c>
      <c r="D39">
        <v>2013</v>
      </c>
      <c r="E39">
        <v>10</v>
      </c>
      <c r="F39">
        <v>20230816</v>
      </c>
      <c r="G39">
        <v>15</v>
      </c>
      <c r="H39" s="3" t="s">
        <v>14</v>
      </c>
      <c r="I39" s="3" t="s">
        <v>15</v>
      </c>
      <c r="J39" s="3" t="s">
        <v>162</v>
      </c>
      <c r="K39" s="3" t="s">
        <v>163</v>
      </c>
      <c r="L39" s="3" t="s">
        <v>164</v>
      </c>
      <c r="M39">
        <v>11873464</v>
      </c>
      <c r="N39" s="6" t="s">
        <v>326</v>
      </c>
      <c r="O39" s="3" t="s">
        <v>419</v>
      </c>
      <c r="P39" s="3" t="s">
        <v>377</v>
      </c>
      <c r="Q39" s="3" t="s">
        <v>340</v>
      </c>
      <c r="R39" s="3" t="s">
        <v>481</v>
      </c>
      <c r="S39" s="3" t="s">
        <v>423</v>
      </c>
    </row>
    <row r="40" spans="1:19" x14ac:dyDescent="0.2">
      <c r="A40">
        <v>120986156</v>
      </c>
      <c r="B40" s="3" t="s">
        <v>165</v>
      </c>
      <c r="C40">
        <v>117279111</v>
      </c>
      <c r="D40">
        <v>2013</v>
      </c>
      <c r="E40">
        <v>10</v>
      </c>
      <c r="F40">
        <v>20230816</v>
      </c>
      <c r="G40">
        <v>15</v>
      </c>
      <c r="H40" s="3" t="s">
        <v>14</v>
      </c>
      <c r="I40" s="3" t="s">
        <v>15</v>
      </c>
      <c r="J40" s="3" t="s">
        <v>166</v>
      </c>
      <c r="K40" s="3" t="s">
        <v>167</v>
      </c>
      <c r="L40" s="3" t="s">
        <v>168</v>
      </c>
      <c r="M40">
        <v>123737127</v>
      </c>
      <c r="N40" s="6" t="s">
        <v>326</v>
      </c>
      <c r="O40" s="3" t="s">
        <v>419</v>
      </c>
      <c r="P40" s="3" t="s">
        <v>378</v>
      </c>
      <c r="Q40" s="3" t="s">
        <v>482</v>
      </c>
      <c r="R40" s="3" t="s">
        <v>483</v>
      </c>
      <c r="S40" s="3" t="s">
        <v>423</v>
      </c>
    </row>
    <row r="41" spans="1:19" x14ac:dyDescent="0.2">
      <c r="A41">
        <v>120898294</v>
      </c>
      <c r="B41" s="3" t="s">
        <v>169</v>
      </c>
      <c r="C41">
        <v>117205653</v>
      </c>
      <c r="D41">
        <v>2013</v>
      </c>
      <c r="E41">
        <v>4</v>
      </c>
      <c r="F41">
        <v>20230817</v>
      </c>
      <c r="G41">
        <v>15</v>
      </c>
      <c r="H41" s="3" t="s">
        <v>14</v>
      </c>
      <c r="I41" s="3" t="s">
        <v>15</v>
      </c>
      <c r="J41" s="3" t="s">
        <v>170</v>
      </c>
      <c r="K41" s="3" t="s">
        <v>171</v>
      </c>
      <c r="L41" s="3" t="s">
        <v>172</v>
      </c>
      <c r="M41">
        <v>8481998</v>
      </c>
      <c r="N41" s="6" t="s">
        <v>326</v>
      </c>
      <c r="O41" s="3" t="s">
        <v>419</v>
      </c>
      <c r="P41" s="3" t="s">
        <v>379</v>
      </c>
      <c r="Q41" s="3" t="s">
        <v>435</v>
      </c>
      <c r="R41" s="3" t="s">
        <v>486</v>
      </c>
      <c r="S41" s="3" t="s">
        <v>423</v>
      </c>
    </row>
    <row r="42" spans="1:19" x14ac:dyDescent="0.2">
      <c r="A42">
        <v>120942597</v>
      </c>
      <c r="B42" s="3" t="s">
        <v>173</v>
      </c>
      <c r="C42">
        <v>117301063</v>
      </c>
      <c r="D42">
        <v>2013</v>
      </c>
      <c r="E42">
        <v>3</v>
      </c>
      <c r="F42">
        <v>20230817</v>
      </c>
      <c r="G42">
        <v>15</v>
      </c>
      <c r="H42" s="3" t="s">
        <v>14</v>
      </c>
      <c r="I42" s="3" t="s">
        <v>15</v>
      </c>
      <c r="J42" s="3" t="s">
        <v>174</v>
      </c>
      <c r="K42" s="3" t="s">
        <v>175</v>
      </c>
      <c r="L42" s="3" t="s">
        <v>176</v>
      </c>
      <c r="M42">
        <v>123677726</v>
      </c>
      <c r="N42" s="6" t="s">
        <v>327</v>
      </c>
      <c r="O42" s="3" t="s">
        <v>419</v>
      </c>
      <c r="P42" s="3" t="s">
        <v>380</v>
      </c>
      <c r="Q42" s="3"/>
      <c r="R42" s="3"/>
      <c r="S42" s="3" t="s">
        <v>445</v>
      </c>
    </row>
    <row r="43" spans="1:19" x14ac:dyDescent="0.2">
      <c r="A43">
        <v>121060161</v>
      </c>
      <c r="B43" s="3" t="s">
        <v>177</v>
      </c>
      <c r="C43">
        <v>0</v>
      </c>
      <c r="D43">
        <v>2013</v>
      </c>
      <c r="E43">
        <v>10</v>
      </c>
      <c r="F43">
        <v>20230817</v>
      </c>
      <c r="G43">
        <v>16</v>
      </c>
      <c r="H43" s="3" t="s">
        <v>14</v>
      </c>
      <c r="I43" s="3" t="s">
        <v>15</v>
      </c>
      <c r="J43" s="3" t="s">
        <v>178</v>
      </c>
      <c r="K43" s="3" t="s">
        <v>179</v>
      </c>
      <c r="L43" s="3" t="s">
        <v>180</v>
      </c>
      <c r="M43">
        <v>121701963</v>
      </c>
      <c r="N43" s="6" t="s">
        <v>326</v>
      </c>
      <c r="O43" s="3" t="s">
        <v>419</v>
      </c>
      <c r="P43" s="3" t="s">
        <v>381</v>
      </c>
      <c r="Q43" s="3" t="s">
        <v>484</v>
      </c>
      <c r="R43" s="3" t="s">
        <v>485</v>
      </c>
      <c r="S43" s="3" t="s">
        <v>423</v>
      </c>
    </row>
    <row r="44" spans="1:19" x14ac:dyDescent="0.2">
      <c r="A44">
        <v>121071693</v>
      </c>
      <c r="B44" s="3" t="s">
        <v>181</v>
      </c>
      <c r="C44">
        <v>117235672</v>
      </c>
      <c r="D44">
        <v>2013</v>
      </c>
      <c r="E44">
        <v>10</v>
      </c>
      <c r="F44">
        <v>20230817</v>
      </c>
      <c r="G44">
        <v>15</v>
      </c>
      <c r="H44" s="3" t="s">
        <v>14</v>
      </c>
      <c r="I44" s="3" t="s">
        <v>15</v>
      </c>
      <c r="J44" s="3" t="s">
        <v>182</v>
      </c>
      <c r="K44" s="3" t="s">
        <v>183</v>
      </c>
      <c r="L44" s="3" t="s">
        <v>184</v>
      </c>
      <c r="M44">
        <v>123738986</v>
      </c>
      <c r="N44" s="6" t="s">
        <v>326</v>
      </c>
      <c r="O44" s="3" t="s">
        <v>419</v>
      </c>
      <c r="P44" s="3" t="s">
        <v>382</v>
      </c>
      <c r="Q44" s="3" t="s">
        <v>340</v>
      </c>
      <c r="R44" s="3" t="s">
        <v>487</v>
      </c>
      <c r="S44" s="3" t="s">
        <v>423</v>
      </c>
    </row>
    <row r="45" spans="1:19" x14ac:dyDescent="0.2">
      <c r="A45">
        <v>121081797</v>
      </c>
      <c r="B45" s="3" t="s">
        <v>185</v>
      </c>
      <c r="C45">
        <v>117158665</v>
      </c>
      <c r="D45">
        <v>2013</v>
      </c>
      <c r="E45">
        <v>4</v>
      </c>
      <c r="F45">
        <v>20230817</v>
      </c>
      <c r="G45">
        <v>16</v>
      </c>
      <c r="H45" s="3" t="s">
        <v>14</v>
      </c>
      <c r="I45" s="3" t="s">
        <v>15</v>
      </c>
      <c r="J45" s="3" t="s">
        <v>186</v>
      </c>
      <c r="K45" s="3" t="s">
        <v>214</v>
      </c>
      <c r="L45" s="3" t="s">
        <v>187</v>
      </c>
      <c r="M45">
        <v>122364021</v>
      </c>
      <c r="N45" s="6" t="s">
        <v>327</v>
      </c>
      <c r="O45" s="3" t="s">
        <v>419</v>
      </c>
      <c r="P45" s="3" t="s">
        <v>383</v>
      </c>
      <c r="Q45" s="3"/>
      <c r="R45" s="3"/>
      <c r="S45" s="3" t="s">
        <v>445</v>
      </c>
    </row>
    <row r="46" spans="1:19" x14ac:dyDescent="0.2">
      <c r="A46">
        <v>121116349</v>
      </c>
      <c r="B46" s="3" t="s">
        <v>188</v>
      </c>
      <c r="C46">
        <v>117342051</v>
      </c>
      <c r="D46">
        <v>2013</v>
      </c>
      <c r="E46">
        <v>6</v>
      </c>
      <c r="F46">
        <v>20230817</v>
      </c>
      <c r="G46">
        <v>1</v>
      </c>
      <c r="H46" s="3" t="s">
        <v>14</v>
      </c>
      <c r="I46" s="3" t="s">
        <v>15</v>
      </c>
      <c r="J46" s="3" t="s">
        <v>189</v>
      </c>
      <c r="K46" s="3" t="s">
        <v>190</v>
      </c>
      <c r="L46" s="3" t="s">
        <v>191</v>
      </c>
      <c r="M46">
        <v>123739359</v>
      </c>
      <c r="N46" s="6" t="s">
        <v>326</v>
      </c>
      <c r="O46" s="3" t="s">
        <v>419</v>
      </c>
      <c r="P46" s="3" t="s">
        <v>384</v>
      </c>
      <c r="Q46" s="3" t="s">
        <v>488</v>
      </c>
      <c r="R46" s="3" t="s">
        <v>489</v>
      </c>
      <c r="S46" s="3" t="s">
        <v>423</v>
      </c>
    </row>
    <row r="47" spans="1:19" x14ac:dyDescent="0.2">
      <c r="A47">
        <v>120912077</v>
      </c>
      <c r="B47" s="3" t="s">
        <v>192</v>
      </c>
      <c r="C47">
        <v>117199759</v>
      </c>
      <c r="D47">
        <v>2013</v>
      </c>
      <c r="E47">
        <v>10</v>
      </c>
      <c r="F47">
        <v>20230818</v>
      </c>
      <c r="G47">
        <v>18</v>
      </c>
      <c r="H47" s="3" t="s">
        <v>14</v>
      </c>
      <c r="I47" s="3" t="s">
        <v>15</v>
      </c>
      <c r="J47" s="3" t="s">
        <v>193</v>
      </c>
      <c r="K47" s="3" t="s">
        <v>194</v>
      </c>
      <c r="L47" s="3" t="s">
        <v>195</v>
      </c>
      <c r="M47">
        <v>123270223</v>
      </c>
      <c r="N47" s="6" t="s">
        <v>326</v>
      </c>
      <c r="O47" s="3" t="s">
        <v>419</v>
      </c>
      <c r="P47" s="3" t="s">
        <v>385</v>
      </c>
      <c r="Q47" s="3" t="s">
        <v>490</v>
      </c>
      <c r="R47" s="3" t="s">
        <v>491</v>
      </c>
      <c r="S47" s="3" t="s">
        <v>423</v>
      </c>
    </row>
    <row r="48" spans="1:19" x14ac:dyDescent="0.2">
      <c r="A48">
        <v>120937943</v>
      </c>
      <c r="B48" s="3" t="s">
        <v>196</v>
      </c>
      <c r="C48">
        <v>0</v>
      </c>
      <c r="D48">
        <v>2013</v>
      </c>
      <c r="E48">
        <v>1</v>
      </c>
      <c r="F48">
        <v>20230818</v>
      </c>
      <c r="G48">
        <v>1</v>
      </c>
      <c r="H48" s="3" t="s">
        <v>14</v>
      </c>
      <c r="I48" s="3" t="s">
        <v>15</v>
      </c>
      <c r="J48" s="3" t="s">
        <v>197</v>
      </c>
      <c r="K48" s="3" t="s">
        <v>198</v>
      </c>
      <c r="L48" s="3" t="s">
        <v>199</v>
      </c>
      <c r="M48">
        <v>21538974</v>
      </c>
      <c r="N48" s="6" t="s">
        <v>326</v>
      </c>
      <c r="O48" s="3" t="s">
        <v>419</v>
      </c>
      <c r="P48" s="3" t="s">
        <v>386</v>
      </c>
      <c r="Q48" s="3" t="s">
        <v>492</v>
      </c>
      <c r="R48" s="3" t="s">
        <v>493</v>
      </c>
      <c r="S48" s="3" t="s">
        <v>423</v>
      </c>
    </row>
    <row r="49" spans="1:19" x14ac:dyDescent="0.2">
      <c r="A49">
        <v>121087553</v>
      </c>
      <c r="B49" s="3" t="s">
        <v>200</v>
      </c>
      <c r="C49">
        <v>0</v>
      </c>
      <c r="D49">
        <v>2013</v>
      </c>
      <c r="E49">
        <v>10</v>
      </c>
      <c r="F49">
        <v>20230818</v>
      </c>
      <c r="G49">
        <v>15</v>
      </c>
      <c r="H49" s="3" t="s">
        <v>14</v>
      </c>
      <c r="I49" s="3" t="s">
        <v>15</v>
      </c>
      <c r="J49" s="3" t="s">
        <v>201</v>
      </c>
      <c r="K49" s="3" t="s">
        <v>202</v>
      </c>
      <c r="L49" s="3" t="s">
        <v>203</v>
      </c>
      <c r="M49">
        <v>126301782</v>
      </c>
      <c r="N49" s="6" t="s">
        <v>326</v>
      </c>
      <c r="O49" s="3" t="s">
        <v>419</v>
      </c>
      <c r="P49" s="3" t="s">
        <v>387</v>
      </c>
      <c r="Q49" s="3" t="s">
        <v>494</v>
      </c>
      <c r="R49" s="3" t="s">
        <v>495</v>
      </c>
      <c r="S49" s="3" t="s">
        <v>423</v>
      </c>
    </row>
    <row r="50" spans="1:19" x14ac:dyDescent="0.2">
      <c r="A50">
        <v>121116181</v>
      </c>
      <c r="B50" s="3" t="s">
        <v>204</v>
      </c>
      <c r="C50">
        <v>0</v>
      </c>
      <c r="D50">
        <v>2013</v>
      </c>
      <c r="E50">
        <v>1</v>
      </c>
      <c r="F50">
        <v>20230818</v>
      </c>
      <c r="G50">
        <v>15</v>
      </c>
      <c r="H50" s="3" t="s">
        <v>14</v>
      </c>
      <c r="I50" s="3" t="s">
        <v>15</v>
      </c>
      <c r="J50" s="3" t="s">
        <v>205</v>
      </c>
      <c r="K50" s="3" t="s">
        <v>206</v>
      </c>
      <c r="L50" s="3" t="s">
        <v>207</v>
      </c>
      <c r="M50">
        <v>4886719</v>
      </c>
      <c r="N50" s="6" t="s">
        <v>326</v>
      </c>
      <c r="O50" s="3" t="s">
        <v>419</v>
      </c>
      <c r="P50" s="3" t="s">
        <v>388</v>
      </c>
      <c r="Q50" s="3" t="s">
        <v>496</v>
      </c>
      <c r="R50" s="3" t="s">
        <v>497</v>
      </c>
      <c r="S50" s="3" t="s">
        <v>423</v>
      </c>
    </row>
    <row r="51" spans="1:19" x14ac:dyDescent="0.2">
      <c r="A51">
        <v>120935490</v>
      </c>
      <c r="B51" s="3" t="s">
        <v>208</v>
      </c>
      <c r="C51">
        <v>117306796</v>
      </c>
      <c r="D51">
        <v>2013</v>
      </c>
      <c r="E51">
        <v>10</v>
      </c>
      <c r="F51">
        <v>20230819</v>
      </c>
      <c r="G51">
        <v>10</v>
      </c>
      <c r="H51" s="3" t="s">
        <v>14</v>
      </c>
      <c r="I51" s="3" t="s">
        <v>15</v>
      </c>
      <c r="J51" s="3" t="s">
        <v>209</v>
      </c>
      <c r="K51" s="3" t="s">
        <v>210</v>
      </c>
      <c r="L51" s="3" t="s">
        <v>211</v>
      </c>
      <c r="M51">
        <v>121296067</v>
      </c>
      <c r="N51" s="6" t="s">
        <v>326</v>
      </c>
      <c r="O51" s="3" t="s">
        <v>419</v>
      </c>
      <c r="P51" s="3" t="s">
        <v>389</v>
      </c>
      <c r="Q51" s="3" t="s">
        <v>498</v>
      </c>
      <c r="R51" s="3" t="s">
        <v>499</v>
      </c>
      <c r="S51" s="3" t="s">
        <v>423</v>
      </c>
    </row>
    <row r="52" spans="1:19" x14ac:dyDescent="0.2">
      <c r="A52">
        <v>120936907</v>
      </c>
      <c r="B52" s="3" t="s">
        <v>212</v>
      </c>
      <c r="C52">
        <v>117381693</v>
      </c>
      <c r="D52">
        <v>2013</v>
      </c>
      <c r="E52">
        <v>2</v>
      </c>
      <c r="F52">
        <v>20230819</v>
      </c>
      <c r="G52">
        <v>15</v>
      </c>
      <c r="H52" s="3" t="s">
        <v>14</v>
      </c>
      <c r="I52" s="3" t="s">
        <v>15</v>
      </c>
      <c r="J52" s="3" t="s">
        <v>213</v>
      </c>
      <c r="K52" s="3" t="s">
        <v>214</v>
      </c>
      <c r="L52" s="3" t="s">
        <v>215</v>
      </c>
      <c r="M52">
        <v>1001686</v>
      </c>
      <c r="N52" s="6" t="s">
        <v>326</v>
      </c>
      <c r="O52" s="3" t="s">
        <v>419</v>
      </c>
      <c r="P52" s="3" t="s">
        <v>390</v>
      </c>
      <c r="Q52" s="3" t="s">
        <v>340</v>
      </c>
      <c r="R52" s="3" t="s">
        <v>500</v>
      </c>
      <c r="S52" s="3" t="s">
        <v>423</v>
      </c>
    </row>
    <row r="53" spans="1:19" x14ac:dyDescent="0.2">
      <c r="A53">
        <v>120981776</v>
      </c>
      <c r="B53" s="3" t="s">
        <v>216</v>
      </c>
      <c r="C53">
        <v>117369961</v>
      </c>
      <c r="D53">
        <v>2013</v>
      </c>
      <c r="E53">
        <v>6</v>
      </c>
      <c r="F53">
        <v>20230819</v>
      </c>
      <c r="G53">
        <v>15</v>
      </c>
      <c r="H53" s="3" t="s">
        <v>14</v>
      </c>
      <c r="I53" s="3" t="s">
        <v>15</v>
      </c>
      <c r="J53" s="3" t="s">
        <v>217</v>
      </c>
      <c r="K53" s="3" t="s">
        <v>218</v>
      </c>
      <c r="L53" s="3" t="s">
        <v>219</v>
      </c>
      <c r="M53">
        <v>121497236</v>
      </c>
      <c r="N53" s="6" t="s">
        <v>326</v>
      </c>
      <c r="O53" s="3" t="s">
        <v>419</v>
      </c>
      <c r="P53" s="3" t="s">
        <v>391</v>
      </c>
      <c r="Q53" s="3" t="s">
        <v>340</v>
      </c>
      <c r="R53" s="3" t="s">
        <v>501</v>
      </c>
      <c r="S53" s="3" t="s">
        <v>423</v>
      </c>
    </row>
    <row r="54" spans="1:19" x14ac:dyDescent="0.2">
      <c r="A54">
        <v>121054104</v>
      </c>
      <c r="B54" s="3" t="s">
        <v>223</v>
      </c>
      <c r="C54">
        <v>117443067</v>
      </c>
      <c r="D54">
        <v>2013</v>
      </c>
      <c r="E54">
        <v>10</v>
      </c>
      <c r="F54">
        <v>20230820</v>
      </c>
      <c r="G54">
        <v>15</v>
      </c>
      <c r="H54" s="3" t="s">
        <v>14</v>
      </c>
      <c r="I54" s="3" t="s">
        <v>15</v>
      </c>
      <c r="J54" s="3" t="s">
        <v>224</v>
      </c>
      <c r="K54" s="3" t="s">
        <v>225</v>
      </c>
      <c r="L54" s="3" t="s">
        <v>226</v>
      </c>
      <c r="M54">
        <v>123777838</v>
      </c>
      <c r="N54" s="6" t="s">
        <v>327</v>
      </c>
      <c r="O54" s="3" t="s">
        <v>419</v>
      </c>
      <c r="P54" s="3" t="s">
        <v>392</v>
      </c>
      <c r="Q54" s="3"/>
      <c r="R54" s="3"/>
      <c r="S54" s="3" t="s">
        <v>445</v>
      </c>
    </row>
    <row r="55" spans="1:19" x14ac:dyDescent="0.2">
      <c r="A55">
        <v>120965912</v>
      </c>
      <c r="B55" s="3" t="s">
        <v>227</v>
      </c>
      <c r="C55">
        <v>117307103</v>
      </c>
      <c r="D55">
        <v>2013</v>
      </c>
      <c r="E55">
        <v>2</v>
      </c>
      <c r="F55">
        <v>20230823</v>
      </c>
      <c r="G55">
        <v>15</v>
      </c>
      <c r="H55" s="3" t="s">
        <v>14</v>
      </c>
      <c r="I55" s="3" t="s">
        <v>15</v>
      </c>
      <c r="J55" s="3" t="s">
        <v>127</v>
      </c>
      <c r="K55" s="3" t="s">
        <v>128</v>
      </c>
      <c r="L55" s="3" t="s">
        <v>129</v>
      </c>
      <c r="M55">
        <v>7578996</v>
      </c>
      <c r="N55" s="6" t="s">
        <v>326</v>
      </c>
      <c r="O55" s="3" t="s">
        <v>419</v>
      </c>
      <c r="P55" s="3" t="s">
        <v>393</v>
      </c>
      <c r="Q55" s="3" t="s">
        <v>502</v>
      </c>
      <c r="R55" s="3" t="s">
        <v>503</v>
      </c>
      <c r="S55" s="3" t="s">
        <v>423</v>
      </c>
    </row>
    <row r="56" spans="1:19" x14ac:dyDescent="0.2">
      <c r="A56">
        <v>121231325</v>
      </c>
      <c r="B56" s="3" t="s">
        <v>228</v>
      </c>
      <c r="C56">
        <v>117391292</v>
      </c>
      <c r="D56">
        <v>2013</v>
      </c>
      <c r="E56">
        <v>4</v>
      </c>
      <c r="F56">
        <v>20230823</v>
      </c>
      <c r="G56">
        <v>15</v>
      </c>
      <c r="H56" s="3" t="s">
        <v>14</v>
      </c>
      <c r="I56" s="3" t="s">
        <v>15</v>
      </c>
      <c r="J56" s="3" t="s">
        <v>229</v>
      </c>
      <c r="K56" s="3" t="s">
        <v>230</v>
      </c>
      <c r="L56" s="3" t="s">
        <v>231</v>
      </c>
      <c r="M56">
        <v>2867700</v>
      </c>
      <c r="N56" s="6" t="s">
        <v>326</v>
      </c>
      <c r="O56" s="3" t="s">
        <v>419</v>
      </c>
      <c r="P56" s="3" t="s">
        <v>394</v>
      </c>
      <c r="Q56" s="3" t="s">
        <v>504</v>
      </c>
      <c r="R56" s="3" t="s">
        <v>505</v>
      </c>
      <c r="S56" s="3" t="s">
        <v>423</v>
      </c>
    </row>
    <row r="57" spans="1:19" x14ac:dyDescent="0.2">
      <c r="A57">
        <v>121006171</v>
      </c>
      <c r="B57" s="3" t="s">
        <v>232</v>
      </c>
      <c r="C57">
        <v>117419582</v>
      </c>
      <c r="D57">
        <v>2013</v>
      </c>
      <c r="E57">
        <v>2</v>
      </c>
      <c r="F57">
        <v>20230825</v>
      </c>
      <c r="G57">
        <v>1</v>
      </c>
      <c r="H57" s="3" t="s">
        <v>14</v>
      </c>
      <c r="I57" s="3" t="s">
        <v>15</v>
      </c>
      <c r="J57" s="3" t="s">
        <v>233</v>
      </c>
      <c r="K57" s="3" t="s">
        <v>234</v>
      </c>
      <c r="L57" s="3" t="s">
        <v>235</v>
      </c>
      <c r="M57">
        <v>123738740</v>
      </c>
      <c r="N57" s="6" t="s">
        <v>326</v>
      </c>
      <c r="O57" s="3" t="s">
        <v>338</v>
      </c>
      <c r="P57" s="3" t="s">
        <v>395</v>
      </c>
      <c r="Q57" s="3" t="s">
        <v>340</v>
      </c>
      <c r="R57" s="3" t="s">
        <v>506</v>
      </c>
      <c r="S57" s="3" t="s">
        <v>423</v>
      </c>
    </row>
    <row r="58" spans="1:19" x14ac:dyDescent="0.2">
      <c r="A58">
        <v>121006530</v>
      </c>
      <c r="B58" s="3" t="s">
        <v>236</v>
      </c>
      <c r="C58">
        <v>117517287</v>
      </c>
      <c r="D58">
        <v>2013</v>
      </c>
      <c r="E58">
        <v>1</v>
      </c>
      <c r="F58">
        <v>20230825</v>
      </c>
      <c r="G58">
        <v>1</v>
      </c>
      <c r="H58" s="3" t="s">
        <v>14</v>
      </c>
      <c r="I58" s="3" t="s">
        <v>15</v>
      </c>
      <c r="J58" s="3" t="s">
        <v>237</v>
      </c>
      <c r="K58" s="3" t="s">
        <v>238</v>
      </c>
      <c r="L58" s="3" t="s">
        <v>239</v>
      </c>
      <c r="M58">
        <v>13675252</v>
      </c>
      <c r="N58" s="6" t="s">
        <v>326</v>
      </c>
      <c r="O58" s="3" t="s">
        <v>338</v>
      </c>
      <c r="P58" s="3" t="s">
        <v>396</v>
      </c>
      <c r="Q58" s="3"/>
      <c r="R58" s="3"/>
      <c r="S58" s="3"/>
    </row>
    <row r="59" spans="1:19" x14ac:dyDescent="0.2">
      <c r="A59">
        <v>121027680</v>
      </c>
      <c r="B59" s="3" t="s">
        <v>240</v>
      </c>
      <c r="C59">
        <v>117297213</v>
      </c>
      <c r="D59">
        <v>2013</v>
      </c>
      <c r="E59">
        <v>10</v>
      </c>
      <c r="F59">
        <v>20230825</v>
      </c>
      <c r="G59">
        <v>15</v>
      </c>
      <c r="H59" s="3" t="s">
        <v>14</v>
      </c>
      <c r="I59" s="3" t="s">
        <v>15</v>
      </c>
      <c r="J59" s="3" t="s">
        <v>241</v>
      </c>
      <c r="K59" s="3" t="s">
        <v>242</v>
      </c>
      <c r="L59" s="3" t="s">
        <v>243</v>
      </c>
      <c r="M59">
        <v>123738691</v>
      </c>
      <c r="N59" s="6" t="s">
        <v>326</v>
      </c>
      <c r="O59" s="3" t="s">
        <v>338</v>
      </c>
      <c r="P59" s="3" t="s">
        <v>397</v>
      </c>
      <c r="Q59" s="3"/>
      <c r="R59" s="3"/>
      <c r="S59" s="3"/>
    </row>
    <row r="60" spans="1:19" x14ac:dyDescent="0.2">
      <c r="A60">
        <v>121050706</v>
      </c>
      <c r="B60" s="3" t="s">
        <v>244</v>
      </c>
      <c r="C60">
        <v>117176734</v>
      </c>
      <c r="D60">
        <v>2013</v>
      </c>
      <c r="E60">
        <v>6</v>
      </c>
      <c r="F60">
        <v>20230825</v>
      </c>
      <c r="G60">
        <v>0</v>
      </c>
      <c r="H60" s="3" t="s">
        <v>14</v>
      </c>
      <c r="I60" s="3" t="s">
        <v>15</v>
      </c>
      <c r="J60" s="3" t="s">
        <v>245</v>
      </c>
      <c r="K60" s="3" t="s">
        <v>246</v>
      </c>
      <c r="L60" s="3" t="s">
        <v>247</v>
      </c>
      <c r="M60">
        <v>123270268</v>
      </c>
      <c r="N60" s="6" t="s">
        <v>326</v>
      </c>
      <c r="O60" s="3" t="s">
        <v>338</v>
      </c>
      <c r="P60" s="3" t="s">
        <v>398</v>
      </c>
      <c r="Q60" s="3"/>
      <c r="R60" s="3"/>
      <c r="S60" s="3"/>
    </row>
    <row r="61" spans="1:19" x14ac:dyDescent="0.2">
      <c r="A61">
        <v>121169036</v>
      </c>
      <c r="B61" s="3" t="s">
        <v>248</v>
      </c>
      <c r="C61">
        <v>0</v>
      </c>
      <c r="D61">
        <v>2013</v>
      </c>
      <c r="E61">
        <v>10</v>
      </c>
      <c r="F61">
        <v>20230825</v>
      </c>
      <c r="G61">
        <v>16</v>
      </c>
      <c r="H61" s="3" t="s">
        <v>14</v>
      </c>
      <c r="I61" s="3" t="s">
        <v>15</v>
      </c>
      <c r="J61" s="3" t="s">
        <v>249</v>
      </c>
      <c r="K61" s="3" t="s">
        <v>250</v>
      </c>
      <c r="L61" s="3" t="s">
        <v>251</v>
      </c>
      <c r="M61">
        <v>123738620</v>
      </c>
      <c r="N61" s="6" t="s">
        <v>326</v>
      </c>
      <c r="O61" s="3" t="s">
        <v>338</v>
      </c>
      <c r="P61" s="3" t="s">
        <v>399</v>
      </c>
      <c r="Q61" s="3"/>
      <c r="R61" s="3"/>
      <c r="S61" s="3"/>
    </row>
    <row r="62" spans="1:19" x14ac:dyDescent="0.2">
      <c r="A62">
        <v>121008246</v>
      </c>
      <c r="B62" s="3" t="s">
        <v>252</v>
      </c>
      <c r="C62">
        <v>117516912</v>
      </c>
      <c r="D62">
        <v>2013</v>
      </c>
      <c r="E62">
        <v>1</v>
      </c>
      <c r="F62">
        <v>20230826</v>
      </c>
      <c r="G62">
        <v>10</v>
      </c>
      <c r="H62" s="3" t="s">
        <v>14</v>
      </c>
      <c r="I62" s="3" t="s">
        <v>15</v>
      </c>
      <c r="J62" s="3" t="s">
        <v>253</v>
      </c>
      <c r="K62" s="3" t="s">
        <v>254</v>
      </c>
      <c r="L62" s="3" t="s">
        <v>255</v>
      </c>
      <c r="M62">
        <v>1293606</v>
      </c>
      <c r="N62" s="6" t="s">
        <v>326</v>
      </c>
      <c r="O62" s="3" t="s">
        <v>419</v>
      </c>
      <c r="P62" s="3" t="s">
        <v>400</v>
      </c>
      <c r="Q62" s="3" t="s">
        <v>340</v>
      </c>
      <c r="R62" s="3" t="s">
        <v>507</v>
      </c>
      <c r="S62" s="3" t="s">
        <v>423</v>
      </c>
    </row>
    <row r="63" spans="1:19" x14ac:dyDescent="0.2">
      <c r="A63">
        <v>121008666</v>
      </c>
      <c r="B63" s="3" t="s">
        <v>256</v>
      </c>
      <c r="C63">
        <v>117326957</v>
      </c>
      <c r="D63">
        <v>2013</v>
      </c>
      <c r="E63">
        <v>10</v>
      </c>
      <c r="F63">
        <v>20230826</v>
      </c>
      <c r="G63">
        <v>5</v>
      </c>
      <c r="H63" s="3" t="s">
        <v>14</v>
      </c>
      <c r="I63" s="3" t="s">
        <v>15</v>
      </c>
      <c r="J63" s="3" t="s">
        <v>120</v>
      </c>
      <c r="K63" s="3" t="s">
        <v>257</v>
      </c>
      <c r="L63" s="3" t="s">
        <v>258</v>
      </c>
      <c r="M63">
        <v>124418801</v>
      </c>
      <c r="N63" s="6" t="s">
        <v>326</v>
      </c>
      <c r="O63" s="3" t="s">
        <v>419</v>
      </c>
      <c r="P63" s="3" t="s">
        <v>401</v>
      </c>
      <c r="Q63" s="3" t="s">
        <v>508</v>
      </c>
      <c r="R63" s="3" t="s">
        <v>509</v>
      </c>
      <c r="S63" s="3" t="s">
        <v>423</v>
      </c>
    </row>
    <row r="64" spans="1:19" x14ac:dyDescent="0.2">
      <c r="A64">
        <v>121045090</v>
      </c>
      <c r="B64" s="3" t="s">
        <v>259</v>
      </c>
      <c r="C64">
        <v>117305488</v>
      </c>
      <c r="D64">
        <v>2013</v>
      </c>
      <c r="E64">
        <v>1</v>
      </c>
      <c r="F64">
        <v>20230826</v>
      </c>
      <c r="G64">
        <v>15</v>
      </c>
      <c r="H64" s="3" t="s">
        <v>14</v>
      </c>
      <c r="I64" s="3" t="s">
        <v>15</v>
      </c>
      <c r="J64" s="3" t="s">
        <v>260</v>
      </c>
      <c r="K64" s="3" t="s">
        <v>261</v>
      </c>
      <c r="L64" s="3" t="s">
        <v>262</v>
      </c>
      <c r="M64">
        <v>123644050</v>
      </c>
      <c r="N64" s="6" t="s">
        <v>326</v>
      </c>
      <c r="O64" s="3" t="s">
        <v>338</v>
      </c>
      <c r="P64" s="3" t="s">
        <v>402</v>
      </c>
      <c r="Q64" s="3"/>
      <c r="R64" s="3"/>
      <c r="S64" s="3"/>
    </row>
    <row r="65" spans="1:19" x14ac:dyDescent="0.2">
      <c r="A65">
        <v>121039495</v>
      </c>
      <c r="B65" s="3" t="s">
        <v>263</v>
      </c>
      <c r="C65">
        <v>117594994</v>
      </c>
      <c r="D65">
        <v>2013</v>
      </c>
      <c r="E65">
        <v>1</v>
      </c>
      <c r="F65">
        <v>20230827</v>
      </c>
      <c r="G65">
        <v>15</v>
      </c>
      <c r="H65" s="3" t="s">
        <v>14</v>
      </c>
      <c r="I65" s="3" t="s">
        <v>15</v>
      </c>
      <c r="J65" s="3" t="s">
        <v>220</v>
      </c>
      <c r="K65" s="3" t="s">
        <v>221</v>
      </c>
      <c r="L65" s="3" t="s">
        <v>222</v>
      </c>
      <c r="M65">
        <v>123320902</v>
      </c>
      <c r="N65" s="6" t="s">
        <v>326</v>
      </c>
      <c r="O65" s="3" t="s">
        <v>338</v>
      </c>
      <c r="P65" s="3" t="s">
        <v>403</v>
      </c>
      <c r="Q65" s="3"/>
      <c r="R65" s="3"/>
      <c r="S65" s="3"/>
    </row>
    <row r="66" spans="1:19" x14ac:dyDescent="0.2">
      <c r="A66">
        <v>121039701</v>
      </c>
      <c r="B66" s="3" t="s">
        <v>264</v>
      </c>
      <c r="C66">
        <v>0</v>
      </c>
      <c r="D66">
        <v>2013</v>
      </c>
      <c r="E66">
        <v>1</v>
      </c>
      <c r="F66">
        <v>20230827</v>
      </c>
      <c r="G66">
        <v>10</v>
      </c>
      <c r="H66" s="3" t="s">
        <v>14</v>
      </c>
      <c r="I66" s="3" t="s">
        <v>15</v>
      </c>
      <c r="J66" s="3" t="s">
        <v>265</v>
      </c>
      <c r="K66" s="3" t="s">
        <v>266</v>
      </c>
      <c r="L66" s="3" t="s">
        <v>267</v>
      </c>
      <c r="M66">
        <v>7137090</v>
      </c>
      <c r="N66" s="6" t="s">
        <v>326</v>
      </c>
      <c r="O66" s="3" t="s">
        <v>338</v>
      </c>
      <c r="P66" s="3" t="s">
        <v>404</v>
      </c>
      <c r="Q66" s="3"/>
      <c r="R66" s="3"/>
      <c r="S66" s="3"/>
    </row>
    <row r="67" spans="1:19" x14ac:dyDescent="0.2">
      <c r="A67">
        <v>121071606</v>
      </c>
      <c r="B67" s="3" t="s">
        <v>268</v>
      </c>
      <c r="C67">
        <v>117420966</v>
      </c>
      <c r="D67">
        <v>2013</v>
      </c>
      <c r="E67">
        <v>10</v>
      </c>
      <c r="F67">
        <v>20230827</v>
      </c>
      <c r="G67">
        <v>15</v>
      </c>
      <c r="H67" s="3" t="s">
        <v>14</v>
      </c>
      <c r="I67" s="3" t="s">
        <v>15</v>
      </c>
      <c r="J67" s="3" t="s">
        <v>269</v>
      </c>
      <c r="K67" s="3" t="s">
        <v>270</v>
      </c>
      <c r="L67" s="3" t="s">
        <v>271</v>
      </c>
      <c r="M67">
        <v>12055667</v>
      </c>
      <c r="N67" s="6" t="s">
        <v>326</v>
      </c>
      <c r="O67" s="3" t="s">
        <v>338</v>
      </c>
      <c r="P67" s="3" t="s">
        <v>405</v>
      </c>
      <c r="Q67" s="3"/>
      <c r="R67" s="3"/>
      <c r="S67" s="3"/>
    </row>
    <row r="68" spans="1:19" x14ac:dyDescent="0.2">
      <c r="A68">
        <v>121037993</v>
      </c>
      <c r="B68" s="3" t="s">
        <v>272</v>
      </c>
      <c r="C68">
        <v>117415519</v>
      </c>
      <c r="D68">
        <v>2013</v>
      </c>
      <c r="E68">
        <v>5</v>
      </c>
      <c r="F68">
        <v>20230828</v>
      </c>
      <c r="G68">
        <v>5</v>
      </c>
      <c r="H68" s="3" t="s">
        <v>14</v>
      </c>
      <c r="I68" s="3" t="s">
        <v>15</v>
      </c>
      <c r="J68" s="3" t="s">
        <v>273</v>
      </c>
      <c r="K68" s="3" t="s">
        <v>274</v>
      </c>
      <c r="L68" s="3" t="s">
        <v>275</v>
      </c>
      <c r="M68">
        <v>5160786</v>
      </c>
      <c r="N68" s="6" t="s">
        <v>326</v>
      </c>
      <c r="O68" s="3" t="s">
        <v>338</v>
      </c>
      <c r="P68" s="3" t="s">
        <v>406</v>
      </c>
      <c r="Q68" s="3"/>
      <c r="R68" s="3"/>
      <c r="S68" s="3"/>
    </row>
    <row r="69" spans="1:19" x14ac:dyDescent="0.2">
      <c r="A69">
        <v>121194553</v>
      </c>
      <c r="B69" s="3" t="s">
        <v>276</v>
      </c>
      <c r="C69">
        <v>0</v>
      </c>
      <c r="D69">
        <v>2013</v>
      </c>
      <c r="E69">
        <v>6</v>
      </c>
      <c r="F69">
        <v>20230828</v>
      </c>
      <c r="G69">
        <v>10</v>
      </c>
      <c r="H69" s="3" t="s">
        <v>14</v>
      </c>
      <c r="I69" s="3" t="s">
        <v>15</v>
      </c>
      <c r="J69" s="3" t="s">
        <v>277</v>
      </c>
      <c r="K69" s="3" t="s">
        <v>278</v>
      </c>
      <c r="L69" s="3" t="s">
        <v>279</v>
      </c>
      <c r="M69">
        <v>119742654</v>
      </c>
      <c r="N69" s="6" t="s">
        <v>326</v>
      </c>
      <c r="O69" s="3" t="s">
        <v>338</v>
      </c>
      <c r="P69" s="3" t="s">
        <v>407</v>
      </c>
      <c r="Q69" s="3"/>
      <c r="R69" s="3"/>
      <c r="S69" s="3"/>
    </row>
    <row r="70" spans="1:19" x14ac:dyDescent="0.2">
      <c r="A70">
        <v>121224933</v>
      </c>
      <c r="B70" s="3" t="s">
        <v>280</v>
      </c>
      <c r="C70">
        <v>117353382</v>
      </c>
      <c r="D70">
        <v>2013</v>
      </c>
      <c r="E70">
        <v>10</v>
      </c>
      <c r="F70">
        <v>20230828</v>
      </c>
      <c r="G70">
        <v>1</v>
      </c>
      <c r="H70" s="3" t="s">
        <v>14</v>
      </c>
      <c r="I70" s="3" t="s">
        <v>15</v>
      </c>
      <c r="J70" s="3" t="s">
        <v>281</v>
      </c>
      <c r="K70" s="3" t="s">
        <v>282</v>
      </c>
      <c r="L70" s="3" t="s">
        <v>283</v>
      </c>
      <c r="M70">
        <v>123739277</v>
      </c>
      <c r="N70" s="6" t="s">
        <v>326</v>
      </c>
      <c r="O70" s="3" t="s">
        <v>338</v>
      </c>
      <c r="P70" s="3" t="s">
        <v>408</v>
      </c>
      <c r="Q70" s="3"/>
      <c r="R70" s="3"/>
      <c r="S70" s="3"/>
    </row>
    <row r="71" spans="1:19" x14ac:dyDescent="0.2">
      <c r="A71">
        <v>121040642</v>
      </c>
      <c r="B71" s="3" t="s">
        <v>284</v>
      </c>
      <c r="C71">
        <v>117410564</v>
      </c>
      <c r="D71">
        <v>2013</v>
      </c>
      <c r="E71">
        <v>1</v>
      </c>
      <c r="F71">
        <v>20230829</v>
      </c>
      <c r="G71">
        <v>1</v>
      </c>
      <c r="H71" s="3" t="s">
        <v>14</v>
      </c>
      <c r="I71" s="3" t="s">
        <v>15</v>
      </c>
      <c r="J71" s="3" t="s">
        <v>285</v>
      </c>
      <c r="K71" s="3" t="s">
        <v>286</v>
      </c>
      <c r="L71" s="3" t="s">
        <v>287</v>
      </c>
      <c r="M71">
        <v>7799935</v>
      </c>
      <c r="N71" s="6" t="s">
        <v>326</v>
      </c>
      <c r="O71" s="3" t="s">
        <v>338</v>
      </c>
      <c r="P71" s="3" t="s">
        <v>409</v>
      </c>
      <c r="Q71" s="3"/>
      <c r="R71" s="3"/>
      <c r="S71" s="3"/>
    </row>
    <row r="72" spans="1:19" x14ac:dyDescent="0.2">
      <c r="A72">
        <v>121124962</v>
      </c>
      <c r="B72" s="3" t="s">
        <v>288</v>
      </c>
      <c r="C72">
        <v>117507291</v>
      </c>
      <c r="D72">
        <v>2013</v>
      </c>
      <c r="E72">
        <v>1</v>
      </c>
      <c r="F72">
        <v>20230830</v>
      </c>
      <c r="G72">
        <v>15</v>
      </c>
      <c r="H72" s="3" t="s">
        <v>14</v>
      </c>
      <c r="I72" s="3" t="s">
        <v>15</v>
      </c>
      <c r="J72" s="3" t="s">
        <v>289</v>
      </c>
      <c r="K72" s="3" t="s">
        <v>290</v>
      </c>
      <c r="L72" s="3" t="s">
        <v>291</v>
      </c>
      <c r="M72">
        <v>5913827</v>
      </c>
      <c r="N72" s="6" t="s">
        <v>326</v>
      </c>
      <c r="O72" s="3" t="s">
        <v>338</v>
      </c>
      <c r="P72" s="3" t="s">
        <v>410</v>
      </c>
      <c r="Q72" s="3"/>
      <c r="R72" s="3"/>
      <c r="S72" s="3"/>
    </row>
    <row r="73" spans="1:19" x14ac:dyDescent="0.2">
      <c r="A73">
        <v>121209206</v>
      </c>
      <c r="B73" s="3" t="s">
        <v>292</v>
      </c>
      <c r="C73">
        <v>0</v>
      </c>
      <c r="D73">
        <v>2013</v>
      </c>
      <c r="E73">
        <v>1</v>
      </c>
      <c r="F73">
        <v>20230830</v>
      </c>
      <c r="G73">
        <v>15</v>
      </c>
      <c r="H73" s="3" t="s">
        <v>14</v>
      </c>
      <c r="I73" s="3" t="s">
        <v>15</v>
      </c>
      <c r="J73" s="3" t="s">
        <v>293</v>
      </c>
      <c r="K73" s="3" t="s">
        <v>294</v>
      </c>
      <c r="L73" s="3" t="s">
        <v>295</v>
      </c>
      <c r="M73">
        <v>122846633</v>
      </c>
      <c r="N73" s="6" t="s">
        <v>326</v>
      </c>
      <c r="O73" s="3" t="s">
        <v>338</v>
      </c>
      <c r="P73" s="3" t="s">
        <v>411</v>
      </c>
      <c r="Q73" s="3"/>
      <c r="R73" s="3"/>
      <c r="S73" s="3"/>
    </row>
    <row r="74" spans="1:19" x14ac:dyDescent="0.2">
      <c r="A74">
        <v>121219689</v>
      </c>
      <c r="B74" s="3" t="s">
        <v>296</v>
      </c>
      <c r="C74">
        <v>0</v>
      </c>
      <c r="D74">
        <v>2013</v>
      </c>
      <c r="E74">
        <v>1</v>
      </c>
      <c r="F74">
        <v>20230830</v>
      </c>
      <c r="G74">
        <v>15</v>
      </c>
      <c r="H74" s="3" t="s">
        <v>14</v>
      </c>
      <c r="I74" s="3" t="s">
        <v>15</v>
      </c>
      <c r="J74" s="3" t="s">
        <v>297</v>
      </c>
      <c r="K74" s="3" t="s">
        <v>298</v>
      </c>
      <c r="L74" s="3" t="s">
        <v>299</v>
      </c>
      <c r="M74">
        <v>125932224</v>
      </c>
      <c r="N74" s="6" t="s">
        <v>326</v>
      </c>
      <c r="O74" s="3" t="s">
        <v>338</v>
      </c>
      <c r="P74" s="3" t="s">
        <v>412</v>
      </c>
      <c r="Q74" s="3"/>
      <c r="R74" s="3"/>
      <c r="S74" s="3"/>
    </row>
    <row r="75" spans="1:19" x14ac:dyDescent="0.2">
      <c r="A75">
        <v>121247064</v>
      </c>
      <c r="B75" s="3" t="s">
        <v>300</v>
      </c>
      <c r="C75">
        <v>117410667</v>
      </c>
      <c r="D75">
        <v>2013</v>
      </c>
      <c r="E75">
        <v>4</v>
      </c>
      <c r="F75">
        <v>20230830</v>
      </c>
      <c r="G75">
        <v>10</v>
      </c>
      <c r="H75" s="3" t="s">
        <v>14</v>
      </c>
      <c r="I75" s="3" t="s">
        <v>15</v>
      </c>
      <c r="J75" s="3" t="s">
        <v>301</v>
      </c>
      <c r="K75" s="3" t="s">
        <v>302</v>
      </c>
      <c r="L75" s="3" t="s">
        <v>303</v>
      </c>
      <c r="M75">
        <v>121941509</v>
      </c>
      <c r="N75" s="6" t="s">
        <v>326</v>
      </c>
      <c r="O75" s="3" t="s">
        <v>338</v>
      </c>
      <c r="P75" s="3" t="s">
        <v>413</v>
      </c>
      <c r="Q75" s="3"/>
      <c r="R75" s="3"/>
      <c r="S75" s="3"/>
    </row>
    <row r="76" spans="1:19" x14ac:dyDescent="0.2">
      <c r="A76">
        <v>121125267</v>
      </c>
      <c r="B76" s="3" t="s">
        <v>304</v>
      </c>
      <c r="C76">
        <v>117459405</v>
      </c>
      <c r="D76">
        <v>2013</v>
      </c>
      <c r="E76">
        <v>10</v>
      </c>
      <c r="F76">
        <v>20230831</v>
      </c>
      <c r="G76">
        <v>15</v>
      </c>
      <c r="H76" s="3" t="s">
        <v>14</v>
      </c>
      <c r="I76" s="3" t="s">
        <v>15</v>
      </c>
      <c r="J76" s="3" t="s">
        <v>305</v>
      </c>
      <c r="K76" s="3" t="s">
        <v>306</v>
      </c>
      <c r="L76" s="3" t="s">
        <v>307</v>
      </c>
      <c r="M76">
        <v>123739109</v>
      </c>
      <c r="N76" s="6" t="s">
        <v>326</v>
      </c>
      <c r="O76" s="3" t="s">
        <v>338</v>
      </c>
      <c r="P76" s="3" t="s">
        <v>414</v>
      </c>
      <c r="Q76" s="3"/>
      <c r="R76" s="3"/>
      <c r="S76" s="3"/>
    </row>
    <row r="77" spans="1:19" x14ac:dyDescent="0.2">
      <c r="A77">
        <v>121213086</v>
      </c>
      <c r="B77" s="3" t="s">
        <v>308</v>
      </c>
      <c r="C77">
        <v>117410168</v>
      </c>
      <c r="D77">
        <v>2013</v>
      </c>
      <c r="E77">
        <v>10</v>
      </c>
      <c r="F77">
        <v>20230831</v>
      </c>
      <c r="G77">
        <v>15</v>
      </c>
      <c r="H77" s="3" t="s">
        <v>14</v>
      </c>
      <c r="I77" s="3" t="s">
        <v>15</v>
      </c>
      <c r="J77" s="3" t="s">
        <v>309</v>
      </c>
      <c r="K77" s="3" t="s">
        <v>310</v>
      </c>
      <c r="L77" s="3" t="s">
        <v>311</v>
      </c>
      <c r="M77">
        <v>25421</v>
      </c>
      <c r="N77" s="6" t="s">
        <v>326</v>
      </c>
      <c r="O77" s="3" t="s">
        <v>338</v>
      </c>
      <c r="P77" s="3" t="s">
        <v>415</v>
      </c>
      <c r="Q77" s="3"/>
      <c r="R77" s="3"/>
      <c r="S77" s="3"/>
    </row>
    <row r="78" spans="1:19" x14ac:dyDescent="0.2">
      <c r="A78">
        <v>121242464</v>
      </c>
      <c r="B78" s="3" t="s">
        <v>312</v>
      </c>
      <c r="C78">
        <v>0</v>
      </c>
      <c r="D78">
        <v>2013</v>
      </c>
      <c r="E78">
        <v>10</v>
      </c>
      <c r="F78">
        <v>20230831</v>
      </c>
      <c r="G78">
        <v>1</v>
      </c>
      <c r="H78" s="3" t="s">
        <v>14</v>
      </c>
      <c r="I78" s="3" t="s">
        <v>15</v>
      </c>
      <c r="J78" s="3" t="s">
        <v>313</v>
      </c>
      <c r="K78" s="3" t="s">
        <v>314</v>
      </c>
      <c r="L78" s="3" t="s">
        <v>315</v>
      </c>
      <c r="M78">
        <v>123737434</v>
      </c>
      <c r="N78" s="6" t="s">
        <v>326</v>
      </c>
      <c r="O78" s="3" t="s">
        <v>338</v>
      </c>
      <c r="P78" s="3" t="s">
        <v>416</v>
      </c>
      <c r="Q78" s="3"/>
      <c r="R78" s="3"/>
      <c r="S78" s="3"/>
    </row>
    <row r="79" spans="1:19" x14ac:dyDescent="0.2">
      <c r="A79">
        <v>121248771</v>
      </c>
      <c r="B79" s="3" t="s">
        <v>316</v>
      </c>
      <c r="C79">
        <v>117498699</v>
      </c>
      <c r="D79">
        <v>2013</v>
      </c>
      <c r="E79">
        <v>6</v>
      </c>
      <c r="F79">
        <v>20230831</v>
      </c>
      <c r="G79">
        <v>30</v>
      </c>
      <c r="H79" s="3" t="s">
        <v>14</v>
      </c>
      <c r="I79" s="3" t="s">
        <v>15</v>
      </c>
      <c r="J79" s="3" t="s">
        <v>317</v>
      </c>
      <c r="K79" s="3" t="s">
        <v>318</v>
      </c>
      <c r="L79" s="3" t="s">
        <v>319</v>
      </c>
      <c r="M79">
        <v>7276708</v>
      </c>
      <c r="N79" s="6" t="s">
        <v>326</v>
      </c>
      <c r="O79" s="3" t="s">
        <v>338</v>
      </c>
      <c r="P79" s="3" t="s">
        <v>417</v>
      </c>
      <c r="Q79" s="3"/>
      <c r="R79" s="3"/>
      <c r="S79" s="3"/>
    </row>
    <row r="80" spans="1:19" x14ac:dyDescent="0.2">
      <c r="O80" s="3" t="s">
        <v>339</v>
      </c>
      <c r="P80" s="3" t="s">
        <v>418</v>
      </c>
    </row>
  </sheetData>
  <autoFilter ref="A1:S79" xr:uid="{77DACDED-F7B4-473A-9296-AE6B14A121CB}"/>
  <phoneticPr fontId="8" type="noConversion"/>
  <pageMargins bottom="0.78740157499999996" footer="0.31496062000000002" header="0.31496062000000002" left="0.511811024" right="0.511811024" top="0.78740157499999996"/>
  <pageSetup orientation="portrait" r:id="rId1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57AB-1C93-4B25-8FA8-4007391AE371}">
  <dimension ref="B1:E35"/>
  <sheetViews>
    <sheetView workbookViewId="0">
      <selection activeCell="F4" sqref="F4"/>
    </sheetView>
  </sheetViews>
  <sheetFormatPr defaultRowHeight="12.75" x14ac:dyDescent="0.2"/>
  <cols>
    <col min="2" max="2" customWidth="true" width="20.7109375" collapsed="true"/>
    <col min="3" max="3" customWidth="true" width="13.5703125" collapsed="true"/>
    <col min="4" max="4" customWidth="true" width="18.5703125" collapsed="true"/>
  </cols>
  <sheetData>
    <row ht="13.5" r="1" spans="2:4" thickBot="1" x14ac:dyDescent="0.25"/>
    <row ht="15.75" r="2" spans="2:4" thickBot="1" x14ac:dyDescent="0.25">
      <c r="B2" s="15" t="s">
        <v>328</v>
      </c>
      <c r="C2" s="16"/>
      <c r="D2" s="17"/>
    </row>
    <row ht="15.75" r="3" spans="2:4" thickBot="1" x14ac:dyDescent="0.25">
      <c r="B3" s="18" t="s">
        <v>329</v>
      </c>
      <c r="C3" s="20" t="s">
        <v>330</v>
      </c>
      <c r="D3" s="21"/>
    </row>
    <row ht="15.75" r="4" spans="2:4" thickBot="1" x14ac:dyDescent="0.25">
      <c r="B4" s="19"/>
      <c r="C4" s="8" t="s">
        <v>331</v>
      </c>
      <c r="D4" s="8" t="s">
        <v>332</v>
      </c>
    </row>
    <row ht="15.75" r="5" spans="2:4" thickBot="1" x14ac:dyDescent="0.3">
      <c r="B5" s="9">
        <v>45139</v>
      </c>
      <c r="C5" s="9">
        <f ref="C5:C35" si="0" t="shared">B5-15</f>
        <v>45124</v>
      </c>
      <c r="D5" s="10" t="s">
        <v>333</v>
      </c>
    </row>
    <row ht="15.75" r="6" spans="2:4" thickBot="1" x14ac:dyDescent="0.3">
      <c r="B6" s="9">
        <v>45140</v>
      </c>
      <c r="C6" s="9">
        <f si="0" t="shared"/>
        <v>45125</v>
      </c>
      <c r="D6" s="10" t="s">
        <v>334</v>
      </c>
    </row>
    <row ht="15.75" r="7" spans="2:4" thickBot="1" x14ac:dyDescent="0.3">
      <c r="B7" s="9">
        <v>45141</v>
      </c>
      <c r="C7" s="9">
        <f si="0" t="shared"/>
        <v>45126</v>
      </c>
      <c r="D7" s="10" t="s">
        <v>335</v>
      </c>
    </row>
    <row ht="15.75" r="8" spans="2:4" thickBot="1" x14ac:dyDescent="0.3">
      <c r="B8" s="9">
        <v>45142</v>
      </c>
      <c r="C8" s="9">
        <f si="0" t="shared"/>
        <v>45127</v>
      </c>
      <c r="D8" s="10" t="s">
        <v>336</v>
      </c>
    </row>
    <row ht="15.75" r="9" spans="2:4" thickBot="1" x14ac:dyDescent="0.3">
      <c r="B9" s="11">
        <v>45143</v>
      </c>
      <c r="C9" s="11">
        <f si="0" t="shared"/>
        <v>45128</v>
      </c>
      <c r="D9" s="12" t="s">
        <v>337</v>
      </c>
    </row>
    <row ht="15.75" r="10" spans="2:4" thickBot="1" x14ac:dyDescent="0.3">
      <c r="B10" s="11">
        <v>45144</v>
      </c>
      <c r="C10" s="11">
        <v>45128</v>
      </c>
      <c r="D10" s="12" t="s">
        <v>337</v>
      </c>
    </row>
    <row ht="15.75" r="11" spans="2:4" thickBot="1" x14ac:dyDescent="0.3">
      <c r="B11" s="11">
        <v>45145</v>
      </c>
      <c r="C11" s="11">
        <v>45128</v>
      </c>
      <c r="D11" s="12" t="s">
        <v>337</v>
      </c>
    </row>
    <row ht="15.75" r="12" spans="2:4" thickBot="1" x14ac:dyDescent="0.3">
      <c r="B12" s="9">
        <v>45146</v>
      </c>
      <c r="C12" s="9">
        <f si="0" t="shared"/>
        <v>45131</v>
      </c>
      <c r="D12" s="10" t="s">
        <v>333</v>
      </c>
    </row>
    <row ht="15.75" r="13" spans="2:4" thickBot="1" x14ac:dyDescent="0.3">
      <c r="B13" s="9">
        <v>45147</v>
      </c>
      <c r="C13" s="9">
        <f si="0" t="shared"/>
        <v>45132</v>
      </c>
      <c r="D13" s="10" t="s">
        <v>334</v>
      </c>
    </row>
    <row ht="15.75" r="14" spans="2:4" thickBot="1" x14ac:dyDescent="0.3">
      <c r="B14" s="9">
        <v>45148</v>
      </c>
      <c r="C14" s="9">
        <f si="0" t="shared"/>
        <v>45133</v>
      </c>
      <c r="D14" s="10" t="s">
        <v>335</v>
      </c>
    </row>
    <row ht="15.75" r="15" spans="2:4" thickBot="1" x14ac:dyDescent="0.3">
      <c r="B15" s="9">
        <v>45149</v>
      </c>
      <c r="C15" s="9">
        <f si="0" t="shared"/>
        <v>45134</v>
      </c>
      <c r="D15" s="10" t="s">
        <v>336</v>
      </c>
    </row>
    <row ht="15.75" r="16" spans="2:4" thickBot="1" x14ac:dyDescent="0.3">
      <c r="B16" s="11">
        <v>45150</v>
      </c>
      <c r="C16" s="11">
        <f si="0" t="shared"/>
        <v>45135</v>
      </c>
      <c r="D16" s="12" t="s">
        <v>337</v>
      </c>
    </row>
    <row ht="15.75" r="17" spans="2:4" thickBot="1" x14ac:dyDescent="0.3">
      <c r="B17" s="11">
        <v>45151</v>
      </c>
      <c r="C17" s="11">
        <v>45135</v>
      </c>
      <c r="D17" s="12" t="s">
        <v>337</v>
      </c>
    </row>
    <row ht="15.75" r="18" spans="2:4" thickBot="1" x14ac:dyDescent="0.3">
      <c r="B18" s="11">
        <v>45152</v>
      </c>
      <c r="C18" s="11">
        <v>45135</v>
      </c>
      <c r="D18" s="12" t="s">
        <v>337</v>
      </c>
    </row>
    <row ht="15.75" r="19" spans="2:4" thickBot="1" x14ac:dyDescent="0.3">
      <c r="B19" s="9">
        <v>45153</v>
      </c>
      <c r="C19" s="9">
        <f si="0" t="shared"/>
        <v>45138</v>
      </c>
      <c r="D19" s="10" t="s">
        <v>333</v>
      </c>
    </row>
    <row ht="15.75" r="20" spans="2:4" thickBot="1" x14ac:dyDescent="0.3">
      <c r="B20" s="9">
        <v>45154</v>
      </c>
      <c r="C20" s="9">
        <f si="0" t="shared"/>
        <v>45139</v>
      </c>
      <c r="D20" s="10" t="s">
        <v>334</v>
      </c>
    </row>
    <row ht="15.75" r="21" spans="2:4" thickBot="1" x14ac:dyDescent="0.3">
      <c r="B21" s="9">
        <v>45155</v>
      </c>
      <c r="C21" s="9">
        <f si="0" t="shared"/>
        <v>45140</v>
      </c>
      <c r="D21" s="10" t="s">
        <v>335</v>
      </c>
    </row>
    <row ht="15.75" r="22" spans="2:4" thickBot="1" x14ac:dyDescent="0.3">
      <c r="B22" s="9">
        <v>45156</v>
      </c>
      <c r="C22" s="9">
        <f si="0" t="shared"/>
        <v>45141</v>
      </c>
      <c r="D22" s="10" t="s">
        <v>336</v>
      </c>
    </row>
    <row ht="15.75" r="23" spans="2:4" thickBot="1" x14ac:dyDescent="0.3">
      <c r="B23" s="11">
        <v>45157</v>
      </c>
      <c r="C23" s="11">
        <f si="0" t="shared"/>
        <v>45142</v>
      </c>
      <c r="D23" s="12" t="s">
        <v>337</v>
      </c>
    </row>
    <row ht="15.75" r="24" spans="2:4" thickBot="1" x14ac:dyDescent="0.3">
      <c r="B24" s="11">
        <v>45158</v>
      </c>
      <c r="C24" s="11">
        <v>45142</v>
      </c>
      <c r="D24" s="12" t="s">
        <v>337</v>
      </c>
    </row>
    <row ht="15.75" r="25" spans="2:4" thickBot="1" x14ac:dyDescent="0.3">
      <c r="B25" s="11">
        <v>45159</v>
      </c>
      <c r="C25" s="11">
        <v>45142</v>
      </c>
      <c r="D25" s="12" t="s">
        <v>337</v>
      </c>
    </row>
    <row ht="15.75" r="26" spans="2:4" thickBot="1" x14ac:dyDescent="0.3">
      <c r="B26" s="9">
        <v>45160</v>
      </c>
      <c r="C26" s="9">
        <f si="0" t="shared"/>
        <v>45145</v>
      </c>
      <c r="D26" s="10" t="s">
        <v>333</v>
      </c>
    </row>
    <row ht="15.75" r="27" spans="2:4" thickBot="1" x14ac:dyDescent="0.3">
      <c r="B27" s="9">
        <v>45161</v>
      </c>
      <c r="C27" s="9">
        <f si="0" t="shared"/>
        <v>45146</v>
      </c>
      <c r="D27" s="10" t="s">
        <v>334</v>
      </c>
    </row>
    <row ht="15.75" r="28" spans="2:4" thickBot="1" x14ac:dyDescent="0.3">
      <c r="B28" s="9">
        <v>45162</v>
      </c>
      <c r="C28" s="9">
        <f si="0" t="shared"/>
        <v>45147</v>
      </c>
      <c r="D28" s="10" t="s">
        <v>335</v>
      </c>
    </row>
    <row ht="15.75" r="29" spans="2:4" thickBot="1" x14ac:dyDescent="0.3">
      <c r="B29" s="9">
        <v>45163</v>
      </c>
      <c r="C29" s="9">
        <f si="0" t="shared"/>
        <v>45148</v>
      </c>
      <c r="D29" s="10" t="s">
        <v>336</v>
      </c>
    </row>
    <row ht="15.75" r="30" spans="2:4" thickBot="1" x14ac:dyDescent="0.3">
      <c r="B30" s="11">
        <v>45164</v>
      </c>
      <c r="C30" s="11">
        <f si="0" t="shared"/>
        <v>45149</v>
      </c>
      <c r="D30" s="12" t="s">
        <v>337</v>
      </c>
    </row>
    <row ht="15.75" r="31" spans="2:4" thickBot="1" x14ac:dyDescent="0.3">
      <c r="B31" s="11">
        <v>45165</v>
      </c>
      <c r="C31" s="11">
        <v>45149</v>
      </c>
      <c r="D31" s="12" t="s">
        <v>337</v>
      </c>
    </row>
    <row ht="15.75" r="32" spans="2:4" thickBot="1" x14ac:dyDescent="0.3">
      <c r="B32" s="11">
        <v>45166</v>
      </c>
      <c r="C32" s="11">
        <v>45149</v>
      </c>
      <c r="D32" s="12" t="s">
        <v>337</v>
      </c>
    </row>
    <row ht="15.75" r="33" spans="2:4" thickBot="1" x14ac:dyDescent="0.3">
      <c r="B33" s="9">
        <v>45167</v>
      </c>
      <c r="C33" s="9">
        <f si="0" t="shared"/>
        <v>45152</v>
      </c>
      <c r="D33" s="10" t="s">
        <v>333</v>
      </c>
    </row>
    <row ht="15.75" r="34" spans="2:4" thickBot="1" x14ac:dyDescent="0.3">
      <c r="B34" s="9">
        <v>45168</v>
      </c>
      <c r="C34" s="9">
        <f si="0" t="shared"/>
        <v>45153</v>
      </c>
      <c r="D34" s="10" t="s">
        <v>334</v>
      </c>
    </row>
    <row ht="15.75" r="35" spans="2:4" thickBot="1" x14ac:dyDescent="0.3">
      <c r="B35" s="9">
        <v>45169</v>
      </c>
      <c r="C35" s="9">
        <f si="0" t="shared"/>
        <v>45154</v>
      </c>
      <c r="D35" s="10" t="s">
        <v>335</v>
      </c>
    </row>
  </sheetData>
  <mergeCells count="3">
    <mergeCell ref="B2:D2"/>
    <mergeCell ref="B3:B4"/>
    <mergeCell ref="C3:D3"/>
  </mergeCells>
  <pageMargins bottom="0.78740157499999996" footer="0.31496062000000002" header="0.31496062000000002" left="0.511811024" right="0.511811024" top="0.78740157499999996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SeguroRenovResidencia</vt:lpstr>
      <vt:lpstr>Calendario</vt:lpstr>
    </vt:vector>
  </TitlesOfParts>
  <Company>Allianz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2023-07-13T21:04:10Z</dcterms:created>
  <dc:creator>Denilson Costa Dias(Externo)</dc:creator>
  <cp:lastModifiedBy>Denilson Costa Dias(Externo)</cp:lastModifiedBy>
  <dcterms:modified xsi:type="dcterms:W3CDTF">2023-08-11T21:32:27Z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ce5f591a-3248-43e9-9b70-1ad50135772d_Enabled" pid="2">
    <vt:lpwstr>true</vt:lpwstr>
  </property>
  <property fmtid="{D5CDD505-2E9C-101B-9397-08002B2CF9AE}" name="MSIP_Label_ce5f591a-3248-43e9-9b70-1ad50135772d_SetDate" pid="3">
    <vt:lpwstr>2023-07-13T21:04:13Z</vt:lpwstr>
  </property>
  <property fmtid="{D5CDD505-2E9C-101B-9397-08002B2CF9AE}" name="MSIP_Label_ce5f591a-3248-43e9-9b70-1ad50135772d_Method" pid="4">
    <vt:lpwstr>Privileged</vt:lpwstr>
  </property>
  <property fmtid="{D5CDD505-2E9C-101B-9397-08002B2CF9AE}" name="MSIP_Label_ce5f591a-3248-43e9-9b70-1ad50135772d_Name" pid="5">
    <vt:lpwstr>ce5f591a-3248-43e9-9b70-1ad50135772d</vt:lpwstr>
  </property>
  <property fmtid="{D5CDD505-2E9C-101B-9397-08002B2CF9AE}" name="MSIP_Label_ce5f591a-3248-43e9-9b70-1ad50135772d_SiteId" pid="6">
    <vt:lpwstr>6e06e42d-6925-47c6-b9e7-9581c7ca302a</vt:lpwstr>
  </property>
  <property fmtid="{D5CDD505-2E9C-101B-9397-08002B2CF9AE}" name="MSIP_Label_ce5f591a-3248-43e9-9b70-1ad50135772d_ActionId" pid="7">
    <vt:lpwstr>602c5425-0a75-4382-b890-7fdfb94ec149</vt:lpwstr>
  </property>
  <property fmtid="{D5CDD505-2E9C-101B-9397-08002B2CF9AE}" name="MSIP_Label_ce5f591a-3248-43e9-9b70-1ad50135772d_ContentBits" pid="8">
    <vt:lpwstr>0</vt:lpwstr>
  </property>
  <property fmtid="{D5CDD505-2E9C-101B-9397-08002B2CF9AE}" name="_AdHocReviewCycleID" pid="9">
    <vt:i4>-41169621</vt:i4>
  </property>
  <property fmtid="{D5CDD505-2E9C-101B-9397-08002B2CF9AE}" name="_NewReviewCycle" pid="10">
    <vt:lpwstr/>
  </property>
  <property fmtid="{D5CDD505-2E9C-101B-9397-08002B2CF9AE}" name="_EmailSubject" pid="11">
    <vt:lpwstr>Robô - Seguro para Colaboradores - Agosto/23</vt:lpwstr>
  </property>
  <property fmtid="{D5CDD505-2E9C-101B-9397-08002B2CF9AE}" name="_AuthorEmail" pid="12">
    <vt:lpwstr>rosiete.dias@allianz.com.br</vt:lpwstr>
  </property>
  <property fmtid="{D5CDD505-2E9C-101B-9397-08002B2CF9AE}" name="_AuthorEmailDisplayName" pid="13">
    <vt:lpwstr>Rosiete Tyo Franca Dias</vt:lpwstr>
  </property>
  <property fmtid="{D5CDD505-2E9C-101B-9397-08002B2CF9AE}" name="_PreviousAdHocReviewCycleID" pid="14">
    <vt:i4>-1232854343</vt:i4>
  </property>
  <property fmtid="{D5CDD505-2E9C-101B-9397-08002B2CF9AE}" name="_ReviewingToolsShownOnce" pid="15">
    <vt:lpwstr/>
  </property>
</Properties>
</file>