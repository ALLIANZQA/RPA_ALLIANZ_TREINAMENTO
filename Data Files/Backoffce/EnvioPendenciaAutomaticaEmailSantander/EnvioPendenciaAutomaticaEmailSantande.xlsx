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Backoffce\EnvioPendenciaAutomaticaEmailSantander\"/>
    </mc:Choice>
  </mc:AlternateContent>
  <xr:revisionPtr revIDLastSave="0" documentId="13_ncr:1_{B017D9B7-B69E-4C27-BAF1-52B5916A5D3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endenciaEmailSantander" sheetId="2" r:id="rId1"/>
  </sheets>
  <definedNames>
    <definedName name="_xlnm._FilterDatabase" localSheetId="0" hidden="1">PendenciaEmailSantander!$A$1:$AA$1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5" i="2" l="1"/>
  <c r="S5" i="2"/>
  <c r="R5" i="2"/>
  <c r="Q5" i="2"/>
  <c r="T4" i="2"/>
  <c r="S4" i="2"/>
  <c r="R4" i="2"/>
  <c r="Q4" i="2"/>
  <c r="T3" i="2"/>
  <c r="S3" i="2"/>
  <c r="R3" i="2"/>
  <c r="Q3" i="2"/>
  <c r="T2" i="2"/>
  <c r="S2" i="2"/>
  <c r="R2" i="2"/>
  <c r="Q2" i="2"/>
  <c r="N5" i="2"/>
  <c r="N4" i="2"/>
  <c r="N3" i="2"/>
  <c r="N2" i="2"/>
</calcChain>
</file>

<file path=xl/sharedStrings.xml><?xml version="1.0" encoding="utf-8"?>
<sst xmlns="http://schemas.openxmlformats.org/spreadsheetml/2006/main" count="66" uniqueCount="43">
  <si>
    <t>RAMO</t>
  </si>
  <si>
    <t>ERRO</t>
  </si>
  <si>
    <t>linha</t>
  </si>
  <si>
    <t>Allianz</t>
  </si>
  <si>
    <t>72hs</t>
  </si>
  <si>
    <t>NR PROPOSTA</t>
  </si>
  <si>
    <t>CPF/CNPJ SEGURADO</t>
  </si>
  <si>
    <t>NOME SEGURADO</t>
  </si>
  <si>
    <t>DT PROPOSTA</t>
  </si>
  <si>
    <t>COD CORRETOR</t>
  </si>
  <si>
    <t>CORRETOR</t>
  </si>
  <si>
    <t>BLOQUEIO</t>
  </si>
  <si>
    <t>PROPOSTA SANTANDER</t>
  </si>
  <si>
    <t>Regra</t>
  </si>
  <si>
    <t>Cia</t>
  </si>
  <si>
    <t>Tipo de Pendência</t>
  </si>
  <si>
    <t>Prazo</t>
  </si>
  <si>
    <t>Segurado</t>
  </si>
  <si>
    <t>CPF</t>
  </si>
  <si>
    <t>Proposta Banco</t>
  </si>
  <si>
    <t>Proposta Cia</t>
  </si>
  <si>
    <t>Campo assunto</t>
  </si>
  <si>
    <t xml:space="preserve">Status </t>
  </si>
  <si>
    <t>Processo</t>
  </si>
  <si>
    <t>Apólice</t>
  </si>
  <si>
    <t>Ficha_Gestão</t>
  </si>
  <si>
    <t>Teto_Padrão</t>
  </si>
  <si>
    <t>Processar</t>
  </si>
  <si>
    <t xml:space="preserve">MARIA GLADIS BIRK                            </t>
  </si>
  <si>
    <t>06/05/2020</t>
  </si>
  <si>
    <t>SANTANDER S.A. SERV TEC ADM E DE CORG DE S</t>
  </si>
  <si>
    <t xml:space="preserve">CLAUDIA HELENA MONTEIRO                      </t>
  </si>
  <si>
    <t xml:space="preserve">MARCIA ANAIRAM BARBOSA DE LIMA               </t>
  </si>
  <si>
    <t xml:space="preserve">DANIEL JOSE RIBAS BRANCO                     </t>
  </si>
  <si>
    <t>05/05/2020</t>
  </si>
  <si>
    <t>Sim</t>
  </si>
  <si>
    <t>Não</t>
  </si>
  <si>
    <t>Processado</t>
  </si>
  <si>
    <t>Allianz -  - 72hs - MARIA GLADIS BIRK                             - 36495972091 Proposta Banco 189155230 P - Apólice</t>
  </si>
  <si>
    <t>Allianz -  - 72hs - CLAUDIA HELENA MONTEIRO                       - 3075135640 Proposta Banco 189155220 P - Apólice</t>
  </si>
  <si>
    <t>ACEITAÇÃO CONDICIONADA Á CONFIRMAÇÃO NA CBE.
Favor indexar na ficha de gestão cópia completa da apólice anterior 2018/2019 (Não será aceito a CI, uma vez em que a CBE não retorna os dados).
PROPOSTA SANTANDER Nº                                                                                                                                               TELEFONES CONTATO SEGURADO (a)</t>
  </si>
  <si>
    <t>Allianz -  - 72hs - MARCIA ANAIRAM BARBOSA DE LIMA                - 6426207411 Proposta Banco 189155241 P - Apólice</t>
  </si>
  <si>
    <t>Allianz -  - 72hs - DANIEL JOSE RIBAS BRANCO                      - 13789027855 Proposta Banco 189154581 P - Apólice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</si>
</sst>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4B4B4B"/>
      <name val="Calibri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6" borderId="0" applyNumberFormat="0" applyBorder="0" applyAlignment="0" applyProtection="0"/>
  </cellStyleXfs>
  <cellXfs count="1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applyFill="1"/>
    <xf numFmtId="0" fontId="1" fillId="4" borderId="0" xfId="0" applyFont="1" applyFill="1"/>
    <xf numFmtId="0" fontId="0" fillId="0" borderId="0" xfId="0" applyNumberFormat="1" applyFill="1"/>
    <xf numFmtId="49" fontId="0" fillId="0" borderId="0" xfId="0" applyNumberFormat="1" applyAlignment="1">
      <alignment horizontal="left"/>
    </xf>
    <xf numFmtId="0" fontId="0" fillId="0" borderId="0" xfId="0"/>
    <xf numFmtId="49" fontId="0" fillId="0" borderId="0" xfId="0" applyNumberFormat="1"/>
    <xf numFmtId="0" fontId="1" fillId="5" borderId="0" xfId="0" applyFont="1" applyFill="1"/>
    <xf numFmtId="0" fontId="2" fillId="0" borderId="0" xfId="0" applyFont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4" fillId="6" borderId="0" xfId="1" applyAlignment="1">
      <alignment vertical="center"/>
    </xf>
    <xf numFmtId="0" fontId="3" fillId="0" borderId="0" xfId="0" applyFont="1"/>
    <xf numFmtId="0" fontId="0" fillId="0" borderId="0" xfId="0" applyAlignment="1">
      <alignment vertical="center" wrapText="1"/>
    </xf>
  </cellXfs>
  <cellStyles count="2">
    <cellStyle name="Bom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A5"/>
  <sheetViews>
    <sheetView tabSelected="1" topLeftCell="V1" zoomScale="80" zoomScaleNormal="80" workbookViewId="0">
      <selection activeCell="X3" sqref="X3"/>
    </sheetView>
  </sheetViews>
  <sheetFormatPr defaultRowHeight="15" x14ac:dyDescent="0.25"/>
  <cols>
    <col min="1" max="1" width="16.7109375" customWidth="1" collapsed="1"/>
    <col min="2" max="2" width="16.7109375" style="7" customWidth="1" collapsed="1"/>
    <col min="3" max="3" width="20.7109375" customWidth="1" collapsed="1"/>
    <col min="4" max="4" width="16.42578125" customWidth="1" collapsed="1"/>
    <col min="5" max="5" width="17.7109375" customWidth="1" collapsed="1"/>
    <col min="6" max="6" width="15.7109375" style="8" customWidth="1" collapsed="1"/>
    <col min="7" max="7" width="45.85546875" customWidth="1" collapsed="1"/>
    <col min="8" max="8" width="15.7109375" customWidth="1" collapsed="1"/>
    <col min="9" max="9" width="29" customWidth="1" collapsed="1"/>
    <col min="10" max="10" width="18.5703125" customWidth="1" collapsed="1"/>
    <col min="11" max="11" width="77.140625" customWidth="1" collapsed="1"/>
    <col min="12" max="12" width="18.140625" style="6" customWidth="1" collapsed="1"/>
    <col min="13" max="13" width="34.5703125" customWidth="1" collapsed="1"/>
    <col min="14" max="15" width="34.5703125" style="7" customWidth="1" collapsed="1"/>
    <col min="16" max="16" width="39.42578125" style="7" customWidth="1" collapsed="1"/>
    <col min="17" max="21" width="34.5703125" style="7" customWidth="1" collapsed="1"/>
    <col min="22" max="22" width="142.140625" customWidth="1" collapsed="1"/>
    <col min="23" max="23" width="12.28515625" style="7" customWidth="1" collapsed="1"/>
    <col min="24" max="24" width="66.85546875" style="7" customWidth="1" collapsed="1"/>
    <col min="25" max="25" width="16.42578125" customWidth="1" collapsed="1"/>
    <col min="26" max="26" width="44.28515625" customWidth="1" collapsed="1"/>
  </cols>
  <sheetData>
    <row r="1" spans="1:27" x14ac:dyDescent="0.25">
      <c r="A1" s="7" t="s">
        <v>5</v>
      </c>
      <c r="B1" s="10" t="s">
        <v>23</v>
      </c>
      <c r="C1" s="7" t="s">
        <v>6</v>
      </c>
      <c r="D1" s="7" t="s">
        <v>7</v>
      </c>
      <c r="E1" s="7" t="s">
        <v>0</v>
      </c>
      <c r="F1" s="8" t="s">
        <v>8</v>
      </c>
      <c r="G1" s="7" t="s">
        <v>9</v>
      </c>
      <c r="H1" s="7" t="s">
        <v>10</v>
      </c>
      <c r="I1" s="7" t="s">
        <v>11</v>
      </c>
      <c r="J1" s="7" t="s">
        <v>11</v>
      </c>
      <c r="K1" s="7" t="s">
        <v>11</v>
      </c>
      <c r="L1" s="7" t="s">
        <v>11</v>
      </c>
      <c r="M1" s="7" t="s">
        <v>12</v>
      </c>
      <c r="N1" s="7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9" t="s">
        <v>21</v>
      </c>
      <c r="W1" s="9" t="s">
        <v>25</v>
      </c>
      <c r="X1" s="9" t="s">
        <v>26</v>
      </c>
      <c r="Y1" s="1" t="s">
        <v>22</v>
      </c>
      <c r="Z1" s="2" t="s">
        <v>1</v>
      </c>
      <c r="AA1" s="4" t="s">
        <v>2</v>
      </c>
    </row>
    <row r="2" spans="1:27" s="3" customFormat="1" x14ac:dyDescent="0.25">
      <c r="A2" s="11">
        <v>113753782</v>
      </c>
      <c r="B2" s="14" t="s">
        <v>24</v>
      </c>
      <c r="C2" s="11">
        <v>36495972091</v>
      </c>
      <c r="D2" s="11" t="s">
        <v>28</v>
      </c>
      <c r="E2" s="11">
        <v>1211</v>
      </c>
      <c r="F2" s="12" t="s">
        <v>29</v>
      </c>
      <c r="G2" s="11">
        <v>188010</v>
      </c>
      <c r="H2" s="11" t="s">
        <v>30</v>
      </c>
      <c r="I2" s="11">
        <v>715</v>
      </c>
      <c r="J2" s="11">
        <v>1735</v>
      </c>
      <c r="K2" s="11">
        <v>0</v>
      </c>
      <c r="L2" s="11">
        <v>0</v>
      </c>
      <c r="M2" s="11">
        <v>189155230</v>
      </c>
      <c r="N2" s="11" t="str">
        <f>CONCATENATE(I2," - ",J2," - ",K2," - ",L2)</f>
        <v>715 - 1735 - 0 - 0</v>
      </c>
      <c r="O2" s="11" t="s">
        <v>3</v>
      </c>
      <c r="P2" s="11" t="s">
        <v>4</v>
      </c>
      <c r="Q2" s="11" t="str">
        <f>D2</f>
        <v xml:space="preserve">MARIA GLADIS BIRK                            </v>
      </c>
      <c r="R2" s="11">
        <f>C2</f>
        <v>36495972091</v>
      </c>
      <c r="S2" s="11">
        <f>M2</f>
        <v>189155230</v>
      </c>
      <c r="T2" s="11" t="str">
        <f>B2</f>
        <v>Apólice</v>
      </c>
      <c r="U2" s="11" t="s">
        <v>38</v>
      </c>
      <c r="V2" s="11"/>
      <c r="W2" s="11" t="s">
        <v>35</v>
      </c>
      <c r="X2" s="7"/>
      <c r="Y2" s="5" t="s">
        <v>37</v>
      </c>
      <c r="Z2" s="5"/>
      <c r="AA2" s="3">
        <v>0</v>
      </c>
    </row>
    <row r="3" spans="1:27" s="3" customFormat="1" ht="105" x14ac:dyDescent="0.25">
      <c r="A3" s="13">
        <v>113753651</v>
      </c>
      <c r="B3" s="14" t="s">
        <v>24</v>
      </c>
      <c r="C3" s="11">
        <v>3075135640</v>
      </c>
      <c r="D3" s="11" t="s">
        <v>31</v>
      </c>
      <c r="E3" s="11">
        <v>1211</v>
      </c>
      <c r="F3" s="12" t="s">
        <v>29</v>
      </c>
      <c r="G3" s="11">
        <v>188010</v>
      </c>
      <c r="H3" s="11" t="s">
        <v>30</v>
      </c>
      <c r="I3" s="11">
        <v>1735</v>
      </c>
      <c r="J3" s="11">
        <v>0</v>
      </c>
      <c r="K3" s="11">
        <v>0</v>
      </c>
      <c r="L3" s="11">
        <v>0</v>
      </c>
      <c r="M3" s="11">
        <v>189155220</v>
      </c>
      <c r="N3" s="11" t="str">
        <f t="shared" ref="N3:N5" si="0">CONCATENATE(I3," - ",J3," - ",K3," - ",L3)</f>
        <v>1735 - 0 - 0 - 0</v>
      </c>
      <c r="O3" s="11" t="s">
        <v>3</v>
      </c>
      <c r="P3" s="11" t="s">
        <v>4</v>
      </c>
      <c r="Q3" s="11" t="str">
        <f t="shared" ref="Q3:Q5" si="1">D3</f>
        <v xml:space="preserve">CLAUDIA HELENA MONTEIRO                      </v>
      </c>
      <c r="R3" s="11">
        <f t="shared" ref="R3:R5" si="2">C3</f>
        <v>3075135640</v>
      </c>
      <c r="S3" s="11">
        <f t="shared" ref="S3:S5" si="3">M3</f>
        <v>189155220</v>
      </c>
      <c r="T3" s="11" t="str">
        <f t="shared" ref="T3:T5" si="4">B3</f>
        <v>Apólice</v>
      </c>
      <c r="U3" s="11" t="s">
        <v>39</v>
      </c>
      <c r="V3" s="11"/>
      <c r="W3" s="11" t="s">
        <v>36</v>
      </c>
      <c r="X3" s="15" t="s">
        <v>40</v>
      </c>
      <c r="Y3" s="5" t="s">
        <v>27</v>
      </c>
      <c r="Z3" s="5"/>
      <c r="AA3" s="3">
        <v>1</v>
      </c>
    </row>
    <row r="4" spans="1:27" ht="105" x14ac:dyDescent="0.25">
      <c r="A4" s="11">
        <v>113753866</v>
      </c>
      <c r="B4" s="14" t="s">
        <v>24</v>
      </c>
      <c r="C4" s="11">
        <v>6426207411</v>
      </c>
      <c r="D4" s="11" t="s">
        <v>32</v>
      </c>
      <c r="E4" s="11">
        <v>1211</v>
      </c>
      <c r="F4" s="12" t="s">
        <v>29</v>
      </c>
      <c r="G4" s="11">
        <v>188010</v>
      </c>
      <c r="H4" s="11" t="s">
        <v>30</v>
      </c>
      <c r="I4" s="11">
        <v>1735</v>
      </c>
      <c r="J4" s="11">
        <v>0</v>
      </c>
      <c r="K4" s="11">
        <v>0</v>
      </c>
      <c r="L4" s="11">
        <v>0</v>
      </c>
      <c r="M4" s="11">
        <v>189155241</v>
      </c>
      <c r="N4" s="11" t="str">
        <f t="shared" si="0"/>
        <v>1735 - 0 - 0 - 0</v>
      </c>
      <c r="O4" s="11" t="s">
        <v>3</v>
      </c>
      <c r="P4" s="11" t="s">
        <v>4</v>
      </c>
      <c r="Q4" s="11" t="str">
        <f t="shared" si="1"/>
        <v xml:space="preserve">MARCIA ANAIRAM BARBOSA DE LIMA               </v>
      </c>
      <c r="R4" s="11">
        <f t="shared" si="2"/>
        <v>6426207411</v>
      </c>
      <c r="S4" s="11">
        <f t="shared" si="3"/>
        <v>189155241</v>
      </c>
      <c r="T4" s="11" t="str">
        <f t="shared" si="4"/>
        <v>Apólice</v>
      </c>
      <c r="U4" s="11" t="s">
        <v>41</v>
      </c>
      <c r="V4" s="11"/>
      <c r="W4" s="11" t="s">
        <v>36</v>
      </c>
      <c r="X4" s="15" t="s">
        <v>40</v>
      </c>
      <c r="Y4" s="5" t="s">
        <v>37</v>
      </c>
      <c r="AA4">
        <v>2</v>
      </c>
    </row>
    <row r="5" spans="1:27" ht="105" x14ac:dyDescent="0.25">
      <c r="A5" s="11">
        <v>113747090</v>
      </c>
      <c r="B5" s="14" t="s">
        <v>24</v>
      </c>
      <c r="C5" s="11">
        <v>13789027855</v>
      </c>
      <c r="D5" s="11" t="s">
        <v>33</v>
      </c>
      <c r="E5" s="11">
        <v>1211</v>
      </c>
      <c r="F5" s="12" t="s">
        <v>34</v>
      </c>
      <c r="G5" s="11">
        <v>188010</v>
      </c>
      <c r="H5" s="11" t="s">
        <v>30</v>
      </c>
      <c r="I5" s="11">
        <v>1735</v>
      </c>
      <c r="J5" s="11">
        <v>0</v>
      </c>
      <c r="K5" s="11">
        <v>0</v>
      </c>
      <c r="L5" s="11">
        <v>0</v>
      </c>
      <c r="M5" s="11">
        <v>189154581</v>
      </c>
      <c r="N5" s="11" t="str">
        <f t="shared" si="0"/>
        <v>1735 - 0 - 0 - 0</v>
      </c>
      <c r="O5" s="11" t="s">
        <v>3</v>
      </c>
      <c r="P5" s="11" t="s">
        <v>4</v>
      </c>
      <c r="Q5" s="11" t="str">
        <f t="shared" si="1"/>
        <v xml:space="preserve">DANIEL JOSE RIBAS BRANCO                     </v>
      </c>
      <c r="R5" s="11">
        <f t="shared" si="2"/>
        <v>13789027855</v>
      </c>
      <c r="S5" s="11">
        <f t="shared" si="3"/>
        <v>189154581</v>
      </c>
      <c r="T5" s="11" t="str">
        <f t="shared" si="4"/>
        <v>Apólice</v>
      </c>
      <c r="U5" s="11" t="s">
        <v>42</v>
      </c>
      <c r="V5" s="11"/>
      <c r="W5" s="11" t="s">
        <v>36</v>
      </c>
      <c r="X5" s="15" t="s">
        <v>40</v>
      </c>
      <c r="Y5" s="5" t="s">
        <v>37</v>
      </c>
      <c r="AA5">
        <v>3</v>
      </c>
    </row>
  </sheetData>
  <autoFilter ref="A1:AA1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AAC23588-48EA-494A-AF82-C368C6FF90A8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PendenciaEmailSantander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dcterms:created xsi:type="dcterms:W3CDTF">2019-09-17T18:08:27Z</dcterms:created>
  <dcterms:modified xsi:type="dcterms:W3CDTF">2020-10-01T16:40:37Z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a6bbe650-0677-445c-ab26-e1c7b8fb4396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30/09/2020  INTERNO  </vt:lpwstr>
  </property>
</Properties>
</file>