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"/>
    </mc:Choice>
  </mc:AlternateContent>
  <xr:revisionPtr revIDLastSave="0" documentId="13_ncr:1_{38416B9D-7B0B-422F-9CB2-20E683C8B157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CriticasSIB" sheetId="1" r:id="rId1"/>
  </sheets>
  <definedNames>
    <definedName name="_xlnm._FilterDatabase" localSheetId="0" hidden="1">CriticasSIB!$A$1:$S$592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92" i="1" l="1"/>
  <c r="N592" i="1" s="1"/>
  <c r="R592" i="1" s="1"/>
  <c r="Q591" i="1"/>
  <c r="N591" i="1" s="1"/>
  <c r="R591" i="1" s="1"/>
  <c r="Q590" i="1"/>
  <c r="N590" i="1" s="1"/>
  <c r="R590" i="1" s="1"/>
  <c r="Q589" i="1"/>
  <c r="N589" i="1" s="1"/>
  <c r="R589" i="1" s="1"/>
  <c r="Q588" i="1"/>
  <c r="N588" i="1" s="1"/>
  <c r="R588" i="1" s="1"/>
  <c r="Q587" i="1"/>
  <c r="N587" i="1" s="1"/>
  <c r="R587" i="1" s="1"/>
  <c r="Q586" i="1"/>
  <c r="N586" i="1" s="1"/>
  <c r="R586" i="1" s="1"/>
  <c r="Q585" i="1"/>
  <c r="N585" i="1" s="1"/>
  <c r="R585" i="1" s="1"/>
  <c r="Q584" i="1"/>
  <c r="N584" i="1" s="1"/>
  <c r="R584" i="1" s="1"/>
  <c r="Q583" i="1"/>
  <c r="N583" i="1" s="1"/>
  <c r="R583" i="1" s="1"/>
  <c r="Q582" i="1"/>
  <c r="N582" i="1" s="1"/>
  <c r="R582" i="1" s="1"/>
  <c r="Q581" i="1"/>
  <c r="N581" i="1" s="1"/>
  <c r="R581" i="1" s="1"/>
  <c r="Q580" i="1"/>
  <c r="N580" i="1" s="1"/>
  <c r="R580" i="1" s="1"/>
  <c r="Q579" i="1"/>
  <c r="N579" i="1"/>
  <c r="R579" i="1" s="1"/>
  <c r="Q578" i="1"/>
  <c r="N578" i="1" s="1"/>
  <c r="R578" i="1" s="1"/>
  <c r="Q577" i="1"/>
  <c r="N577" i="1" s="1"/>
  <c r="R577" i="1" s="1"/>
  <c r="Q576" i="1"/>
  <c r="N576" i="1" s="1"/>
  <c r="R576" i="1" s="1"/>
  <c r="Q575" i="1"/>
  <c r="N575" i="1" s="1"/>
  <c r="R575" i="1" s="1"/>
  <c r="Q574" i="1"/>
  <c r="N574" i="1" s="1"/>
  <c r="R574" i="1" s="1"/>
  <c r="Q573" i="1"/>
  <c r="N573" i="1" s="1"/>
  <c r="R573" i="1" s="1"/>
  <c r="Q572" i="1"/>
  <c r="N572" i="1" s="1"/>
  <c r="R572" i="1" s="1"/>
  <c r="Q571" i="1"/>
  <c r="N571" i="1" s="1"/>
  <c r="R571" i="1" s="1"/>
  <c r="Q570" i="1"/>
  <c r="N570" i="1" s="1"/>
  <c r="R570" i="1" s="1"/>
  <c r="Q569" i="1"/>
  <c r="N569" i="1" s="1"/>
  <c r="R569" i="1" s="1"/>
  <c r="Q568" i="1"/>
  <c r="N568" i="1" s="1"/>
  <c r="R568" i="1" s="1"/>
  <c r="Q567" i="1"/>
  <c r="N567" i="1" s="1"/>
  <c r="R567" i="1" s="1"/>
  <c r="Q566" i="1"/>
  <c r="N566" i="1" s="1"/>
  <c r="R566" i="1" s="1"/>
  <c r="Q565" i="1"/>
  <c r="N565" i="1" s="1"/>
  <c r="R565" i="1" s="1"/>
  <c r="Q564" i="1"/>
  <c r="N564" i="1" s="1"/>
  <c r="R564" i="1" s="1"/>
  <c r="Q563" i="1"/>
  <c r="N563" i="1" s="1"/>
  <c r="R563" i="1" s="1"/>
  <c r="Q562" i="1"/>
  <c r="N562" i="1" s="1"/>
  <c r="R562" i="1" s="1"/>
  <c r="Q561" i="1"/>
  <c r="N561" i="1" s="1"/>
  <c r="R561" i="1" s="1"/>
  <c r="Q560" i="1"/>
  <c r="N560" i="1" s="1"/>
  <c r="R560" i="1" s="1"/>
  <c r="Q559" i="1"/>
  <c r="N559" i="1" s="1"/>
  <c r="R559" i="1" s="1"/>
  <c r="Q558" i="1"/>
  <c r="N558" i="1" s="1"/>
  <c r="R558" i="1" s="1"/>
  <c r="Q557" i="1"/>
  <c r="N557" i="1" s="1"/>
  <c r="R557" i="1" s="1"/>
  <c r="Q556" i="1"/>
  <c r="N556" i="1" s="1"/>
  <c r="R556" i="1" s="1"/>
  <c r="Q555" i="1"/>
  <c r="N555" i="1" s="1"/>
  <c r="R555" i="1" s="1"/>
  <c r="Q554" i="1"/>
  <c r="N554" i="1" s="1"/>
  <c r="R554" i="1" s="1"/>
  <c r="Q553" i="1"/>
  <c r="N553" i="1" s="1"/>
  <c r="R553" i="1" s="1"/>
  <c r="Q552" i="1"/>
  <c r="N552" i="1" s="1"/>
  <c r="R552" i="1" s="1"/>
  <c r="Q551" i="1"/>
  <c r="N551" i="1" s="1"/>
  <c r="R551" i="1" s="1"/>
  <c r="Q550" i="1"/>
  <c r="N550" i="1" s="1"/>
  <c r="R550" i="1" s="1"/>
  <c r="Q549" i="1"/>
  <c r="N549" i="1" s="1"/>
  <c r="R549" i="1" s="1"/>
  <c r="Q548" i="1"/>
  <c r="N548" i="1" s="1"/>
  <c r="R548" i="1" s="1"/>
  <c r="Q547" i="1"/>
  <c r="N547" i="1"/>
  <c r="R547" i="1" s="1"/>
  <c r="Q546" i="1"/>
  <c r="N546" i="1" s="1"/>
  <c r="R546" i="1" s="1"/>
  <c r="Q545" i="1"/>
  <c r="N545" i="1" s="1"/>
  <c r="R545" i="1" s="1"/>
  <c r="Q544" i="1"/>
  <c r="N544" i="1" s="1"/>
  <c r="R544" i="1" s="1"/>
  <c r="Q543" i="1"/>
  <c r="N543" i="1" s="1"/>
  <c r="R543" i="1" s="1"/>
  <c r="Q542" i="1"/>
  <c r="N542" i="1" s="1"/>
  <c r="R542" i="1" s="1"/>
  <c r="Q541" i="1"/>
  <c r="N541" i="1" s="1"/>
  <c r="R541" i="1" s="1"/>
  <c r="R540" i="1"/>
  <c r="Q540" i="1"/>
  <c r="R539" i="1"/>
  <c r="Q539" i="1"/>
  <c r="R538" i="1"/>
  <c r="Q538" i="1"/>
  <c r="R537" i="1"/>
  <c r="Q537" i="1"/>
  <c r="R536" i="1"/>
  <c r="Q536" i="1"/>
  <c r="R535" i="1"/>
  <c r="Q535" i="1"/>
  <c r="R534" i="1"/>
  <c r="Q534" i="1"/>
  <c r="R533" i="1"/>
  <c r="Q533" i="1"/>
  <c r="R532" i="1"/>
  <c r="Q532" i="1"/>
  <c r="R531" i="1"/>
  <c r="Q531" i="1"/>
  <c r="R530" i="1"/>
  <c r="Q530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  <c r="R516" i="1"/>
  <c r="Q516" i="1"/>
  <c r="R515" i="1"/>
  <c r="Q515" i="1"/>
  <c r="R514" i="1"/>
  <c r="Q514" i="1"/>
  <c r="R513" i="1"/>
  <c r="Q513" i="1"/>
  <c r="R512" i="1"/>
  <c r="Q512" i="1"/>
  <c r="R511" i="1"/>
  <c r="Q511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R498" i="1"/>
  <c r="Q498" i="1"/>
  <c r="R497" i="1"/>
  <c r="Q497" i="1"/>
  <c r="R496" i="1"/>
  <c r="Q496" i="1"/>
  <c r="R495" i="1"/>
  <c r="Q495" i="1"/>
  <c r="R494" i="1"/>
  <c r="Q494" i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486" i="1"/>
  <c r="Q486" i="1"/>
  <c r="R485" i="1"/>
  <c r="Q485" i="1"/>
  <c r="R484" i="1"/>
  <c r="Q484" i="1"/>
  <c r="R483" i="1"/>
  <c r="Q483" i="1"/>
  <c r="R482" i="1"/>
  <c r="Q482" i="1"/>
  <c r="R481" i="1"/>
  <c r="Q481" i="1"/>
  <c r="R480" i="1"/>
  <c r="Q480" i="1"/>
  <c r="R479" i="1"/>
  <c r="Q479" i="1"/>
  <c r="R478" i="1"/>
  <c r="Q478" i="1"/>
  <c r="R477" i="1"/>
  <c r="Q477" i="1"/>
  <c r="R476" i="1"/>
  <c r="Q476" i="1"/>
  <c r="R475" i="1"/>
  <c r="Q475" i="1"/>
  <c r="R474" i="1"/>
  <c r="Q474" i="1"/>
  <c r="R473" i="1"/>
  <c r="Q473" i="1"/>
  <c r="R472" i="1"/>
  <c r="Q472" i="1"/>
  <c r="R471" i="1"/>
  <c r="Q471" i="1"/>
  <c r="R470" i="1"/>
  <c r="Q470" i="1"/>
  <c r="R469" i="1"/>
  <c r="Q469" i="1"/>
  <c r="R468" i="1"/>
  <c r="Q468" i="1"/>
  <c r="R467" i="1"/>
  <c r="Q467" i="1"/>
  <c r="R466" i="1"/>
  <c r="Q466" i="1"/>
  <c r="R465" i="1"/>
  <c r="Q465" i="1"/>
  <c r="R464" i="1"/>
  <c r="Q464" i="1"/>
  <c r="R463" i="1"/>
  <c r="Q463" i="1"/>
  <c r="R462" i="1"/>
  <c r="Q462" i="1"/>
  <c r="R461" i="1"/>
  <c r="Q461" i="1"/>
  <c r="R460" i="1"/>
  <c r="Q460" i="1"/>
  <c r="R459" i="1"/>
  <c r="Q459" i="1"/>
  <c r="R458" i="1"/>
  <c r="Q458" i="1"/>
  <c r="R457" i="1"/>
  <c r="Q457" i="1"/>
  <c r="R456" i="1"/>
  <c r="Q456" i="1"/>
  <c r="R455" i="1"/>
  <c r="Q455" i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R419" i="1"/>
  <c r="Q419" i="1"/>
  <c r="R418" i="1"/>
  <c r="Q418" i="1"/>
  <c r="R417" i="1"/>
  <c r="Q417" i="1"/>
  <c r="R416" i="1"/>
  <c r="Q416" i="1"/>
  <c r="R415" i="1"/>
  <c r="Q415" i="1"/>
  <c r="R414" i="1"/>
  <c r="Q414" i="1"/>
  <c r="R413" i="1"/>
  <c r="Q413" i="1"/>
  <c r="R412" i="1"/>
  <c r="Q412" i="1"/>
  <c r="R411" i="1"/>
  <c r="Q411" i="1"/>
  <c r="R410" i="1"/>
  <c r="Q410" i="1"/>
  <c r="R409" i="1"/>
  <c r="Q409" i="1"/>
  <c r="R408" i="1"/>
  <c r="Q408" i="1"/>
  <c r="R407" i="1"/>
  <c r="Q407" i="1"/>
  <c r="R406" i="1"/>
  <c r="Q406" i="1"/>
  <c r="R405" i="1"/>
  <c r="Q405" i="1"/>
  <c r="R404" i="1"/>
  <c r="Q404" i="1"/>
  <c r="R403" i="1"/>
  <c r="Q403" i="1"/>
  <c r="R402" i="1"/>
  <c r="Q402" i="1"/>
  <c r="R401" i="1"/>
  <c r="Q401" i="1"/>
  <c r="R400" i="1"/>
  <c r="Q400" i="1"/>
  <c r="R399" i="1"/>
  <c r="Q399" i="1"/>
  <c r="R398" i="1"/>
  <c r="Q398" i="1"/>
  <c r="R397" i="1"/>
  <c r="Q397" i="1"/>
  <c r="R396" i="1"/>
  <c r="Q396" i="1"/>
  <c r="R395" i="1"/>
  <c r="Q395" i="1"/>
  <c r="R394" i="1"/>
  <c r="Q394" i="1"/>
  <c r="R393" i="1"/>
  <c r="Q393" i="1"/>
  <c r="R392" i="1"/>
  <c r="Q392" i="1"/>
  <c r="R391" i="1"/>
  <c r="Q391" i="1"/>
  <c r="R390" i="1"/>
  <c r="Q390" i="1"/>
  <c r="R389" i="1"/>
  <c r="Q389" i="1"/>
  <c r="R388" i="1"/>
  <c r="Q388" i="1"/>
  <c r="R387" i="1"/>
  <c r="Q387" i="1"/>
  <c r="R386" i="1"/>
  <c r="Q386" i="1"/>
  <c r="R385" i="1"/>
  <c r="Q385" i="1"/>
  <c r="R384" i="1"/>
  <c r="Q384" i="1"/>
  <c r="R383" i="1"/>
  <c r="Q383" i="1"/>
  <c r="R382" i="1"/>
  <c r="Q382" i="1"/>
  <c r="R381" i="1"/>
  <c r="Q381" i="1"/>
  <c r="R380" i="1"/>
  <c r="Q380" i="1"/>
  <c r="R379" i="1"/>
  <c r="Q379" i="1"/>
  <c r="R378" i="1"/>
  <c r="Q378" i="1"/>
  <c r="R377" i="1"/>
  <c r="Q377" i="1"/>
  <c r="R376" i="1"/>
  <c r="Q376" i="1"/>
  <c r="R375" i="1"/>
  <c r="Q375" i="1"/>
  <c r="R374" i="1"/>
  <c r="Q374" i="1"/>
  <c r="R373" i="1"/>
  <c r="Q373" i="1"/>
  <c r="R372" i="1"/>
  <c r="Q372" i="1"/>
  <c r="R371" i="1"/>
  <c r="Q371" i="1"/>
  <c r="R370" i="1"/>
  <c r="Q370" i="1"/>
  <c r="R369" i="1"/>
  <c r="Q369" i="1"/>
  <c r="R368" i="1"/>
  <c r="Q368" i="1"/>
  <c r="R367" i="1"/>
  <c r="Q367" i="1"/>
  <c r="R366" i="1"/>
  <c r="Q366" i="1"/>
  <c r="R365" i="1"/>
  <c r="Q365" i="1"/>
  <c r="R364" i="1"/>
  <c r="Q364" i="1"/>
  <c r="R363" i="1"/>
  <c r="Q363" i="1"/>
  <c r="R362" i="1"/>
  <c r="Q362" i="1"/>
  <c r="R361" i="1"/>
  <c r="Q361" i="1"/>
  <c r="R360" i="1"/>
  <c r="Q360" i="1"/>
  <c r="R359" i="1"/>
  <c r="Q359" i="1"/>
  <c r="R358" i="1"/>
  <c r="Q358" i="1"/>
  <c r="R357" i="1"/>
  <c r="Q357" i="1"/>
  <c r="R356" i="1"/>
  <c r="Q356" i="1"/>
  <c r="R355" i="1"/>
  <c r="Q355" i="1"/>
  <c r="R354" i="1"/>
  <c r="Q354" i="1"/>
  <c r="R353" i="1"/>
  <c r="Q353" i="1"/>
  <c r="R352" i="1"/>
  <c r="Q352" i="1"/>
  <c r="R351" i="1"/>
  <c r="Q351" i="1"/>
  <c r="R350" i="1"/>
  <c r="Q350" i="1"/>
  <c r="R349" i="1"/>
  <c r="Q349" i="1"/>
  <c r="R348" i="1"/>
  <c r="Q348" i="1"/>
  <c r="R347" i="1"/>
  <c r="Q347" i="1"/>
  <c r="R346" i="1"/>
  <c r="Q346" i="1"/>
  <c r="R345" i="1"/>
  <c r="Q345" i="1"/>
  <c r="R344" i="1"/>
  <c r="Q344" i="1"/>
  <c r="R343" i="1"/>
  <c r="Q343" i="1"/>
  <c r="R342" i="1"/>
  <c r="Q342" i="1"/>
  <c r="R341" i="1"/>
  <c r="Q341" i="1"/>
  <c r="R340" i="1"/>
  <c r="Q340" i="1"/>
  <c r="R339" i="1"/>
  <c r="Q339" i="1"/>
  <c r="R338" i="1"/>
  <c r="Q338" i="1"/>
  <c r="R337" i="1"/>
  <c r="Q337" i="1"/>
  <c r="R336" i="1"/>
  <c r="Q336" i="1"/>
  <c r="R335" i="1"/>
  <c r="Q335" i="1"/>
  <c r="R334" i="1"/>
  <c r="Q334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R326" i="1"/>
  <c r="Q326" i="1"/>
  <c r="R325" i="1"/>
  <c r="Q325" i="1"/>
  <c r="R324" i="1"/>
  <c r="Q324" i="1"/>
  <c r="R323" i="1"/>
  <c r="Q323" i="1"/>
  <c r="R322" i="1"/>
  <c r="Q322" i="1"/>
  <c r="R321" i="1"/>
  <c r="Q321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R313" i="1"/>
  <c r="Q313" i="1"/>
  <c r="R312" i="1"/>
  <c r="Q312" i="1"/>
  <c r="R311" i="1"/>
  <c r="Q311" i="1"/>
  <c r="R310" i="1"/>
  <c r="Q310" i="1"/>
  <c r="R309" i="1"/>
  <c r="Q309" i="1"/>
  <c r="R308" i="1"/>
  <c r="Q308" i="1"/>
  <c r="R307" i="1"/>
  <c r="Q307" i="1"/>
  <c r="R306" i="1"/>
  <c r="Q306" i="1"/>
  <c r="R305" i="1"/>
  <c r="Q305" i="1"/>
  <c r="R304" i="1"/>
  <c r="Q304" i="1"/>
  <c r="R303" i="1"/>
  <c r="Q303" i="1"/>
  <c r="R302" i="1"/>
  <c r="Q302" i="1"/>
  <c r="R301" i="1"/>
  <c r="Q301" i="1"/>
  <c r="R300" i="1"/>
  <c r="Q300" i="1"/>
  <c r="R299" i="1"/>
  <c r="Q299" i="1"/>
  <c r="R298" i="1"/>
  <c r="Q298" i="1"/>
  <c r="R297" i="1"/>
  <c r="Q297" i="1"/>
  <c r="R296" i="1"/>
  <c r="Q296" i="1"/>
  <c r="R295" i="1"/>
  <c r="Q295" i="1"/>
  <c r="R294" i="1"/>
  <c r="Q294" i="1"/>
  <c r="R293" i="1"/>
  <c r="Q293" i="1"/>
  <c r="R292" i="1"/>
  <c r="Q292" i="1"/>
  <c r="R291" i="1"/>
  <c r="Q291" i="1"/>
  <c r="R290" i="1"/>
  <c r="Q290" i="1"/>
  <c r="R289" i="1"/>
  <c r="Q289" i="1"/>
  <c r="R288" i="1"/>
  <c r="Q288" i="1"/>
  <c r="R287" i="1"/>
  <c r="Q287" i="1"/>
  <c r="R286" i="1"/>
  <c r="Q286" i="1"/>
  <c r="R285" i="1"/>
  <c r="Q285" i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R276" i="1"/>
  <c r="Q276" i="1"/>
  <c r="R275" i="1"/>
  <c r="Q275" i="1"/>
  <c r="R274" i="1"/>
  <c r="Q274" i="1"/>
  <c r="R273" i="1"/>
  <c r="Q273" i="1"/>
  <c r="R272" i="1"/>
  <c r="Q272" i="1"/>
  <c r="R271" i="1"/>
  <c r="Q271" i="1"/>
  <c r="R270" i="1"/>
  <c r="Q270" i="1"/>
  <c r="R269" i="1"/>
  <c r="Q269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41" i="1"/>
  <c r="Q241" i="1"/>
  <c r="R240" i="1"/>
  <c r="Q240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6" i="1"/>
  <c r="Q156" i="1"/>
  <c r="R155" i="1"/>
  <c r="Q155" i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8" i="1"/>
  <c r="Q148" i="1"/>
  <c r="R147" i="1"/>
  <c r="Q147" i="1"/>
  <c r="R146" i="1"/>
  <c r="Q146" i="1"/>
  <c r="R145" i="1"/>
  <c r="Q145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Q115" i="1"/>
  <c r="R114" i="1"/>
  <c r="Q114" i="1"/>
  <c r="R113" i="1"/>
  <c r="Q113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</calcChain>
</file>

<file path=xl/sharedStrings.xml><?xml version="1.0" encoding="utf-8"?>
<sst xmlns="http://schemas.openxmlformats.org/spreadsheetml/2006/main" count="8340" uniqueCount="2988">
  <si>
    <t>Status</t>
  </si>
  <si>
    <t>linha</t>
  </si>
  <si>
    <t>1299329913</t>
  </si>
  <si>
    <t>09327455630</t>
  </si>
  <si>
    <t>ID_CRITICA</t>
  </si>
  <si>
    <t>ID_BATCH_EXECUCAO</t>
  </si>
  <si>
    <t>SUSEP</t>
  </si>
  <si>
    <t>CPF</t>
  </si>
  <si>
    <t>ID_APOLICE</t>
  </si>
  <si>
    <t>ID_APLICA</t>
  </si>
  <si>
    <t>ID_CODSITUR</t>
  </si>
  <si>
    <t>Chave</t>
  </si>
  <si>
    <t>DS_CRITICA</t>
  </si>
  <si>
    <t>DS_VALOR_CAMPO</t>
  </si>
  <si>
    <t>DT_PROCESSAMENTO</t>
  </si>
  <si>
    <t>Novo Valor</t>
  </si>
  <si>
    <t>TP_Alteração</t>
  </si>
  <si>
    <t>Aplicação</t>
  </si>
  <si>
    <t>Validador 1</t>
  </si>
  <si>
    <t>Validador 2</t>
  </si>
  <si>
    <t>2185346</t>
  </si>
  <si>
    <t>20190805180335</t>
  </si>
  <si>
    <t>111963914</t>
  </si>
  <si>
    <t>44</t>
  </si>
  <si>
    <t>2</t>
  </si>
  <si>
    <t>[ENDEREÇO] - Complemento do endereço não pode ser superior a 15 caracteres</t>
  </si>
  <si>
    <t>BLOCO 11 APARTAM</t>
  </si>
  <si>
    <t>2019-08-05 00:00:00.000</t>
  </si>
  <si>
    <t>BL 11 APARTAM</t>
  </si>
  <si>
    <t>Complemento</t>
  </si>
  <si>
    <t>Gestão de Clientes_Trem de Produção</t>
  </si>
  <si>
    <t>2185343</t>
  </si>
  <si>
    <t>1</t>
  </si>
  <si>
    <t>111963914441</t>
  </si>
  <si>
    <t>2185243</t>
  </si>
  <si>
    <t>111948518</t>
  </si>
  <si>
    <t>4</t>
  </si>
  <si>
    <t>3</t>
  </si>
  <si>
    <t>11194851843</t>
  </si>
  <si>
    <t>AP 22 BL ATLANTI</t>
  </si>
  <si>
    <t>AP 22 BL ATLANT</t>
  </si>
  <si>
    <t>2185242</t>
  </si>
  <si>
    <t>11194851842</t>
  </si>
  <si>
    <t>2185239</t>
  </si>
  <si>
    <t>11194851841</t>
  </si>
  <si>
    <t>2185235</t>
  </si>
  <si>
    <t>04366568500</t>
  </si>
  <si>
    <t>111841914</t>
  </si>
  <si>
    <t>87</t>
  </si>
  <si>
    <t>111841914871</t>
  </si>
  <si>
    <t>AP 23  ED GUERIN</t>
  </si>
  <si>
    <t>AP 23 ED GUERIN</t>
  </si>
  <si>
    <t>2185222</t>
  </si>
  <si>
    <t>111677578</t>
  </si>
  <si>
    <t>11167757812</t>
  </si>
  <si>
    <t>BLOCO 84 APT 403</t>
  </si>
  <si>
    <t>BL 84 APT 403</t>
  </si>
  <si>
    <t>2185150</t>
  </si>
  <si>
    <t>111668314</t>
  </si>
  <si>
    <t>58</t>
  </si>
  <si>
    <t>111668314581</t>
  </si>
  <si>
    <t>APT 404 TORRE 06</t>
  </si>
  <si>
    <t>AP 404 TORRE 06</t>
  </si>
  <si>
    <t>2185010</t>
  </si>
  <si>
    <t>86892258034</t>
  </si>
  <si>
    <t>111537123</t>
  </si>
  <si>
    <t>273</t>
  </si>
  <si>
    <t>1115371232731</t>
  </si>
  <si>
    <t>AP 41 COND PARAG</t>
  </si>
  <si>
    <t>AP 41 CD PARAG</t>
  </si>
  <si>
    <t>2184999</t>
  </si>
  <si>
    <t>11479425877</t>
  </si>
  <si>
    <t>229</t>
  </si>
  <si>
    <t>1115371232292</t>
  </si>
  <si>
    <t>CONJUNTO HABITAC</t>
  </si>
  <si>
    <t>CJ HABITAC</t>
  </si>
  <si>
    <t>2184997</t>
  </si>
  <si>
    <t>12946229866</t>
  </si>
  <si>
    <t>1115371232291</t>
  </si>
  <si>
    <t>2184899</t>
  </si>
  <si>
    <t>111536626</t>
  </si>
  <si>
    <t>32</t>
  </si>
  <si>
    <t>111536626322</t>
  </si>
  <si>
    <t>BLOCO B APTO 142</t>
  </si>
  <si>
    <t>BL B APTO 142</t>
  </si>
  <si>
    <t>2184897</t>
  </si>
  <si>
    <t>38347774803</t>
  </si>
  <si>
    <t>111536626321</t>
  </si>
  <si>
    <t>2184895</t>
  </si>
  <si>
    <t>39241412828</t>
  </si>
  <si>
    <t>26</t>
  </si>
  <si>
    <t>111536626261</t>
  </si>
  <si>
    <t>BLOCO B APTO 601</t>
  </si>
  <si>
    <t>BL B APTO 601</t>
  </si>
  <si>
    <t>2184850</t>
  </si>
  <si>
    <t>21</t>
  </si>
  <si>
    <t>111507530213</t>
  </si>
  <si>
    <t>APTO 113 TORRE 4</t>
  </si>
  <si>
    <t>APO 113 TORRE 4</t>
  </si>
  <si>
    <t>2184730</t>
  </si>
  <si>
    <t>11124081032</t>
  </si>
  <si>
    <t>AP.92-BEIJA FLOR</t>
  </si>
  <si>
    <t>AP 92 BJ FLOR</t>
  </si>
  <si>
    <t>2184707</t>
  </si>
  <si>
    <t>18511960805</t>
  </si>
  <si>
    <t>111199493</t>
  </si>
  <si>
    <t>45</t>
  </si>
  <si>
    <t>111199493451</t>
  </si>
  <si>
    <t>APT 102 GIRASSOI</t>
  </si>
  <si>
    <t>AP 102 GIRASSOI</t>
  </si>
  <si>
    <t>2184669</t>
  </si>
  <si>
    <t>25459275890</t>
  </si>
  <si>
    <t>111114471</t>
  </si>
  <si>
    <t>22</t>
  </si>
  <si>
    <t>111114471221</t>
  </si>
  <si>
    <t>AP 72 - TORRE 04</t>
  </si>
  <si>
    <t>AP 72 - T. 04</t>
  </si>
  <si>
    <t>2184618</t>
  </si>
  <si>
    <t>02728414475</t>
  </si>
  <si>
    <t>111056781</t>
  </si>
  <si>
    <t>6</t>
  </si>
  <si>
    <t>11105678161</t>
  </si>
  <si>
    <t>LOOTE AURE VERDE</t>
  </si>
  <si>
    <t>LOTE AURE VERDE</t>
  </si>
  <si>
    <t>2184613</t>
  </si>
  <si>
    <t>01880266652</t>
  </si>
  <si>
    <t>111051591</t>
  </si>
  <si>
    <t>11105159142</t>
  </si>
  <si>
    <t>CJ RIACHO GRANDE</t>
  </si>
  <si>
    <t>CJ RCH GRANDE</t>
  </si>
  <si>
    <t>2184601</t>
  </si>
  <si>
    <t>29203707824</t>
  </si>
  <si>
    <t>111050544</t>
  </si>
  <si>
    <t>11105054431</t>
  </si>
  <si>
    <t>JACAR A3  AP 102</t>
  </si>
  <si>
    <t>JACAR A3 AP 102</t>
  </si>
  <si>
    <t>2184562</t>
  </si>
  <si>
    <t>48280826890</t>
  </si>
  <si>
    <t>111006771</t>
  </si>
  <si>
    <t>11100677114</t>
  </si>
  <si>
    <t>APTO 133 TORRE B</t>
  </si>
  <si>
    <t>APO 133 TORRE B</t>
  </si>
  <si>
    <t>2184561</t>
  </si>
  <si>
    <t>11100677113</t>
  </si>
  <si>
    <t>2184559</t>
  </si>
  <si>
    <t>15767641846</t>
  </si>
  <si>
    <t>11100677112</t>
  </si>
  <si>
    <t>2184555</t>
  </si>
  <si>
    <t>19935136809</t>
  </si>
  <si>
    <t>11100677111</t>
  </si>
  <si>
    <t>2184554</t>
  </si>
  <si>
    <t>31490574859</t>
  </si>
  <si>
    <t>111005887</t>
  </si>
  <si>
    <t>36</t>
  </si>
  <si>
    <t>111005887361</t>
  </si>
  <si>
    <t>BLOCO 18 APTO 44</t>
  </si>
  <si>
    <t>BL 18 APTO 44</t>
  </si>
  <si>
    <t>2184401</t>
  </si>
  <si>
    <t>28528229890</t>
  </si>
  <si>
    <t>110814493</t>
  </si>
  <si>
    <t>12</t>
  </si>
  <si>
    <t>110814493121</t>
  </si>
  <si>
    <t>APTO 154 BLOCO 0</t>
  </si>
  <si>
    <t>APTO 154 BL 0</t>
  </si>
  <si>
    <t>2169200</t>
  </si>
  <si>
    <t>67081339891</t>
  </si>
  <si>
    <t>20000359</t>
  </si>
  <si>
    <t>172</t>
  </si>
  <si>
    <t>200003591721</t>
  </si>
  <si>
    <t>BLOCO 3 APTO 163</t>
  </si>
  <si>
    <t>BL 3 APTO 163</t>
  </si>
  <si>
    <t>2184224</t>
  </si>
  <si>
    <t>37805540896</t>
  </si>
  <si>
    <t>110588401</t>
  </si>
  <si>
    <t>125</t>
  </si>
  <si>
    <t>1105884011251</t>
  </si>
  <si>
    <t>APTO 13 BLOCO 23</t>
  </si>
  <si>
    <t>APTO 13 BL 23</t>
  </si>
  <si>
    <t>2184223</t>
  </si>
  <si>
    <t>37452461878</t>
  </si>
  <si>
    <t>123</t>
  </si>
  <si>
    <t>1105884011231</t>
  </si>
  <si>
    <t>APTO 24 BLOCO 09</t>
  </si>
  <si>
    <t>APTO 24 BL 09</t>
  </si>
  <si>
    <t>2184212</t>
  </si>
  <si>
    <t>36668511856</t>
  </si>
  <si>
    <t>110588401211</t>
  </si>
  <si>
    <t>BLOCO 15 APTO 25</t>
  </si>
  <si>
    <t>BL 15 APTO 25</t>
  </si>
  <si>
    <t>2184137</t>
  </si>
  <si>
    <t>22643447840</t>
  </si>
  <si>
    <t>110420176</t>
  </si>
  <si>
    <t>43</t>
  </si>
  <si>
    <t>110420176431</t>
  </si>
  <si>
    <t>APTO 83  BLOCO 2</t>
  </si>
  <si>
    <t>APTO 83  BL 2</t>
  </si>
  <si>
    <t>2184133</t>
  </si>
  <si>
    <t>54259297813</t>
  </si>
  <si>
    <t>29</t>
  </si>
  <si>
    <t>110420176292</t>
  </si>
  <si>
    <t>TORRE 2  APTO 16</t>
  </si>
  <si>
    <t>TORRE 2  APO 16</t>
  </si>
  <si>
    <t>2184131</t>
  </si>
  <si>
    <t>13403307840</t>
  </si>
  <si>
    <t>110420176291</t>
  </si>
  <si>
    <t>2184129</t>
  </si>
  <si>
    <t>09464543884</t>
  </si>
  <si>
    <t>110420176211</t>
  </si>
  <si>
    <t>APTO 152   BLOCO</t>
  </si>
  <si>
    <t>APTO 152   BL</t>
  </si>
  <si>
    <t>2184062</t>
  </si>
  <si>
    <t>30329034839</t>
  </si>
  <si>
    <t>110284945</t>
  </si>
  <si>
    <t>5</t>
  </si>
  <si>
    <t>11028494551</t>
  </si>
  <si>
    <t>451 BL  2 AP 175</t>
  </si>
  <si>
    <t>451 BL 2 AP 175</t>
  </si>
  <si>
    <t>2184004</t>
  </si>
  <si>
    <t>45319118813</t>
  </si>
  <si>
    <t>110156682</t>
  </si>
  <si>
    <t>11015668213</t>
  </si>
  <si>
    <t>TORRE BL 6 AP 63</t>
  </si>
  <si>
    <t>T. BL 6 AP 63</t>
  </si>
  <si>
    <t>2184002</t>
  </si>
  <si>
    <t>45319194838</t>
  </si>
  <si>
    <t>11015668212</t>
  </si>
  <si>
    <t>2183967</t>
  </si>
  <si>
    <t>70342948105</t>
  </si>
  <si>
    <t>110059524</t>
  </si>
  <si>
    <t>16</t>
  </si>
  <si>
    <t>110059524161</t>
  </si>
  <si>
    <t>QD11 LT10 19A203</t>
  </si>
  <si>
    <t>Q11 LT10 19A203</t>
  </si>
  <si>
    <t>2183882</t>
  </si>
  <si>
    <t>42797513827</t>
  </si>
  <si>
    <t>109770105</t>
  </si>
  <si>
    <t>35</t>
  </si>
  <si>
    <t>109770105351</t>
  </si>
  <si>
    <t>BLOCO 16 APTO 33</t>
  </si>
  <si>
    <t>BL 16 APTO 33</t>
  </si>
  <si>
    <t>2183869</t>
  </si>
  <si>
    <t>81718594020</t>
  </si>
  <si>
    <t>109725971</t>
  </si>
  <si>
    <t>10972597151</t>
  </si>
  <si>
    <t>TORRE 3 APTO 203</t>
  </si>
  <si>
    <t>TORRE 3 APO 203</t>
  </si>
  <si>
    <t>2183822</t>
  </si>
  <si>
    <t>109671315</t>
  </si>
  <si>
    <t>10967131513</t>
  </si>
  <si>
    <t>7º ANDAR CONJ 72</t>
  </si>
  <si>
    <t>7º AND CONJ 72</t>
  </si>
  <si>
    <t>2183820</t>
  </si>
  <si>
    <t>10967131512</t>
  </si>
  <si>
    <t>2183816</t>
  </si>
  <si>
    <t>22497673861</t>
  </si>
  <si>
    <t>10967131511</t>
  </si>
  <si>
    <t>2169391</t>
  </si>
  <si>
    <t>20000462</t>
  </si>
  <si>
    <t>70</t>
  </si>
  <si>
    <t>20000462703</t>
  </si>
  <si>
    <t>BLOCO 12 APTO 11</t>
  </si>
  <si>
    <t>BL 12 APTO 11</t>
  </si>
  <si>
    <t>2183777</t>
  </si>
  <si>
    <t>40931649838</t>
  </si>
  <si>
    <t>109514131</t>
  </si>
  <si>
    <t>114</t>
  </si>
  <si>
    <t>1095141311141</t>
  </si>
  <si>
    <t>APTO 37 TORRE 11</t>
  </si>
  <si>
    <t>APO 37 TORRE 11</t>
  </si>
  <si>
    <t>2183762</t>
  </si>
  <si>
    <t>40391615807</t>
  </si>
  <si>
    <t>69</t>
  </si>
  <si>
    <t>109514131691</t>
  </si>
  <si>
    <t>BLOCO 07 APTO 80</t>
  </si>
  <si>
    <t>BL 07 APTO 80</t>
  </si>
  <si>
    <t>2183718</t>
  </si>
  <si>
    <t>24984274816</t>
  </si>
  <si>
    <t>109353727</t>
  </si>
  <si>
    <t>8</t>
  </si>
  <si>
    <t>10935372782</t>
  </si>
  <si>
    <t>QUADRA E CASA 57</t>
  </si>
  <si>
    <t>QD E CASA 57</t>
  </si>
  <si>
    <t>2183714</t>
  </si>
  <si>
    <t>25433469883</t>
  </si>
  <si>
    <t>10935372781</t>
  </si>
  <si>
    <t>2183678</t>
  </si>
  <si>
    <t>38145300800</t>
  </si>
  <si>
    <t>109339991</t>
  </si>
  <si>
    <t>109339991702</t>
  </si>
  <si>
    <t>AP 122  TORRE DA</t>
  </si>
  <si>
    <t>AP 122  T. DA</t>
  </si>
  <si>
    <t>2183676</t>
  </si>
  <si>
    <t>13673812823</t>
  </si>
  <si>
    <t>109339991701</t>
  </si>
  <si>
    <t>2183673</t>
  </si>
  <si>
    <t>52264799803</t>
  </si>
  <si>
    <t>13</t>
  </si>
  <si>
    <t>109339991134</t>
  </si>
  <si>
    <t>APT 93 TORRE MAR</t>
  </si>
  <si>
    <t>AP 93 TORRE MAR</t>
  </si>
  <si>
    <t>2183672</t>
  </si>
  <si>
    <t>52264842830</t>
  </si>
  <si>
    <t>109339991133</t>
  </si>
  <si>
    <t>2169450</t>
  </si>
  <si>
    <t>30053038886</t>
  </si>
  <si>
    <t>398</t>
  </si>
  <si>
    <t>200004623981</t>
  </si>
  <si>
    <t>TORRE B - AP. 16</t>
  </si>
  <si>
    <t>T. B - AP. 16</t>
  </si>
  <si>
    <t>2183587</t>
  </si>
  <si>
    <t>02621739563</t>
  </si>
  <si>
    <t>108358766</t>
  </si>
  <si>
    <t>108358766161</t>
  </si>
  <si>
    <t>VILA SAO FRANCIS</t>
  </si>
  <si>
    <t>VL SAO FRANCIS</t>
  </si>
  <si>
    <t>2183381</t>
  </si>
  <si>
    <t>22368969802</t>
  </si>
  <si>
    <t>106736129</t>
  </si>
  <si>
    <t>10673612961</t>
  </si>
  <si>
    <t>LOTE 2 BL 8 AP 4</t>
  </si>
  <si>
    <t>LT 2 BL 8 AP 4</t>
  </si>
  <si>
    <t>2183343</t>
  </si>
  <si>
    <t>26323407809</t>
  </si>
  <si>
    <t>106690583</t>
  </si>
  <si>
    <t>10669058331</t>
  </si>
  <si>
    <t>C DAS FLORES B10</t>
  </si>
  <si>
    <t>C FLORES B10</t>
  </si>
  <si>
    <t>2183315</t>
  </si>
  <si>
    <t>19986834864</t>
  </si>
  <si>
    <t>106586855</t>
  </si>
  <si>
    <t>106586855291</t>
  </si>
  <si>
    <t>BL FLORI APT 186</t>
  </si>
  <si>
    <t>BL FLORI AP 186</t>
  </si>
  <si>
    <t>2169518</t>
  </si>
  <si>
    <t>40154187860</t>
  </si>
  <si>
    <t>20000520</t>
  </si>
  <si>
    <t>2000052083</t>
  </si>
  <si>
    <t>BLOCO 05 APTO 32</t>
  </si>
  <si>
    <t>BL 05 APTO 32</t>
  </si>
  <si>
    <t>2183235</t>
  </si>
  <si>
    <t>28975119823</t>
  </si>
  <si>
    <t>106345971</t>
  </si>
  <si>
    <t>60</t>
  </si>
  <si>
    <t>106345971601</t>
  </si>
  <si>
    <t>APT 45 BLOCO A V</t>
  </si>
  <si>
    <t>APT 45 BL A V</t>
  </si>
  <si>
    <t>2169544</t>
  </si>
  <si>
    <t>01578553849</t>
  </si>
  <si>
    <t>15</t>
  </si>
  <si>
    <t>20000520151</t>
  </si>
  <si>
    <t>ESTANCIA ELDORAD</t>
  </si>
  <si>
    <t>EST ELDORAD</t>
  </si>
  <si>
    <t>2183193</t>
  </si>
  <si>
    <t>36938583811</t>
  </si>
  <si>
    <t>106304506</t>
  </si>
  <si>
    <t>18</t>
  </si>
  <si>
    <t>106304506181</t>
  </si>
  <si>
    <t>APTO 115 TORRE 1</t>
  </si>
  <si>
    <t>APO 115 TORRE 1</t>
  </si>
  <si>
    <t>2183066</t>
  </si>
  <si>
    <t>36092965852</t>
  </si>
  <si>
    <t>106166058</t>
  </si>
  <si>
    <t>10616605861</t>
  </si>
  <si>
    <t>V ALVARO MARQUES</t>
  </si>
  <si>
    <t>V ALV MARQUES</t>
  </si>
  <si>
    <t>2183018</t>
  </si>
  <si>
    <t>38865196866</t>
  </si>
  <si>
    <t>106033110</t>
  </si>
  <si>
    <t>83</t>
  </si>
  <si>
    <t>106033110831</t>
  </si>
  <si>
    <t>TORRE II UNIDADE</t>
  </si>
  <si>
    <t>T. II UNIDADE</t>
  </si>
  <si>
    <t>2182986</t>
  </si>
  <si>
    <t>32767500824</t>
  </si>
  <si>
    <t>106029010</t>
  </si>
  <si>
    <t>106029010451</t>
  </si>
  <si>
    <t>BLOCO 18 APTO102</t>
  </si>
  <si>
    <t>BL 18 APTO102</t>
  </si>
  <si>
    <t>2182976</t>
  </si>
  <si>
    <t>38161012830</t>
  </si>
  <si>
    <t>106017278</t>
  </si>
  <si>
    <t>106017278831</t>
  </si>
  <si>
    <t>1255 AP 21 BL 08</t>
  </si>
  <si>
    <t>1255 AP 21 B 08</t>
  </si>
  <si>
    <t>2182952</t>
  </si>
  <si>
    <t>20476922704</t>
  </si>
  <si>
    <t>106004897</t>
  </si>
  <si>
    <t>33</t>
  </si>
  <si>
    <t>106004897331</t>
  </si>
  <si>
    <t>APARTAMENTO 1201</t>
  </si>
  <si>
    <t>AP 1201</t>
  </si>
  <si>
    <t>2182920</t>
  </si>
  <si>
    <t>30397089880</t>
  </si>
  <si>
    <t>105985200</t>
  </si>
  <si>
    <t>61</t>
  </si>
  <si>
    <t>105985200611</t>
  </si>
  <si>
    <t>APTO 76 TORRE 04</t>
  </si>
  <si>
    <t>APO 76 TORRE 04</t>
  </si>
  <si>
    <t>2182881</t>
  </si>
  <si>
    <t>41219892874</t>
  </si>
  <si>
    <t>105952873</t>
  </si>
  <si>
    <t>10595287361</t>
  </si>
  <si>
    <t>BLOCO 15 APTO 72</t>
  </si>
  <si>
    <t>BL 15 APTO 72</t>
  </si>
  <si>
    <t>2182877</t>
  </si>
  <si>
    <t>36527772807</t>
  </si>
  <si>
    <t>105940948</t>
  </si>
  <si>
    <t>105940948321</t>
  </si>
  <si>
    <t>BLOCO 14 APTO 12</t>
  </si>
  <si>
    <t>BL 14 APTO 12</t>
  </si>
  <si>
    <t>2182806</t>
  </si>
  <si>
    <t>38561626828</t>
  </si>
  <si>
    <t>105874820</t>
  </si>
  <si>
    <t>9</t>
  </si>
  <si>
    <t>10587482091</t>
  </si>
  <si>
    <t>BLOCO 01 APTO111</t>
  </si>
  <si>
    <t>BL 01 APTO111</t>
  </si>
  <si>
    <t>2182682</t>
  </si>
  <si>
    <t>29112359831</t>
  </si>
  <si>
    <t>105801811</t>
  </si>
  <si>
    <t>10580181121</t>
  </si>
  <si>
    <t>APTO 271 TORRE C</t>
  </si>
  <si>
    <t>APO 271 TORRE C</t>
  </si>
  <si>
    <t>2182633</t>
  </si>
  <si>
    <t>30336188803</t>
  </si>
  <si>
    <t>105781700</t>
  </si>
  <si>
    <t>10578170021</t>
  </si>
  <si>
    <t>TORRE 3 APTO 161</t>
  </si>
  <si>
    <t>TORRE 3 APO 161</t>
  </si>
  <si>
    <t>2182539</t>
  </si>
  <si>
    <t>105722856</t>
  </si>
  <si>
    <t>10572285642</t>
  </si>
  <si>
    <t>APTO 118 TORRE 1</t>
  </si>
  <si>
    <t>APO 118 TORRE 1</t>
  </si>
  <si>
    <t>2182535</t>
  </si>
  <si>
    <t>36616349845</t>
  </si>
  <si>
    <t>10572285641</t>
  </si>
  <si>
    <t>2182487</t>
  </si>
  <si>
    <t>45831927890</t>
  </si>
  <si>
    <t>105710452</t>
  </si>
  <si>
    <t>11</t>
  </si>
  <si>
    <t>105710452113</t>
  </si>
  <si>
    <t>BL 604 TORRE SUL</t>
  </si>
  <si>
    <t>BL 604 T. SUL</t>
  </si>
  <si>
    <t>2182484</t>
  </si>
  <si>
    <t>11908856890</t>
  </si>
  <si>
    <t>105710452112</t>
  </si>
  <si>
    <t>2169775</t>
  </si>
  <si>
    <t>11926329821</t>
  </si>
  <si>
    <t>20000631</t>
  </si>
  <si>
    <t>386</t>
  </si>
  <si>
    <t>200006313861</t>
  </si>
  <si>
    <t>TORRE 01 APTO 71</t>
  </si>
  <si>
    <t>TORRE 01 APO 71</t>
  </si>
  <si>
    <t>2169777</t>
  </si>
  <si>
    <t>15467666851</t>
  </si>
  <si>
    <t>200006313862</t>
  </si>
  <si>
    <t>2169797</t>
  </si>
  <si>
    <t>12688382845</t>
  </si>
  <si>
    <t>20000632</t>
  </si>
  <si>
    <t>66</t>
  </si>
  <si>
    <t>20000632661</t>
  </si>
  <si>
    <t>APTO 121 BLOCO C</t>
  </si>
  <si>
    <t>APTO 121 BL C</t>
  </si>
  <si>
    <t>2182479</t>
  </si>
  <si>
    <t>08586334855</t>
  </si>
  <si>
    <t>105710452111</t>
  </si>
  <si>
    <t>2182444</t>
  </si>
  <si>
    <t>28559389881</t>
  </si>
  <si>
    <t>105708666</t>
  </si>
  <si>
    <t>105708666211</t>
  </si>
  <si>
    <t>AP 63 BL ANTILHA</t>
  </si>
  <si>
    <t>AP 63 B ANTILHA</t>
  </si>
  <si>
    <t>2182424</t>
  </si>
  <si>
    <t>30809192896</t>
  </si>
  <si>
    <t>105693317</t>
  </si>
  <si>
    <t>10569331711</t>
  </si>
  <si>
    <t>BL POMPEIA/AP214</t>
  </si>
  <si>
    <t>B POMPEIA/AP214</t>
  </si>
  <si>
    <t>2182359</t>
  </si>
  <si>
    <t>01279876816</t>
  </si>
  <si>
    <t>105664261</t>
  </si>
  <si>
    <t>46</t>
  </si>
  <si>
    <t>105664261461</t>
  </si>
  <si>
    <t>APTO 103 TORRE B</t>
  </si>
  <si>
    <t>APO 103 TORRE B</t>
  </si>
  <si>
    <t>2182296</t>
  </si>
  <si>
    <t>30551945869</t>
  </si>
  <si>
    <t>105637644</t>
  </si>
  <si>
    <t>1056376441231</t>
  </si>
  <si>
    <t>APTO 48 ED FLORI</t>
  </si>
  <si>
    <t>APO 48 ED FLORI</t>
  </si>
  <si>
    <t>2182273</t>
  </si>
  <si>
    <t>21344397778</t>
  </si>
  <si>
    <t>39</t>
  </si>
  <si>
    <t>105637644395</t>
  </si>
  <si>
    <t>CASA 2 LT 1 QD 6</t>
  </si>
  <si>
    <t>CS 2 LT 1 QD 6</t>
  </si>
  <si>
    <t>2182271</t>
  </si>
  <si>
    <t>09275069719</t>
  </si>
  <si>
    <t>105637644394</t>
  </si>
  <si>
    <t>QUADRA 58 CASA 3</t>
  </si>
  <si>
    <t>QD 58 CASA 3</t>
  </si>
  <si>
    <t>2182270</t>
  </si>
  <si>
    <t>16598883792</t>
  </si>
  <si>
    <t>105637644392</t>
  </si>
  <si>
    <t>2182266</t>
  </si>
  <si>
    <t>08978161707</t>
  </si>
  <si>
    <t>105637644391</t>
  </si>
  <si>
    <t>2182073</t>
  </si>
  <si>
    <t>10294374752</t>
  </si>
  <si>
    <t>105496944</t>
  </si>
  <si>
    <t>34</t>
  </si>
  <si>
    <t>105496944341</t>
  </si>
  <si>
    <t>BLOCO 1 APTO 601</t>
  </si>
  <si>
    <t>BL 1 APTO 601</t>
  </si>
  <si>
    <t>2182066</t>
  </si>
  <si>
    <t>68807902753</t>
  </si>
  <si>
    <t>105496944112</t>
  </si>
  <si>
    <t>BLOCO 2 APTO 402</t>
  </si>
  <si>
    <t>BL 2 APTO 402</t>
  </si>
  <si>
    <t>2169861</t>
  </si>
  <si>
    <t>28813140827</t>
  </si>
  <si>
    <t>20000634</t>
  </si>
  <si>
    <t>185</t>
  </si>
  <si>
    <t>200006341851</t>
  </si>
  <si>
    <t>AP 63 BLOBO LIFE</t>
  </si>
  <si>
    <t>AP 63 B BO LIFE</t>
  </si>
  <si>
    <t>2169864</t>
  </si>
  <si>
    <t>22112105892</t>
  </si>
  <si>
    <t>200006341852</t>
  </si>
  <si>
    <t>2169865</t>
  </si>
  <si>
    <t>200006341853</t>
  </si>
  <si>
    <t>2182064</t>
  </si>
  <si>
    <t>60961368772</t>
  </si>
  <si>
    <t>105496944111</t>
  </si>
  <si>
    <t>2181983</t>
  </si>
  <si>
    <t>32639653873</t>
  </si>
  <si>
    <t>105446138</t>
  </si>
  <si>
    <t>10544613861</t>
  </si>
  <si>
    <t>AP 2302 T CONSOL</t>
  </si>
  <si>
    <t>AP 2302 T CONSO</t>
  </si>
  <si>
    <t>2181917</t>
  </si>
  <si>
    <t>30048712892</t>
  </si>
  <si>
    <t>105421184</t>
  </si>
  <si>
    <t>2830</t>
  </si>
  <si>
    <t>10542118428301</t>
  </si>
  <si>
    <t>BLOCO C APTO 108</t>
  </si>
  <si>
    <t>BL C APTO 108</t>
  </si>
  <si>
    <t>2169881</t>
  </si>
  <si>
    <t>214</t>
  </si>
  <si>
    <t>200006342143</t>
  </si>
  <si>
    <t>PATO 122 BL 14 A</t>
  </si>
  <si>
    <t>PAT 122 B 14 A</t>
  </si>
  <si>
    <t>2181905</t>
  </si>
  <si>
    <t>29560520806</t>
  </si>
  <si>
    <t>2759</t>
  </si>
  <si>
    <t>10542118427591</t>
  </si>
  <si>
    <t>BL 4 GR 1 AP 302</t>
  </si>
  <si>
    <t>B 4 GR 1 AP 302</t>
  </si>
  <si>
    <t>2181901</t>
  </si>
  <si>
    <t>01649569998</t>
  </si>
  <si>
    <t>2737</t>
  </si>
  <si>
    <t>10542118427372</t>
  </si>
  <si>
    <t>ANDAR 9 PARTE AN</t>
  </si>
  <si>
    <t>AND 9 PARTE AN</t>
  </si>
  <si>
    <t>2181899</t>
  </si>
  <si>
    <t>03795293359</t>
  </si>
  <si>
    <t>2733</t>
  </si>
  <si>
    <t>10542118427331</t>
  </si>
  <si>
    <t>17 ANDAR AP 1702</t>
  </si>
  <si>
    <t>17 AND AP 1702</t>
  </si>
  <si>
    <t>2181883</t>
  </si>
  <si>
    <t>25926254884</t>
  </si>
  <si>
    <t>2568</t>
  </si>
  <si>
    <t>10542118425681</t>
  </si>
  <si>
    <t>AP 203 PORTINARI</t>
  </si>
  <si>
    <t>AP 203 PORTINAR</t>
  </si>
  <si>
    <t>2181881</t>
  </si>
  <si>
    <t>40251954889</t>
  </si>
  <si>
    <t>2537</t>
  </si>
  <si>
    <t>10542118425371</t>
  </si>
  <si>
    <t>APTO 184 BLOCO 1</t>
  </si>
  <si>
    <t>APTO 184 BL 1</t>
  </si>
  <si>
    <t>2181880</t>
  </si>
  <si>
    <t>21749409810</t>
  </si>
  <si>
    <t>2535</t>
  </si>
  <si>
    <t>10542118425351</t>
  </si>
  <si>
    <t>BLOCO B APTO 163</t>
  </si>
  <si>
    <t>BL B APTO 163</t>
  </si>
  <si>
    <t>2181872</t>
  </si>
  <si>
    <t>36945745813</t>
  </si>
  <si>
    <t>2442</t>
  </si>
  <si>
    <t>10542118424421</t>
  </si>
  <si>
    <t>APTO 112 BLOCO N</t>
  </si>
  <si>
    <t>APTO 112 BL N</t>
  </si>
  <si>
    <t>2181869</t>
  </si>
  <si>
    <t>85703818168</t>
  </si>
  <si>
    <t>2396</t>
  </si>
  <si>
    <t>10542118423961</t>
  </si>
  <si>
    <t>BLOCO A APTO 140</t>
  </si>
  <si>
    <t>BL A APTO 140</t>
  </si>
  <si>
    <t>2181866</t>
  </si>
  <si>
    <t>21869619897</t>
  </si>
  <si>
    <t>2385</t>
  </si>
  <si>
    <t>10542118423851</t>
  </si>
  <si>
    <t>BLOCO 41 APTO 11</t>
  </si>
  <si>
    <t>BL 41 APTO 11</t>
  </si>
  <si>
    <t>2169963</t>
  </si>
  <si>
    <t>13835678833</t>
  </si>
  <si>
    <t>394</t>
  </si>
  <si>
    <t>200006343941</t>
  </si>
  <si>
    <t>APTO 801 EDF CAR</t>
  </si>
  <si>
    <t>APO 801 EDF CAR</t>
  </si>
  <si>
    <t>2169965</t>
  </si>
  <si>
    <t>38615214824</t>
  </si>
  <si>
    <t>200006343942</t>
  </si>
  <si>
    <t>2169966</t>
  </si>
  <si>
    <t>33180868864</t>
  </si>
  <si>
    <t>397</t>
  </si>
  <si>
    <t>200006343971</t>
  </si>
  <si>
    <t>APTO 103 BL JASM</t>
  </si>
  <si>
    <t>APO 103 BL JASM</t>
  </si>
  <si>
    <t>2169968</t>
  </si>
  <si>
    <t>31317279859</t>
  </si>
  <si>
    <t>200006343972</t>
  </si>
  <si>
    <t>2181860</t>
  </si>
  <si>
    <t>39818711890</t>
  </si>
  <si>
    <t>2338</t>
  </si>
  <si>
    <t>10542118423381</t>
  </si>
  <si>
    <t>JARDIM PROGRESSO</t>
  </si>
  <si>
    <t>JD PROGRESSO</t>
  </si>
  <si>
    <t>2169975</t>
  </si>
  <si>
    <t>18590216896</t>
  </si>
  <si>
    <t>408</t>
  </si>
  <si>
    <t>200006344081</t>
  </si>
  <si>
    <t>APTO 104 TORRE 1</t>
  </si>
  <si>
    <t>APO 104 TORRE 1</t>
  </si>
  <si>
    <t>2169979</t>
  </si>
  <si>
    <t>22297351879</t>
  </si>
  <si>
    <t>200006344082</t>
  </si>
  <si>
    <t>2169980</t>
  </si>
  <si>
    <t>53400235830</t>
  </si>
  <si>
    <t>200006344083</t>
  </si>
  <si>
    <t>2169981</t>
  </si>
  <si>
    <t>53400278807</t>
  </si>
  <si>
    <t>200006344084</t>
  </si>
  <si>
    <t>2169989</t>
  </si>
  <si>
    <t>04352331902</t>
  </si>
  <si>
    <t>425</t>
  </si>
  <si>
    <t>200006344251</t>
  </si>
  <si>
    <t>APTO 111 TORRE 1</t>
  </si>
  <si>
    <t>APO 111 TORRE 1</t>
  </si>
  <si>
    <t>2169994</t>
  </si>
  <si>
    <t>55682011880</t>
  </si>
  <si>
    <t>200006344253</t>
  </si>
  <si>
    <t>2181859</t>
  </si>
  <si>
    <t>28378414809</t>
  </si>
  <si>
    <t>2336</t>
  </si>
  <si>
    <t>10542118423361</t>
  </si>
  <si>
    <t>APTO 2 ED LIRIOS</t>
  </si>
  <si>
    <t>APO 2 ED LIRIOS</t>
  </si>
  <si>
    <t>2181858</t>
  </si>
  <si>
    <t>2314</t>
  </si>
  <si>
    <t>10542118423142</t>
  </si>
  <si>
    <t>APTO 102 BLOCO 4</t>
  </si>
  <si>
    <t>APTO 102 BL 4</t>
  </si>
  <si>
    <t>2170023</t>
  </si>
  <si>
    <t>01059018810</t>
  </si>
  <si>
    <t>20000674</t>
  </si>
  <si>
    <t>31</t>
  </si>
  <si>
    <t>20000674311</t>
  </si>
  <si>
    <t>APTO 183  18º AN</t>
  </si>
  <si>
    <t>APO 183  18º AN</t>
  </si>
  <si>
    <t>2170025</t>
  </si>
  <si>
    <t>06564795823</t>
  </si>
  <si>
    <t>20000674312</t>
  </si>
  <si>
    <t>2181856</t>
  </si>
  <si>
    <t>12777777802</t>
  </si>
  <si>
    <t>10542118423141</t>
  </si>
  <si>
    <t>2181841</t>
  </si>
  <si>
    <t>37155201839</t>
  </si>
  <si>
    <t>2045</t>
  </si>
  <si>
    <t>10542118420451</t>
  </si>
  <si>
    <t>BL C AP 28 C RES</t>
  </si>
  <si>
    <t>B C AP 28 C RE</t>
  </si>
  <si>
    <t>2181829</t>
  </si>
  <si>
    <t>25942479879</t>
  </si>
  <si>
    <t>1990</t>
  </si>
  <si>
    <t>10542118419901</t>
  </si>
  <si>
    <t>PARQUE EDU CHAVE</t>
  </si>
  <si>
    <t>PQ EDU CHAVE</t>
  </si>
  <si>
    <t>2181811</t>
  </si>
  <si>
    <t>06123747690</t>
  </si>
  <si>
    <t>1723</t>
  </si>
  <si>
    <t>10542118417231</t>
  </si>
  <si>
    <t>BLOCO 1  APTO 20</t>
  </si>
  <si>
    <t>BL 1  APTO 20</t>
  </si>
  <si>
    <t>2181810</t>
  </si>
  <si>
    <t>57923965153</t>
  </si>
  <si>
    <t>1701</t>
  </si>
  <si>
    <t>10542118417011</t>
  </si>
  <si>
    <t>BLOCO C APTO 611</t>
  </si>
  <si>
    <t>BL C APTO 611</t>
  </si>
  <si>
    <t>2181793</t>
  </si>
  <si>
    <t>38871761898</t>
  </si>
  <si>
    <t>1460</t>
  </si>
  <si>
    <t>10542118414601</t>
  </si>
  <si>
    <t>BLOCO 08  APTO17</t>
  </si>
  <si>
    <t>BL 08  APTO17</t>
  </si>
  <si>
    <t>2181787</t>
  </si>
  <si>
    <t>05805924722</t>
  </si>
  <si>
    <t>1239</t>
  </si>
  <si>
    <t>10542118412391</t>
  </si>
  <si>
    <t>CASA 03 QUADRA F</t>
  </si>
  <si>
    <t>CASA 03 QD F</t>
  </si>
  <si>
    <t>2170121</t>
  </si>
  <si>
    <t>27492637861</t>
  </si>
  <si>
    <t>20000695</t>
  </si>
  <si>
    <t>211</t>
  </si>
  <si>
    <t>200006952111</t>
  </si>
  <si>
    <t>L 11 BL 2 AP 14A</t>
  </si>
  <si>
    <t>L 11 B 2 AP 14A</t>
  </si>
  <si>
    <t>2181774</t>
  </si>
  <si>
    <t>70896186504</t>
  </si>
  <si>
    <t>1032</t>
  </si>
  <si>
    <t>10542118410321</t>
  </si>
  <si>
    <t>C RES CID DO MEX</t>
  </si>
  <si>
    <t>C RES CID MEX</t>
  </si>
  <si>
    <t>2181743</t>
  </si>
  <si>
    <t>09058190714</t>
  </si>
  <si>
    <t>105406158</t>
  </si>
  <si>
    <t>103</t>
  </si>
  <si>
    <t>1054061581031</t>
  </si>
  <si>
    <t>BL C6 GR2 AP 401</t>
  </si>
  <si>
    <t>B C6 GR2 AP 401</t>
  </si>
  <si>
    <t>2181741</t>
  </si>
  <si>
    <t>01506582575</t>
  </si>
  <si>
    <t>105406158441</t>
  </si>
  <si>
    <t>AP 401 EDF MONTR</t>
  </si>
  <si>
    <t>AP 401 ED MONTR</t>
  </si>
  <si>
    <t>2181740</t>
  </si>
  <si>
    <t>02226815511</t>
  </si>
  <si>
    <t>42</t>
  </si>
  <si>
    <t>105406158421</t>
  </si>
  <si>
    <t>TORRE BORGONHA A</t>
  </si>
  <si>
    <t>T. BORGONHA A</t>
  </si>
  <si>
    <t>2181737</t>
  </si>
  <si>
    <t>08235681803</t>
  </si>
  <si>
    <t>30</t>
  </si>
  <si>
    <t>105406158301</t>
  </si>
  <si>
    <t>APTO 112 TORRE A</t>
  </si>
  <si>
    <t>APO 112 TORRE A</t>
  </si>
  <si>
    <t>2181733</t>
  </si>
  <si>
    <t>55148741848</t>
  </si>
  <si>
    <t>10540615813</t>
  </si>
  <si>
    <t>BLOCO 2 APTO 202</t>
  </si>
  <si>
    <t>BL 2 APTO 202</t>
  </si>
  <si>
    <t>2181731</t>
  </si>
  <si>
    <t>22891956850</t>
  </si>
  <si>
    <t>10540615812</t>
  </si>
  <si>
    <t>2181699</t>
  </si>
  <si>
    <t>34850625886</t>
  </si>
  <si>
    <t>105382734</t>
  </si>
  <si>
    <t>68</t>
  </si>
  <si>
    <t>105382734681</t>
  </si>
  <si>
    <t>APT 32 TORRE HAP</t>
  </si>
  <si>
    <t>AP 32 TORRE HAP</t>
  </si>
  <si>
    <t>2181687</t>
  </si>
  <si>
    <t>00097416746</t>
  </si>
  <si>
    <t>51</t>
  </si>
  <si>
    <t>105382734511</t>
  </si>
  <si>
    <t>APTO 504 BLOCO 1</t>
  </si>
  <si>
    <t>APTO 504 BL 1</t>
  </si>
  <si>
    <t>2181586</t>
  </si>
  <si>
    <t>28505197828</t>
  </si>
  <si>
    <t>105297190</t>
  </si>
  <si>
    <t>10529719011</t>
  </si>
  <si>
    <t>AP 24  ATMOSFERE</t>
  </si>
  <si>
    <t>AP 24 ATMOSFERE</t>
  </si>
  <si>
    <t>2181500</t>
  </si>
  <si>
    <t>37806754806</t>
  </si>
  <si>
    <t>105245685</t>
  </si>
  <si>
    <t>17</t>
  </si>
  <si>
    <t>105245685171</t>
  </si>
  <si>
    <t>APT 34 A BL TULI</t>
  </si>
  <si>
    <t>AP 34 A BL TULI</t>
  </si>
  <si>
    <t>2181496</t>
  </si>
  <si>
    <t>36647343865</t>
  </si>
  <si>
    <t>105245685161</t>
  </si>
  <si>
    <t>APT 43 A BL TULI</t>
  </si>
  <si>
    <t>AP 43 A BL TULI</t>
  </si>
  <si>
    <t>2181411</t>
  </si>
  <si>
    <t>43806832811</t>
  </si>
  <si>
    <t>105136959</t>
  </si>
  <si>
    <t>105136959221</t>
  </si>
  <si>
    <t>BLOCO 01  APTO 1</t>
  </si>
  <si>
    <t>BL 01  APTO 1</t>
  </si>
  <si>
    <t>2181406</t>
  </si>
  <si>
    <t>46829830591</t>
  </si>
  <si>
    <t>10513695931</t>
  </si>
  <si>
    <t>AP A203  BLOCO B</t>
  </si>
  <si>
    <t>AP A203  BL B</t>
  </si>
  <si>
    <t>2181363</t>
  </si>
  <si>
    <t>27108268876</t>
  </si>
  <si>
    <t>105050503</t>
  </si>
  <si>
    <t>7</t>
  </si>
  <si>
    <t>10505050371</t>
  </si>
  <si>
    <t>AP 162 TORRE TOP</t>
  </si>
  <si>
    <t>AP 162 T. TOP</t>
  </si>
  <si>
    <t>2181281</t>
  </si>
  <si>
    <t>00752072811</t>
  </si>
  <si>
    <t>104990850</t>
  </si>
  <si>
    <t>299</t>
  </si>
  <si>
    <t>1049908502991</t>
  </si>
  <si>
    <t>RD SP 340 KM 171</t>
  </si>
  <si>
    <t>RD SP 340 KM171</t>
  </si>
  <si>
    <t>2181093</t>
  </si>
  <si>
    <t>35250785875</t>
  </si>
  <si>
    <t>104924091</t>
  </si>
  <si>
    <t>104924091121</t>
  </si>
  <si>
    <t>AP 242 BL.GARDEN</t>
  </si>
  <si>
    <t>AP 242 B.GARDEN</t>
  </si>
  <si>
    <t>2180895</t>
  </si>
  <si>
    <t>55820503880</t>
  </si>
  <si>
    <t>104808860</t>
  </si>
  <si>
    <t>104808860172</t>
  </si>
  <si>
    <t>BLOCO 4 APTO 112</t>
  </si>
  <si>
    <t>BL 4 APTO 112</t>
  </si>
  <si>
    <t>2180891</t>
  </si>
  <si>
    <t>28285167844</t>
  </si>
  <si>
    <t>104808860171</t>
  </si>
  <si>
    <t>2180885</t>
  </si>
  <si>
    <t>22933679833</t>
  </si>
  <si>
    <t>10480886072</t>
  </si>
  <si>
    <t>AP 23 TOR 11 LT2</t>
  </si>
  <si>
    <t>AP 23 T 11 LT2</t>
  </si>
  <si>
    <t>2180882</t>
  </si>
  <si>
    <t>31366475801</t>
  </si>
  <si>
    <t>10480886071</t>
  </si>
  <si>
    <t>2180859</t>
  </si>
  <si>
    <t>51628309504</t>
  </si>
  <si>
    <t>104738714</t>
  </si>
  <si>
    <t>310</t>
  </si>
  <si>
    <t>1047387143101</t>
  </si>
  <si>
    <t>AP 51B CJ HAB PJ</t>
  </si>
  <si>
    <t>AP 51B CJ H PJ</t>
  </si>
  <si>
    <t>2180832</t>
  </si>
  <si>
    <t>40959886818</t>
  </si>
  <si>
    <t>104696899</t>
  </si>
  <si>
    <t>104696899302</t>
  </si>
  <si>
    <t>BLOCO 4 APTO 142</t>
  </si>
  <si>
    <t>BL 4 APTO 142</t>
  </si>
  <si>
    <t>2180814</t>
  </si>
  <si>
    <t>104623885</t>
  </si>
  <si>
    <t>10462388544</t>
  </si>
  <si>
    <t>APTO 233 TORRE 1</t>
  </si>
  <si>
    <t>APO 233 TORRE 1</t>
  </si>
  <si>
    <t>2180812</t>
  </si>
  <si>
    <t>10462388543</t>
  </si>
  <si>
    <t>2180810</t>
  </si>
  <si>
    <t>29213556802</t>
  </si>
  <si>
    <t>10462388542</t>
  </si>
  <si>
    <t>2180805</t>
  </si>
  <si>
    <t>26040196807</t>
  </si>
  <si>
    <t>10462388541</t>
  </si>
  <si>
    <t>2180703</t>
  </si>
  <si>
    <t>07719195817</t>
  </si>
  <si>
    <t>104334648</t>
  </si>
  <si>
    <t>10433464891</t>
  </si>
  <si>
    <t>AP 261 BEM-TE-VI</t>
  </si>
  <si>
    <t>AP 261 BEMTEVI</t>
  </si>
  <si>
    <t>2180648</t>
  </si>
  <si>
    <t>26183457892</t>
  </si>
  <si>
    <t>104237676</t>
  </si>
  <si>
    <t>10423767646</t>
  </si>
  <si>
    <t>BL 1- IPÊ AP.181</t>
  </si>
  <si>
    <t>B 1- IPÊ AP.181</t>
  </si>
  <si>
    <t>2180493</t>
  </si>
  <si>
    <t>103657454</t>
  </si>
  <si>
    <t>351</t>
  </si>
  <si>
    <t>1036574543511</t>
  </si>
  <si>
    <t>FAZENDA DO SOSSE</t>
  </si>
  <si>
    <t>FZ DO SOSSE</t>
  </si>
  <si>
    <t>2180478</t>
  </si>
  <si>
    <t>11996990713</t>
  </si>
  <si>
    <t>264</t>
  </si>
  <si>
    <t>1036574542641</t>
  </si>
  <si>
    <t>BLOCO 1 APTO 104</t>
  </si>
  <si>
    <t>BL 1 APTO 104</t>
  </si>
  <si>
    <t>2180477</t>
  </si>
  <si>
    <t>14585414797</t>
  </si>
  <si>
    <t>223</t>
  </si>
  <si>
    <t>1036574542231</t>
  </si>
  <si>
    <t>BLOCO 2 APTO 601</t>
  </si>
  <si>
    <t>BL 2 APTO 601</t>
  </si>
  <si>
    <t>2180476</t>
  </si>
  <si>
    <t>208</t>
  </si>
  <si>
    <t>1036574542083</t>
  </si>
  <si>
    <t>BLOCO 2 APTO 101</t>
  </si>
  <si>
    <t>BL 2 APTO 101</t>
  </si>
  <si>
    <t>2180473</t>
  </si>
  <si>
    <t>03416126505</t>
  </si>
  <si>
    <t>1036574541723</t>
  </si>
  <si>
    <t>BL1AP408RES CLUB</t>
  </si>
  <si>
    <t>B1AP408RES CLUB</t>
  </si>
  <si>
    <t>2180385</t>
  </si>
  <si>
    <t>40260073830</t>
  </si>
  <si>
    <t>102815809</t>
  </si>
  <si>
    <t>474</t>
  </si>
  <si>
    <t>1028158094741</t>
  </si>
  <si>
    <t>BLOCO 350 APTO 1</t>
  </si>
  <si>
    <t>BL 350 APTO 1</t>
  </si>
  <si>
    <t>2180323</t>
  </si>
  <si>
    <t>355</t>
  </si>
  <si>
    <t>1028158093554</t>
  </si>
  <si>
    <t>APTO 22 BLOCO 14</t>
  </si>
  <si>
    <t>APTO 22 BL 14</t>
  </si>
  <si>
    <t>2180081</t>
  </si>
  <si>
    <t>10220736804</t>
  </si>
  <si>
    <t>91</t>
  </si>
  <si>
    <t>102815809911</t>
  </si>
  <si>
    <t>AP 62 TORRE JASM</t>
  </si>
  <si>
    <t>AP 62 T. JASM</t>
  </si>
  <si>
    <t>2180024</t>
  </si>
  <si>
    <t>10427372747</t>
  </si>
  <si>
    <t>102787730</t>
  </si>
  <si>
    <t>134</t>
  </si>
  <si>
    <t>1027877301341</t>
  </si>
  <si>
    <t>AC BLOCO 2 APT 2</t>
  </si>
  <si>
    <t>AC BL 2 APT 2</t>
  </si>
  <si>
    <t>2179863</t>
  </si>
  <si>
    <t>101374480</t>
  </si>
  <si>
    <t>1885</t>
  </si>
  <si>
    <t>10137448018854</t>
  </si>
  <si>
    <t>TORRE 4 APTO 142</t>
  </si>
  <si>
    <t>TORRE 4 APO 142</t>
  </si>
  <si>
    <t>2179861</t>
  </si>
  <si>
    <t>10137448018853</t>
  </si>
  <si>
    <t>2179859</t>
  </si>
  <si>
    <t>28434608839</t>
  </si>
  <si>
    <t>10137448018852</t>
  </si>
  <si>
    <t>2179853</t>
  </si>
  <si>
    <t>20395953847</t>
  </si>
  <si>
    <t>10137448018851</t>
  </si>
  <si>
    <t>2179838</t>
  </si>
  <si>
    <t>55152797860</t>
  </si>
  <si>
    <t>1879</t>
  </si>
  <si>
    <t>10137448018794</t>
  </si>
  <si>
    <t>APTO 104-TORRE 5</t>
  </si>
  <si>
    <t>APO 104-TORRE 5</t>
  </si>
  <si>
    <t>2179836</t>
  </si>
  <si>
    <t>10137448018793</t>
  </si>
  <si>
    <t>2179830</t>
  </si>
  <si>
    <t>33939127809</t>
  </si>
  <si>
    <t>10137448018791</t>
  </si>
  <si>
    <t>2179827</t>
  </si>
  <si>
    <t>34479516808</t>
  </si>
  <si>
    <t>1876</t>
  </si>
  <si>
    <t>10137448018761</t>
  </si>
  <si>
    <t>APTO 10 BLOCO 05</t>
  </si>
  <si>
    <t>APTO 10 BL 05</t>
  </si>
  <si>
    <t>2179787</t>
  </si>
  <si>
    <t>05197528729</t>
  </si>
  <si>
    <t>1839</t>
  </si>
  <si>
    <t>10137448018391</t>
  </si>
  <si>
    <t>BLOCO A APTO 105</t>
  </si>
  <si>
    <t>BL A APTO 105</t>
  </si>
  <si>
    <t>2179748</t>
  </si>
  <si>
    <t>12452686867</t>
  </si>
  <si>
    <t>1800</t>
  </si>
  <si>
    <t>10137448018001</t>
  </si>
  <si>
    <t>BL PARABA AP 113</t>
  </si>
  <si>
    <t>B PARABA AP 113</t>
  </si>
  <si>
    <t>2179735</t>
  </si>
  <si>
    <t>04184574505</t>
  </si>
  <si>
    <t>1778</t>
  </si>
  <si>
    <t>10137448017782</t>
  </si>
  <si>
    <t>BLOCO 2 - AP 202</t>
  </si>
  <si>
    <t>BL 2 - AP 202</t>
  </si>
  <si>
    <t>2179679</t>
  </si>
  <si>
    <t>41140844873</t>
  </si>
  <si>
    <t>1670</t>
  </si>
  <si>
    <t>10137448016704</t>
  </si>
  <si>
    <t>BLOCO CASA 03 AP</t>
  </si>
  <si>
    <t>BL CASA 03 AP</t>
  </si>
  <si>
    <t>2179677</t>
  </si>
  <si>
    <t>41140841858</t>
  </si>
  <si>
    <t>10137448016703</t>
  </si>
  <si>
    <t>2179675</t>
  </si>
  <si>
    <t>22385239876</t>
  </si>
  <si>
    <t>10137448016702</t>
  </si>
  <si>
    <t>2179670</t>
  </si>
  <si>
    <t>27403339860</t>
  </si>
  <si>
    <t>10137448016701</t>
  </si>
  <si>
    <t>2170574</t>
  </si>
  <si>
    <t>35174516813</t>
  </si>
  <si>
    <t>20001075</t>
  </si>
  <si>
    <t>94</t>
  </si>
  <si>
    <t>20001075941</t>
  </si>
  <si>
    <t>APTO 14 TORRE II</t>
  </si>
  <si>
    <t>APO 14 TORRE II</t>
  </si>
  <si>
    <t>2170585</t>
  </si>
  <si>
    <t>38403124856</t>
  </si>
  <si>
    <t>20001080</t>
  </si>
  <si>
    <t>2000108051</t>
  </si>
  <si>
    <t>CA COMPL SA 39 H</t>
  </si>
  <si>
    <t>CA COMP SA 39 H</t>
  </si>
  <si>
    <t>2179650</t>
  </si>
  <si>
    <t>26421624863</t>
  </si>
  <si>
    <t>1646</t>
  </si>
  <si>
    <t>10137448016462</t>
  </si>
  <si>
    <t>TORRE 03 APTO 10</t>
  </si>
  <si>
    <t>TORRE 03 APO 10</t>
  </si>
  <si>
    <t>2170607</t>
  </si>
  <si>
    <t>28044135863</t>
  </si>
  <si>
    <t>20001094</t>
  </si>
  <si>
    <t>2000109431</t>
  </si>
  <si>
    <t>APTO 31 A BL TEJ</t>
  </si>
  <si>
    <t>APO 31 A BL TEJ</t>
  </si>
  <si>
    <t>2179647</t>
  </si>
  <si>
    <t>34318892808</t>
  </si>
  <si>
    <t>10137448016461</t>
  </si>
  <si>
    <t>2179641</t>
  </si>
  <si>
    <t>52865369803</t>
  </si>
  <si>
    <t>1638</t>
  </si>
  <si>
    <t>10137448016384</t>
  </si>
  <si>
    <t>APTO 163 BLOCO B</t>
  </si>
  <si>
    <t>APTO 163 BL B</t>
  </si>
  <si>
    <t>2179639</t>
  </si>
  <si>
    <t>49383209836</t>
  </si>
  <si>
    <t>10137448016383</t>
  </si>
  <si>
    <t>2170650</t>
  </si>
  <si>
    <t>48174530525</t>
  </si>
  <si>
    <t>20001281</t>
  </si>
  <si>
    <t>2000128141</t>
  </si>
  <si>
    <t>BL 3 ED TERRAS A</t>
  </si>
  <si>
    <t>B 3 ED TERRAS A</t>
  </si>
  <si>
    <t>2170655</t>
  </si>
  <si>
    <t>01819916596</t>
  </si>
  <si>
    <t>2000128144</t>
  </si>
  <si>
    <t>2179637</t>
  </si>
  <si>
    <t>17320980851</t>
  </si>
  <si>
    <t>10137448016382</t>
  </si>
  <si>
    <t>2179632</t>
  </si>
  <si>
    <t>14732115810</t>
  </si>
  <si>
    <t>10137448016381</t>
  </si>
  <si>
    <t>2179620</t>
  </si>
  <si>
    <t>01992896542</t>
  </si>
  <si>
    <t>1628</t>
  </si>
  <si>
    <t>10137448016281</t>
  </si>
  <si>
    <t>EDF ILHA DE CAPR</t>
  </si>
  <si>
    <t>ED ILHA DE CAPR</t>
  </si>
  <si>
    <t>2179544</t>
  </si>
  <si>
    <t>13957718805</t>
  </si>
  <si>
    <t>1541</t>
  </si>
  <si>
    <t>10137448015412</t>
  </si>
  <si>
    <t>COND JD DOS IPES</t>
  </si>
  <si>
    <t>CD JD DOS IPES</t>
  </si>
  <si>
    <t>2179541</t>
  </si>
  <si>
    <t>02786288851</t>
  </si>
  <si>
    <t>10137448015411</t>
  </si>
  <si>
    <t>2179518</t>
  </si>
  <si>
    <t>51479213896</t>
  </si>
  <si>
    <t>1527</t>
  </si>
  <si>
    <t>10137448015274</t>
  </si>
  <si>
    <t>BLOCO A APTO 274</t>
  </si>
  <si>
    <t>BL A APTO 274</t>
  </si>
  <si>
    <t>2179516</t>
  </si>
  <si>
    <t>44466319855</t>
  </si>
  <si>
    <t>10137448015273</t>
  </si>
  <si>
    <t>2179514</t>
  </si>
  <si>
    <t>27598158894</t>
  </si>
  <si>
    <t>10137448015272</t>
  </si>
  <si>
    <t>2179509</t>
  </si>
  <si>
    <t>28559934820</t>
  </si>
  <si>
    <t>10137448015271</t>
  </si>
  <si>
    <t>2179498</t>
  </si>
  <si>
    <t>1501</t>
  </si>
  <si>
    <t>10137448015013</t>
  </si>
  <si>
    <t>APTO 163 TORRE 2</t>
  </si>
  <si>
    <t>APO 163 TORRE 2</t>
  </si>
  <si>
    <t>2179496</t>
  </si>
  <si>
    <t>27595106893</t>
  </si>
  <si>
    <t>10137448015012</t>
  </si>
  <si>
    <t>2179487</t>
  </si>
  <si>
    <t>35220575899</t>
  </si>
  <si>
    <t>1490</t>
  </si>
  <si>
    <t>10137448014901</t>
  </si>
  <si>
    <t>APTO 31 BLOCO 55</t>
  </si>
  <si>
    <t>APTO 31 BL 55</t>
  </si>
  <si>
    <t>2179442</t>
  </si>
  <si>
    <t>1461</t>
  </si>
  <si>
    <t>10137448014613</t>
  </si>
  <si>
    <t>APTO 121 TORRE A</t>
  </si>
  <si>
    <t>APO 121 TORRE A</t>
  </si>
  <si>
    <t>2179440</t>
  </si>
  <si>
    <t>25539208811</t>
  </si>
  <si>
    <t>10137448014612</t>
  </si>
  <si>
    <t>2179282</t>
  </si>
  <si>
    <t>08368682851</t>
  </si>
  <si>
    <t>1324</t>
  </si>
  <si>
    <t>10137448013242</t>
  </si>
  <si>
    <t>AP 01 BL. JURITI</t>
  </si>
  <si>
    <t>AP 01 B. JURITI</t>
  </si>
  <si>
    <t>2179264</t>
  </si>
  <si>
    <t>97882054534</t>
  </si>
  <si>
    <t>1308</t>
  </si>
  <si>
    <t>10137448013081</t>
  </si>
  <si>
    <t>APT 807 ALBARNAZ</t>
  </si>
  <si>
    <t>AP 807 ALBARNAZ</t>
  </si>
  <si>
    <t>2179250</t>
  </si>
  <si>
    <t>93488840182</t>
  </si>
  <si>
    <t>1285</t>
  </si>
  <si>
    <t>10137448012852</t>
  </si>
  <si>
    <t>APTO 221 BLOCO 3</t>
  </si>
  <si>
    <t>APTO 221 BL 3</t>
  </si>
  <si>
    <t>2179058</t>
  </si>
  <si>
    <t>35763399811</t>
  </si>
  <si>
    <t>1016</t>
  </si>
  <si>
    <t>10137448010161</t>
  </si>
  <si>
    <t>APT. 143 TORRE 2</t>
  </si>
  <si>
    <t>AP. 143 TORRE 2</t>
  </si>
  <si>
    <t>2170834</t>
  </si>
  <si>
    <t>43066610837</t>
  </si>
  <si>
    <t>20001521</t>
  </si>
  <si>
    <t>59</t>
  </si>
  <si>
    <t>20001521591</t>
  </si>
  <si>
    <t>TORRE III 3 AND.</t>
  </si>
  <si>
    <t>T. III 3 AND.</t>
  </si>
  <si>
    <t>2179027</t>
  </si>
  <si>
    <t>36505049878</t>
  </si>
  <si>
    <t>992</t>
  </si>
  <si>
    <t>1013744809922</t>
  </si>
  <si>
    <t>BLOCO G8 APTO 32</t>
  </si>
  <si>
    <t>BL G8 APTO 32</t>
  </si>
  <si>
    <t>2179019</t>
  </si>
  <si>
    <t>982</t>
  </si>
  <si>
    <t>1013744809824</t>
  </si>
  <si>
    <t>APTO 04 TORRE 04</t>
  </si>
  <si>
    <t>APO 04 TORRE 04</t>
  </si>
  <si>
    <t>2179017</t>
  </si>
  <si>
    <t>1013744809823</t>
  </si>
  <si>
    <t>2179015</t>
  </si>
  <si>
    <t>27451175804</t>
  </si>
  <si>
    <t>1013744809822</t>
  </si>
  <si>
    <t>2178989</t>
  </si>
  <si>
    <t>54228762883</t>
  </si>
  <si>
    <t>949</t>
  </si>
  <si>
    <t>1013744809493</t>
  </si>
  <si>
    <t>APTO 134 TORRE 1</t>
  </si>
  <si>
    <t>APO 134 TORRE 1</t>
  </si>
  <si>
    <t>2178955</t>
  </si>
  <si>
    <t>29145982899</t>
  </si>
  <si>
    <t>905</t>
  </si>
  <si>
    <t>1013744809053</t>
  </si>
  <si>
    <t>APTO 74 T. UNIAO</t>
  </si>
  <si>
    <t>APO 74 T. UNIAO</t>
  </si>
  <si>
    <t>2178933</t>
  </si>
  <si>
    <t>889</t>
  </si>
  <si>
    <t>1013744808894</t>
  </si>
  <si>
    <t>M JERIVAS APTO 1</t>
  </si>
  <si>
    <t>M JERIVAS APO 1</t>
  </si>
  <si>
    <t>2178929</t>
  </si>
  <si>
    <t>1013744808893</t>
  </si>
  <si>
    <t>2178925</t>
  </si>
  <si>
    <t>22916543813</t>
  </si>
  <si>
    <t>1013744808892</t>
  </si>
  <si>
    <t>2178911</t>
  </si>
  <si>
    <t>31929775822</t>
  </si>
  <si>
    <t>879</t>
  </si>
  <si>
    <t>1013744808791</t>
  </si>
  <si>
    <t>APTO 163 TORRE I</t>
  </si>
  <si>
    <t>APO 163 TORRE I</t>
  </si>
  <si>
    <t>2178882</t>
  </si>
  <si>
    <t>54356060806</t>
  </si>
  <si>
    <t>841</t>
  </si>
  <si>
    <t>1013744808412</t>
  </si>
  <si>
    <t>AP 171 T- ARAUCA</t>
  </si>
  <si>
    <t>AP 171 T ARAUCA</t>
  </si>
  <si>
    <t>2178880</t>
  </si>
  <si>
    <t>31136100873</t>
  </si>
  <si>
    <t>1013744808411</t>
  </si>
  <si>
    <t>2170957</t>
  </si>
  <si>
    <t>14382552842</t>
  </si>
  <si>
    <t>20001675</t>
  </si>
  <si>
    <t>2000167511</t>
  </si>
  <si>
    <t>1º ANDAR SALA 14</t>
  </si>
  <si>
    <t>1º AND SALA 14</t>
  </si>
  <si>
    <t>2178874</t>
  </si>
  <si>
    <t>27445071806</t>
  </si>
  <si>
    <t>835</t>
  </si>
  <si>
    <t>1013744808352</t>
  </si>
  <si>
    <t>AP.113 HORTENCIA</t>
  </si>
  <si>
    <t>AP 113 HORTENCI</t>
  </si>
  <si>
    <t>2178870</t>
  </si>
  <si>
    <t>30978042859</t>
  </si>
  <si>
    <t>1013744808351</t>
  </si>
  <si>
    <t>AP 113 HORTENCIA</t>
  </si>
  <si>
    <t>2178866</t>
  </si>
  <si>
    <t>19224670814</t>
  </si>
  <si>
    <t>830</t>
  </si>
  <si>
    <t>1013744808302</t>
  </si>
  <si>
    <t>APTO 72  TORRE A</t>
  </si>
  <si>
    <t>APO 72  TORRE A</t>
  </si>
  <si>
    <t>2178821</t>
  </si>
  <si>
    <t>803</t>
  </si>
  <si>
    <t>1013744808033</t>
  </si>
  <si>
    <t>APARTAMENTO 33 B</t>
  </si>
  <si>
    <t>AP 33 B</t>
  </si>
  <si>
    <t>2178762</t>
  </si>
  <si>
    <t>25717937806</t>
  </si>
  <si>
    <t>756</t>
  </si>
  <si>
    <t>1013744807562</t>
  </si>
  <si>
    <t>TORRE 10 APTO 98</t>
  </si>
  <si>
    <t>TORRE 10 APO 98</t>
  </si>
  <si>
    <t>2178759</t>
  </si>
  <si>
    <t>29434097827</t>
  </si>
  <si>
    <t>1013744807561</t>
  </si>
  <si>
    <t>2178640</t>
  </si>
  <si>
    <t>699</t>
  </si>
  <si>
    <t>1013744806994</t>
  </si>
  <si>
    <t>APTO 52 BL ACQUA</t>
  </si>
  <si>
    <t>APO 52 BL ACQUA</t>
  </si>
  <si>
    <t>2178638</t>
  </si>
  <si>
    <t>1013744806993</t>
  </si>
  <si>
    <t>2178636</t>
  </si>
  <si>
    <t>28430032886</t>
  </si>
  <si>
    <t>1013744806992</t>
  </si>
  <si>
    <t>2178632</t>
  </si>
  <si>
    <t>28172945809</t>
  </si>
  <si>
    <t>1013744806991</t>
  </si>
  <si>
    <t>2178597</t>
  </si>
  <si>
    <t>45258665860</t>
  </si>
  <si>
    <t>683</t>
  </si>
  <si>
    <t>1013744806834</t>
  </si>
  <si>
    <t>BLOCO LIRIO  AP1</t>
  </si>
  <si>
    <t>BL LIRIO  AP1</t>
  </si>
  <si>
    <t>2178594</t>
  </si>
  <si>
    <t>1013744806833</t>
  </si>
  <si>
    <t>2178590</t>
  </si>
  <si>
    <t>26177593852</t>
  </si>
  <si>
    <t>1013744806832</t>
  </si>
  <si>
    <t>2178584</t>
  </si>
  <si>
    <t>27892421866</t>
  </si>
  <si>
    <t>1013744806831</t>
  </si>
  <si>
    <t>BLOCO LÍRIO - AP</t>
  </si>
  <si>
    <t>BL LÍRIO - AP</t>
  </si>
  <si>
    <t>2178572</t>
  </si>
  <si>
    <t>27823076810</t>
  </si>
  <si>
    <t>679</t>
  </si>
  <si>
    <t>1013744806791</t>
  </si>
  <si>
    <t>BLOCO 02 APTO 41</t>
  </si>
  <si>
    <t>BL 02 APTO 41</t>
  </si>
  <si>
    <t>2178567</t>
  </si>
  <si>
    <t>27833702803</t>
  </si>
  <si>
    <t>675</t>
  </si>
  <si>
    <t>1013744806752</t>
  </si>
  <si>
    <t>APTO 343 BLOCO A</t>
  </si>
  <si>
    <t>APTO 343 BL A</t>
  </si>
  <si>
    <t>2178551</t>
  </si>
  <si>
    <t>652</t>
  </si>
  <si>
    <t>1013744806522</t>
  </si>
  <si>
    <t>APTO 22 ED SANTA</t>
  </si>
  <si>
    <t>APO 22 ED SANTA</t>
  </si>
  <si>
    <t>2178542</t>
  </si>
  <si>
    <t>648</t>
  </si>
  <si>
    <t>1013744806482</t>
  </si>
  <si>
    <t>APT 42B CJ HABIT</t>
  </si>
  <si>
    <t>AP 42B CJ HABIT</t>
  </si>
  <si>
    <t>2178538</t>
  </si>
  <si>
    <t>27187447825</t>
  </si>
  <si>
    <t>1013744806481</t>
  </si>
  <si>
    <t>2178523</t>
  </si>
  <si>
    <t>644</t>
  </si>
  <si>
    <t>1013744806443</t>
  </si>
  <si>
    <t>APART 56 TORRE 1</t>
  </si>
  <si>
    <t>APART 56 T. 1</t>
  </si>
  <si>
    <t>2178521</t>
  </si>
  <si>
    <t>29753680899</t>
  </si>
  <si>
    <t>1013744806442</t>
  </si>
  <si>
    <t>2178515</t>
  </si>
  <si>
    <t>26479555813</t>
  </si>
  <si>
    <t>640</t>
  </si>
  <si>
    <t>1013744806402</t>
  </si>
  <si>
    <t>APARTAMENTO 33 E</t>
  </si>
  <si>
    <t>AP 33 E</t>
  </si>
  <si>
    <t>2171238</t>
  </si>
  <si>
    <t>30827317832</t>
  </si>
  <si>
    <t>20002005</t>
  </si>
  <si>
    <t>238</t>
  </si>
  <si>
    <t>200020052381</t>
  </si>
  <si>
    <t>APTO 113 TORRE A</t>
  </si>
  <si>
    <t>APO 113 TORRE A</t>
  </si>
  <si>
    <t>2171241</t>
  </si>
  <si>
    <t>35167864852</t>
  </si>
  <si>
    <t>200020052382</t>
  </si>
  <si>
    <t>AC 4 BL 24 AP 22</t>
  </si>
  <si>
    <t>AC 4 B 24 AP 22</t>
  </si>
  <si>
    <t>2178512</t>
  </si>
  <si>
    <t>26980268805</t>
  </si>
  <si>
    <t>1013744806401</t>
  </si>
  <si>
    <t>2178482</t>
  </si>
  <si>
    <t>29329032842</t>
  </si>
  <si>
    <t>629</t>
  </si>
  <si>
    <t>1013744806292</t>
  </si>
  <si>
    <t>T.INGA - AP.1101</t>
  </si>
  <si>
    <t>T INGA AP 1101</t>
  </si>
  <si>
    <t>2178465</t>
  </si>
  <si>
    <t>612</t>
  </si>
  <si>
    <t>1013744806124</t>
  </si>
  <si>
    <t>APTO 122 BAHAMAS</t>
  </si>
  <si>
    <t>APO 122 BAHAMAS</t>
  </si>
  <si>
    <t>2178461</t>
  </si>
  <si>
    <t>1013744806123</t>
  </si>
  <si>
    <t>2178457</t>
  </si>
  <si>
    <t>22686543892</t>
  </si>
  <si>
    <t>1013744806122</t>
  </si>
  <si>
    <t>2178451</t>
  </si>
  <si>
    <t>26203280801</t>
  </si>
  <si>
    <t>1013744806121</t>
  </si>
  <si>
    <t>2178418</t>
  </si>
  <si>
    <t>25981147873</t>
  </si>
  <si>
    <t>603</t>
  </si>
  <si>
    <t>1013744806031</t>
  </si>
  <si>
    <t>BLOCO 09 APTO 31</t>
  </si>
  <si>
    <t>BL 09 APTO 31</t>
  </si>
  <si>
    <t>2178346</t>
  </si>
  <si>
    <t>579</t>
  </si>
  <si>
    <t>1013744805794</t>
  </si>
  <si>
    <t>APTO 181 RESIDEN</t>
  </si>
  <si>
    <t>APO 181 RESIDEN</t>
  </si>
  <si>
    <t>2178344</t>
  </si>
  <si>
    <t>1013744805793</t>
  </si>
  <si>
    <t>2178342</t>
  </si>
  <si>
    <t>22229860879</t>
  </si>
  <si>
    <t>1013744805792</t>
  </si>
  <si>
    <t>2178337</t>
  </si>
  <si>
    <t>24973540811</t>
  </si>
  <si>
    <t>1013744805791</t>
  </si>
  <si>
    <t>2178336</t>
  </si>
  <si>
    <t>577</t>
  </si>
  <si>
    <t>1013744805773</t>
  </si>
  <si>
    <t>APTO 121 BLOCO B</t>
  </si>
  <si>
    <t>APTO 121 BL B</t>
  </si>
  <si>
    <t>2178334</t>
  </si>
  <si>
    <t>28561698802</t>
  </si>
  <si>
    <t>1013744805772</t>
  </si>
  <si>
    <t>2178330</t>
  </si>
  <si>
    <t>24909899871</t>
  </si>
  <si>
    <t>1013744805771</t>
  </si>
  <si>
    <t>2178326</t>
  </si>
  <si>
    <t>56212721882</t>
  </si>
  <si>
    <t>559</t>
  </si>
  <si>
    <t>1013744805593</t>
  </si>
  <si>
    <t>APTO 41 TORRE 02</t>
  </si>
  <si>
    <t>APO 41 TORRE 02</t>
  </si>
  <si>
    <t>2178324</t>
  </si>
  <si>
    <t>30938796801</t>
  </si>
  <si>
    <t>1013744805592</t>
  </si>
  <si>
    <t>2178320</t>
  </si>
  <si>
    <t>22914653840</t>
  </si>
  <si>
    <t>1013744805591</t>
  </si>
  <si>
    <t>2178319</t>
  </si>
  <si>
    <t>34033598839</t>
  </si>
  <si>
    <t>558</t>
  </si>
  <si>
    <t>1013744805582</t>
  </si>
  <si>
    <t>AP 262  BL BOA V</t>
  </si>
  <si>
    <t>AP 262  B BOA V</t>
  </si>
  <si>
    <t>2178316</t>
  </si>
  <si>
    <t>22826586807</t>
  </si>
  <si>
    <t>555</t>
  </si>
  <si>
    <t>1013744805551</t>
  </si>
  <si>
    <t>AP. 17 - TORRE 3</t>
  </si>
  <si>
    <t>AP. 17 - T. 3</t>
  </si>
  <si>
    <t>2178312</t>
  </si>
  <si>
    <t>553</t>
  </si>
  <si>
    <t>1013744805533</t>
  </si>
  <si>
    <t>APTO 53  BLOCO B</t>
  </si>
  <si>
    <t>APTO 53  BL B</t>
  </si>
  <si>
    <t>2171338</t>
  </si>
  <si>
    <t>01773079190</t>
  </si>
  <si>
    <t>20002132</t>
  </si>
  <si>
    <t>20002132701</t>
  </si>
  <si>
    <t>G PARK BLI AP113</t>
  </si>
  <si>
    <t>G PARK BI AP113</t>
  </si>
  <si>
    <t>2178310</t>
  </si>
  <si>
    <t>33202520890</t>
  </si>
  <si>
    <t>1013744805532</t>
  </si>
  <si>
    <t>2178284</t>
  </si>
  <si>
    <t>56641186873</t>
  </si>
  <si>
    <t>529</t>
  </si>
  <si>
    <t>1013744805293</t>
  </si>
  <si>
    <t>APARTAMENTO 53 T</t>
  </si>
  <si>
    <t>AP 53 T</t>
  </si>
  <si>
    <t>2178282</t>
  </si>
  <si>
    <t>32791809880</t>
  </si>
  <si>
    <t>1013744805292</t>
  </si>
  <si>
    <t>APARTAMENTO 53 B</t>
  </si>
  <si>
    <t>AP 53 B</t>
  </si>
  <si>
    <t>2178279</t>
  </si>
  <si>
    <t>22441032852</t>
  </si>
  <si>
    <t>1013744805291</t>
  </si>
  <si>
    <t>2178261</t>
  </si>
  <si>
    <t>22099473838</t>
  </si>
  <si>
    <t>516</t>
  </si>
  <si>
    <t>1013744805161</t>
  </si>
  <si>
    <t>AP 103 EDIFICIO:</t>
  </si>
  <si>
    <t>AP 103 EDIFICIO</t>
  </si>
  <si>
    <t>2178242</t>
  </si>
  <si>
    <t>500</t>
  </si>
  <si>
    <t>1013744805003</t>
  </si>
  <si>
    <t>APARTAMENTO 62 B</t>
  </si>
  <si>
    <t>AP 62 B</t>
  </si>
  <si>
    <t>2178238</t>
  </si>
  <si>
    <t>38705606810</t>
  </si>
  <si>
    <t>1013744805002</t>
  </si>
  <si>
    <t>2178232</t>
  </si>
  <si>
    <t>21362268860</t>
  </si>
  <si>
    <t>1013744805001</t>
  </si>
  <si>
    <t>2178230</t>
  </si>
  <si>
    <t>498</t>
  </si>
  <si>
    <t>1013744804983</t>
  </si>
  <si>
    <t>TORRE DALIA APTO</t>
  </si>
  <si>
    <t>TORRE DALIA APO</t>
  </si>
  <si>
    <t>2178224</t>
  </si>
  <si>
    <t>21319439896</t>
  </si>
  <si>
    <t>1013744804981</t>
  </si>
  <si>
    <t>T. DALIA APTO102</t>
  </si>
  <si>
    <t>T. DALIA APO102</t>
  </si>
  <si>
    <t>2178132</t>
  </si>
  <si>
    <t>435</t>
  </si>
  <si>
    <t>1013744804354</t>
  </si>
  <si>
    <t>APTO 192 TORRE C</t>
  </si>
  <si>
    <t>APO 192 TORRE C</t>
  </si>
  <si>
    <t>2178128</t>
  </si>
  <si>
    <t>1013744804353</t>
  </si>
  <si>
    <t>2178124</t>
  </si>
  <si>
    <t>34252047854</t>
  </si>
  <si>
    <t>1013744804352</t>
  </si>
  <si>
    <t>2178118</t>
  </si>
  <si>
    <t>17018150876</t>
  </si>
  <si>
    <t>1013744804351</t>
  </si>
  <si>
    <t>2178055</t>
  </si>
  <si>
    <t>15533539867</t>
  </si>
  <si>
    <t>404</t>
  </si>
  <si>
    <t>1013744804041</t>
  </si>
  <si>
    <t>ESTANCIA NOBLESE</t>
  </si>
  <si>
    <t>ESTANCIA NOBESE</t>
  </si>
  <si>
    <t>2177902</t>
  </si>
  <si>
    <t>292</t>
  </si>
  <si>
    <t>1013744802924</t>
  </si>
  <si>
    <t>APTO 33 BL ORION</t>
  </si>
  <si>
    <t>APO 33 BL ORION</t>
  </si>
  <si>
    <t>2171412</t>
  </si>
  <si>
    <t>38582282818</t>
  </si>
  <si>
    <t>20002305</t>
  </si>
  <si>
    <t>2000230581</t>
  </si>
  <si>
    <t>APTO 44 BL JULIA</t>
  </si>
  <si>
    <t>APO 44 BL JULIA</t>
  </si>
  <si>
    <t>2177900</t>
  </si>
  <si>
    <t>47029952863</t>
  </si>
  <si>
    <t>1013744802923</t>
  </si>
  <si>
    <t>2177896</t>
  </si>
  <si>
    <t>11604036869</t>
  </si>
  <si>
    <t>1013744802921</t>
  </si>
  <si>
    <t>2171436</t>
  </si>
  <si>
    <t>27167152897</t>
  </si>
  <si>
    <t>20002354</t>
  </si>
  <si>
    <t>24</t>
  </si>
  <si>
    <t>20002354241</t>
  </si>
  <si>
    <t>BLOCO 13 APTO 23</t>
  </si>
  <si>
    <t>BL 13 APTO 23</t>
  </si>
  <si>
    <t>2177798</t>
  </si>
  <si>
    <t>210</t>
  </si>
  <si>
    <t>1013744802104</t>
  </si>
  <si>
    <t>AP 34  TORRE EMO</t>
  </si>
  <si>
    <t>AP 34  T. EMO</t>
  </si>
  <si>
    <t>2177796</t>
  </si>
  <si>
    <t>04190997862</t>
  </si>
  <si>
    <t>1013744802102</t>
  </si>
  <si>
    <t>2177769</t>
  </si>
  <si>
    <t>202</t>
  </si>
  <si>
    <t>1013744802024</t>
  </si>
  <si>
    <t>BLOCO 1 APRTAMEN</t>
  </si>
  <si>
    <t>BL 1 APRTAMEN</t>
  </si>
  <si>
    <t>2177767</t>
  </si>
  <si>
    <t>1013744802023</t>
  </si>
  <si>
    <t>2177763</t>
  </si>
  <si>
    <t>08344032776</t>
  </si>
  <si>
    <t>1013744802022</t>
  </si>
  <si>
    <t>2177758</t>
  </si>
  <si>
    <t>07332958783</t>
  </si>
  <si>
    <t>1013744802021</t>
  </si>
  <si>
    <t>2177675</t>
  </si>
  <si>
    <t>21301750824</t>
  </si>
  <si>
    <t>143</t>
  </si>
  <si>
    <t>1013744801432</t>
  </si>
  <si>
    <t>AP 174 T COZUMEL</t>
  </si>
  <si>
    <t>AP 174 T COZUME</t>
  </si>
  <si>
    <t>2171564</t>
  </si>
  <si>
    <t>19848661840</t>
  </si>
  <si>
    <t>20002434</t>
  </si>
  <si>
    <t>200024342021</t>
  </si>
  <si>
    <t>APTO 104 BL TIVO</t>
  </si>
  <si>
    <t>APO 104 BL TIVO</t>
  </si>
  <si>
    <t>2171566</t>
  </si>
  <si>
    <t>15393462859</t>
  </si>
  <si>
    <t>200024342022</t>
  </si>
  <si>
    <t>2177454</t>
  </si>
  <si>
    <t>93579993100</t>
  </si>
  <si>
    <t>20011504</t>
  </si>
  <si>
    <t>20011504153</t>
  </si>
  <si>
    <t>CONJ. 18 LOTE 19</t>
  </si>
  <si>
    <t>CONJ. 18 LT 19</t>
  </si>
  <si>
    <t>2177438</t>
  </si>
  <si>
    <t>2001150462</t>
  </si>
  <si>
    <t>418 UNIV EST GOI</t>
  </si>
  <si>
    <t>418 UNIV EST GO</t>
  </si>
  <si>
    <t>2177436</t>
  </si>
  <si>
    <t>95109722153</t>
  </si>
  <si>
    <t>2001150461</t>
  </si>
  <si>
    <t>2177417</t>
  </si>
  <si>
    <t>14905544831</t>
  </si>
  <si>
    <t>20011493</t>
  </si>
  <si>
    <t>20011493351</t>
  </si>
  <si>
    <t>AP 141 BL 4 AMET</t>
  </si>
  <si>
    <t>AP 141 B 4 AMET</t>
  </si>
  <si>
    <t>2177409</t>
  </si>
  <si>
    <t>21853026808</t>
  </si>
  <si>
    <t>20011421</t>
  </si>
  <si>
    <t>28</t>
  </si>
  <si>
    <t>20011421281</t>
  </si>
  <si>
    <t>APTO 41 TORRE 17</t>
  </si>
  <si>
    <t>APO 41 TORRE 17</t>
  </si>
  <si>
    <t>2177362</t>
  </si>
  <si>
    <t>01780776233</t>
  </si>
  <si>
    <t>20011349</t>
  </si>
  <si>
    <t>222</t>
  </si>
  <si>
    <t>200113492221</t>
  </si>
  <si>
    <t>APTO 103 TORRE A</t>
  </si>
  <si>
    <t>APO 103 TORRE A</t>
  </si>
  <si>
    <t>2177269</t>
  </si>
  <si>
    <t>30808758187</t>
  </si>
  <si>
    <t>20011175</t>
  </si>
  <si>
    <t>2001117573</t>
  </si>
  <si>
    <t>LT 04 ED. MIRANT</t>
  </si>
  <si>
    <t>LT 04 ED MIRANT</t>
  </si>
  <si>
    <t>2177268</t>
  </si>
  <si>
    <t>78052734134</t>
  </si>
  <si>
    <t>2001117572</t>
  </si>
  <si>
    <t>2177265</t>
  </si>
  <si>
    <t>2001117571</t>
  </si>
  <si>
    <t>2177137</t>
  </si>
  <si>
    <t>54502830836</t>
  </si>
  <si>
    <t>20010857</t>
  </si>
  <si>
    <t>2001085734</t>
  </si>
  <si>
    <t>APTO 242 TORRE C</t>
  </si>
  <si>
    <t>APO 242 TORRE C</t>
  </si>
  <si>
    <t>2177072</t>
  </si>
  <si>
    <t>00673821188</t>
  </si>
  <si>
    <t>20010584</t>
  </si>
  <si>
    <t>23</t>
  </si>
  <si>
    <t>20010584231</t>
  </si>
  <si>
    <t>LOTE 20 APTO 305</t>
  </si>
  <si>
    <t>LOTE 20 APO 305</t>
  </si>
  <si>
    <t>2177067</t>
  </si>
  <si>
    <t>44387817879</t>
  </si>
  <si>
    <t>20010577</t>
  </si>
  <si>
    <t>2001057713</t>
  </si>
  <si>
    <t>AP 172 - TORRE B</t>
  </si>
  <si>
    <t>AP 172 - T. B</t>
  </si>
  <si>
    <t>2177066</t>
  </si>
  <si>
    <t>02642054993</t>
  </si>
  <si>
    <t>2001057712</t>
  </si>
  <si>
    <t>2177062</t>
  </si>
  <si>
    <t>29501869806</t>
  </si>
  <si>
    <t>2001057711</t>
  </si>
  <si>
    <t>2177061</t>
  </si>
  <si>
    <t>43634636866</t>
  </si>
  <si>
    <t>20010550</t>
  </si>
  <si>
    <t>2001055013</t>
  </si>
  <si>
    <t>TORRE G2 APTO143</t>
  </si>
  <si>
    <t>TORRE G2 APO143</t>
  </si>
  <si>
    <t>2177059</t>
  </si>
  <si>
    <t>26370868825</t>
  </si>
  <si>
    <t>2001055012</t>
  </si>
  <si>
    <t>2177056</t>
  </si>
  <si>
    <t>27340331867</t>
  </si>
  <si>
    <t>2001055011</t>
  </si>
  <si>
    <t>2176887</t>
  </si>
  <si>
    <t>39523771809</t>
  </si>
  <si>
    <t>20010131</t>
  </si>
  <si>
    <t>126</t>
  </si>
  <si>
    <t>200101311261</t>
  </si>
  <si>
    <t>APTO 171 TORRE 1</t>
  </si>
  <si>
    <t>APO 171 TORRE 1</t>
  </si>
  <si>
    <t>2176803</t>
  </si>
  <si>
    <t>29536541866</t>
  </si>
  <si>
    <t>20010073</t>
  </si>
  <si>
    <t>2001007361</t>
  </si>
  <si>
    <t>APTO 24 TPRRE GR</t>
  </si>
  <si>
    <t>APO 24 TPRRE GR</t>
  </si>
  <si>
    <t>2176765</t>
  </si>
  <si>
    <t>01404995803</t>
  </si>
  <si>
    <t>20010024</t>
  </si>
  <si>
    <t>20010024171</t>
  </si>
  <si>
    <t>MORADA DOS LAGOS</t>
  </si>
  <si>
    <t>MOR DOS LAGOS</t>
  </si>
  <si>
    <t>2176695</t>
  </si>
  <si>
    <t>21490811800</t>
  </si>
  <si>
    <t>20009804</t>
  </si>
  <si>
    <t>135</t>
  </si>
  <si>
    <t>200098041351</t>
  </si>
  <si>
    <t>APTO 141 BL NOIR</t>
  </si>
  <si>
    <t>APO 141 BL NOIR</t>
  </si>
  <si>
    <t>2176693</t>
  </si>
  <si>
    <t>36773067871</t>
  </si>
  <si>
    <t>124</t>
  </si>
  <si>
    <t>200098041241</t>
  </si>
  <si>
    <t>APTO 125 TORRE 3</t>
  </si>
  <si>
    <t>APO 125 TORRE 3</t>
  </si>
  <si>
    <t>2176604</t>
  </si>
  <si>
    <t>28444407895</t>
  </si>
  <si>
    <t>20009474</t>
  </si>
  <si>
    <t>20009474661</t>
  </si>
  <si>
    <t>APTO 13  BLOCO 5</t>
  </si>
  <si>
    <t>APTO 13  BL 5</t>
  </si>
  <si>
    <t>2176593</t>
  </si>
  <si>
    <t>27171644804</t>
  </si>
  <si>
    <t>2000947422</t>
  </si>
  <si>
    <t>AP34 -EDF MARINA</t>
  </si>
  <si>
    <t>AP34 -ED MARINA</t>
  </si>
  <si>
    <t>2176588</t>
  </si>
  <si>
    <t>20105496863</t>
  </si>
  <si>
    <t>20009409</t>
  </si>
  <si>
    <t>2000940922</t>
  </si>
  <si>
    <t>JARDIM DA GLORIA</t>
  </si>
  <si>
    <t>JD DA GLORIA</t>
  </si>
  <si>
    <t>2176586</t>
  </si>
  <si>
    <t>14070384863</t>
  </si>
  <si>
    <t>2000940921</t>
  </si>
  <si>
    <t>2176558</t>
  </si>
  <si>
    <t>22774039894</t>
  </si>
  <si>
    <t>20009275</t>
  </si>
  <si>
    <t>2000927532</t>
  </si>
  <si>
    <t>AP 22 B ATLANTI</t>
  </si>
  <si>
    <t>2176555</t>
  </si>
  <si>
    <t>32837381810</t>
  </si>
  <si>
    <t>2000927531</t>
  </si>
  <si>
    <t>2176537</t>
  </si>
  <si>
    <t>20009233</t>
  </si>
  <si>
    <t>2000923364</t>
  </si>
  <si>
    <t>BLOCO 1 APTO 202</t>
  </si>
  <si>
    <t>BL 1 APTO 202</t>
  </si>
  <si>
    <t>2176528</t>
  </si>
  <si>
    <t>28629912871</t>
  </si>
  <si>
    <t>20009191</t>
  </si>
  <si>
    <t>2000919132</t>
  </si>
  <si>
    <t>BLOCO 8 APTO 114</t>
  </si>
  <si>
    <t>BL 8 APTO 114</t>
  </si>
  <si>
    <t>2176438</t>
  </si>
  <si>
    <t>01699128251</t>
  </si>
  <si>
    <t>20008676</t>
  </si>
  <si>
    <t>88</t>
  </si>
  <si>
    <t>20008676884</t>
  </si>
  <si>
    <t>LOTE 13 AAPTO 20</t>
  </si>
  <si>
    <t>LOTE 13 AAPO 20</t>
  </si>
  <si>
    <t>2171770</t>
  </si>
  <si>
    <t>43268366872</t>
  </si>
  <si>
    <t>20002648</t>
  </si>
  <si>
    <t>20002648221</t>
  </si>
  <si>
    <t>* BLOCO 2 AP 172</t>
  </si>
  <si>
    <t>BL 2 AP 172</t>
  </si>
  <si>
    <t>2176436</t>
  </si>
  <si>
    <t>01699129223</t>
  </si>
  <si>
    <t>20008676883</t>
  </si>
  <si>
    <t>2176434</t>
  </si>
  <si>
    <t>70988242249</t>
  </si>
  <si>
    <t>20008676882</t>
  </si>
  <si>
    <t>2176428</t>
  </si>
  <si>
    <t>77011961291</t>
  </si>
  <si>
    <t>20008676881</t>
  </si>
  <si>
    <t>2176160</t>
  </si>
  <si>
    <t>09714339766</t>
  </si>
  <si>
    <t>20007941</t>
  </si>
  <si>
    <t>107</t>
  </si>
  <si>
    <t>200079411071</t>
  </si>
  <si>
    <t>BLOCO 1 APTO 206</t>
  </si>
  <si>
    <t>BL 1 APTO 206</t>
  </si>
  <si>
    <t>2176040</t>
  </si>
  <si>
    <t>39111979852</t>
  </si>
  <si>
    <t>20007632</t>
  </si>
  <si>
    <t>50</t>
  </si>
  <si>
    <t>20007632501</t>
  </si>
  <si>
    <t>JD NOSSA SENHORA</t>
  </si>
  <si>
    <t>JD NS SENHORA</t>
  </si>
  <si>
    <t>2176034</t>
  </si>
  <si>
    <t>10345534611</t>
  </si>
  <si>
    <t>20007567</t>
  </si>
  <si>
    <t>161</t>
  </si>
  <si>
    <t>200075671611</t>
  </si>
  <si>
    <t>APTO 304 BLOCO 1</t>
  </si>
  <si>
    <t>APTO 304 BL 1</t>
  </si>
  <si>
    <t>2171823</t>
  </si>
  <si>
    <t>42140085884</t>
  </si>
  <si>
    <t>20002666</t>
  </si>
  <si>
    <t>200026661233</t>
  </si>
  <si>
    <t>TORRE 1 APTO 156</t>
  </si>
  <si>
    <t>TORRE 1 APO 156</t>
  </si>
  <si>
    <t>2176033</t>
  </si>
  <si>
    <t>16395084658</t>
  </si>
  <si>
    <t>156</t>
  </si>
  <si>
    <t>200075671563</t>
  </si>
  <si>
    <t>APARTAMENTO 4022</t>
  </si>
  <si>
    <t>AP 4022</t>
  </si>
  <si>
    <t>2176032</t>
  </si>
  <si>
    <t>06032531643</t>
  </si>
  <si>
    <t>200075671562</t>
  </si>
  <si>
    <t>2176029</t>
  </si>
  <si>
    <t>99314118649</t>
  </si>
  <si>
    <t>200075671561</t>
  </si>
  <si>
    <t>2175940</t>
  </si>
  <si>
    <t>75843200744</t>
  </si>
  <si>
    <t>20007369</t>
  </si>
  <si>
    <t>20007369121</t>
  </si>
  <si>
    <t>BLOCO 2 APTO 204</t>
  </si>
  <si>
    <t>BL 2 APTO 204</t>
  </si>
  <si>
    <t>2175925</t>
  </si>
  <si>
    <t>20007284</t>
  </si>
  <si>
    <t>2000728434</t>
  </si>
  <si>
    <t>APTO 403 - BL 09</t>
  </si>
  <si>
    <t>APO 403 - BL 09</t>
  </si>
  <si>
    <t>2175791</t>
  </si>
  <si>
    <t>00470951648</t>
  </si>
  <si>
    <t>20006962</t>
  </si>
  <si>
    <t>25</t>
  </si>
  <si>
    <t>20006962251</t>
  </si>
  <si>
    <t>17 ANDAR ALA A 1</t>
  </si>
  <si>
    <t>17 AND ALA A 1</t>
  </si>
  <si>
    <t>2175775</t>
  </si>
  <si>
    <t>39444551857</t>
  </si>
  <si>
    <t>20006936</t>
  </si>
  <si>
    <t>20006936311</t>
  </si>
  <si>
    <t>TORRE 3 APTO 178</t>
  </si>
  <si>
    <t>TORRE 3 APO 178</t>
  </si>
  <si>
    <t>2175677</t>
  </si>
  <si>
    <t>10835023877</t>
  </si>
  <si>
    <t>20006589</t>
  </si>
  <si>
    <t>136</t>
  </si>
  <si>
    <t>200065891361</t>
  </si>
  <si>
    <t>BLOCO 42 APTO 14</t>
  </si>
  <si>
    <t>BL 42 APTO 14</t>
  </si>
  <si>
    <t>2175424</t>
  </si>
  <si>
    <t>43119392804</t>
  </si>
  <si>
    <t>20006122</t>
  </si>
  <si>
    <t>2000612223</t>
  </si>
  <si>
    <t>APTO 271 T PAINE</t>
  </si>
  <si>
    <t>APO 271 T PAINE</t>
  </si>
  <si>
    <t>2175421</t>
  </si>
  <si>
    <t>56858485872</t>
  </si>
  <si>
    <t>2000612222</t>
  </si>
  <si>
    <t>2175418</t>
  </si>
  <si>
    <t>60760125104</t>
  </si>
  <si>
    <t>2000612221</t>
  </si>
  <si>
    <t>2175321</t>
  </si>
  <si>
    <t>75961032868</t>
  </si>
  <si>
    <t>20005969</t>
  </si>
  <si>
    <t>2000596922</t>
  </si>
  <si>
    <t>BLOCO   A  9º  A</t>
  </si>
  <si>
    <t>BL   A  9º  A</t>
  </si>
  <si>
    <t>2175319</t>
  </si>
  <si>
    <t>39960056872</t>
  </si>
  <si>
    <t>2000596921</t>
  </si>
  <si>
    <t>2175274</t>
  </si>
  <si>
    <t>85262323472</t>
  </si>
  <si>
    <t>20005848</t>
  </si>
  <si>
    <t>174</t>
  </si>
  <si>
    <t>200058481741</t>
  </si>
  <si>
    <t>LOTE 24 QUADRA B</t>
  </si>
  <si>
    <t>LT 24 QUADRA B</t>
  </si>
  <si>
    <t>2175228</t>
  </si>
  <si>
    <t>48973538829</t>
  </si>
  <si>
    <t>20005792</t>
  </si>
  <si>
    <t>48</t>
  </si>
  <si>
    <t>20005792481</t>
  </si>
  <si>
    <t>BLOCO 06 APTO 1A</t>
  </si>
  <si>
    <t>BL 06 APTO 1A</t>
  </si>
  <si>
    <t>2175196</t>
  </si>
  <si>
    <t>16903936882</t>
  </si>
  <si>
    <t>20005740</t>
  </si>
  <si>
    <t>19</t>
  </si>
  <si>
    <t>20005740193</t>
  </si>
  <si>
    <t>APTO 173 - BL. C</t>
  </si>
  <si>
    <t>APO 173 - BL. C</t>
  </si>
  <si>
    <t>2175194</t>
  </si>
  <si>
    <t>20005740192</t>
  </si>
  <si>
    <t>2175188</t>
  </si>
  <si>
    <t>20005740191</t>
  </si>
  <si>
    <t>2175147</t>
  </si>
  <si>
    <t>15362503766</t>
  </si>
  <si>
    <t>20005684</t>
  </si>
  <si>
    <t>2000568462</t>
  </si>
  <si>
    <t>BLOCO I - AP 303</t>
  </si>
  <si>
    <t>BL I - AP 303</t>
  </si>
  <si>
    <t>2175145</t>
  </si>
  <si>
    <t>08178723700</t>
  </si>
  <si>
    <t>2000568461</t>
  </si>
  <si>
    <t>2174934</t>
  </si>
  <si>
    <t>35532287848</t>
  </si>
  <si>
    <t>20005365</t>
  </si>
  <si>
    <t>200053651252</t>
  </si>
  <si>
    <t>APTO 163 TORRE 1</t>
  </si>
  <si>
    <t>APO 163 TORRE 1</t>
  </si>
  <si>
    <t>2174931</t>
  </si>
  <si>
    <t>34884083881</t>
  </si>
  <si>
    <t>200053651251</t>
  </si>
  <si>
    <t>2174779</t>
  </si>
  <si>
    <t>29092588822</t>
  </si>
  <si>
    <t>20005103</t>
  </si>
  <si>
    <t>304</t>
  </si>
  <si>
    <t>200051033041</t>
  </si>
  <si>
    <t>BLOCO 4 APTO 306</t>
  </si>
  <si>
    <t>BL 4 APTO 306</t>
  </si>
  <si>
    <t>2174700</t>
  </si>
  <si>
    <t>07553853143</t>
  </si>
  <si>
    <t>20004952</t>
  </si>
  <si>
    <t>2000495254</t>
  </si>
  <si>
    <t>AP 1502 ED VIA F</t>
  </si>
  <si>
    <t>AP 1502 ED V F</t>
  </si>
  <si>
    <t>2174698</t>
  </si>
  <si>
    <t>03998836659</t>
  </si>
  <si>
    <t>2000495253</t>
  </si>
  <si>
    <t>2174697</t>
  </si>
  <si>
    <t>2000495252</t>
  </si>
  <si>
    <t>2174689</t>
  </si>
  <si>
    <t>05567028679</t>
  </si>
  <si>
    <t>2000495251</t>
  </si>
  <si>
    <t>2174576</t>
  </si>
  <si>
    <t>02022731565</t>
  </si>
  <si>
    <t>20004475</t>
  </si>
  <si>
    <t>20004475692</t>
  </si>
  <si>
    <t>AP 2206 ED BROME</t>
  </si>
  <si>
    <t>AP 2206 ED BROM</t>
  </si>
  <si>
    <t>2174530</t>
  </si>
  <si>
    <t>05793502823</t>
  </si>
  <si>
    <t>20004453</t>
  </si>
  <si>
    <t>204</t>
  </si>
  <si>
    <t>200044532041</t>
  </si>
  <si>
    <t>E 12 CONJ SAO JT</t>
  </si>
  <si>
    <t>E 12 CJ SAO JT</t>
  </si>
  <si>
    <t>2174485</t>
  </si>
  <si>
    <t>20004354</t>
  </si>
  <si>
    <t>179</t>
  </si>
  <si>
    <t>200043541793</t>
  </si>
  <si>
    <t>TORRE 4 APTO 121</t>
  </si>
  <si>
    <t>TORRE 4 APO 121</t>
  </si>
  <si>
    <t>2174484</t>
  </si>
  <si>
    <t>85463299153</t>
  </si>
  <si>
    <t>200043541792</t>
  </si>
  <si>
    <t>2174481</t>
  </si>
  <si>
    <t>30647407841</t>
  </si>
  <si>
    <t>200043541791</t>
  </si>
  <si>
    <t>2174278</t>
  </si>
  <si>
    <t>08363369764</t>
  </si>
  <si>
    <t>20004123</t>
  </si>
  <si>
    <t>38</t>
  </si>
  <si>
    <t>20004123381</t>
  </si>
  <si>
    <t>APTO 51  TORRE E</t>
  </si>
  <si>
    <t>APO 51  TORRE E</t>
  </si>
  <si>
    <t>2174224</t>
  </si>
  <si>
    <t>26117012888</t>
  </si>
  <si>
    <t>20003998</t>
  </si>
  <si>
    <t>20003998451</t>
  </si>
  <si>
    <t>AP 163 TORRE MED</t>
  </si>
  <si>
    <t>AP 163 T. MED</t>
  </si>
  <si>
    <t>2174211</t>
  </si>
  <si>
    <t>26665245829</t>
  </si>
  <si>
    <t>20003996</t>
  </si>
  <si>
    <t>20003996291</t>
  </si>
  <si>
    <t>CJ 138 B AND. 13</t>
  </si>
  <si>
    <t>CJ 138 B AND 13</t>
  </si>
  <si>
    <t>2174210</t>
  </si>
  <si>
    <t>25845669820</t>
  </si>
  <si>
    <t>20003996281</t>
  </si>
  <si>
    <t>2174153</t>
  </si>
  <si>
    <t>29216859814</t>
  </si>
  <si>
    <t>20003888</t>
  </si>
  <si>
    <t>47</t>
  </si>
  <si>
    <t>20003888471</t>
  </si>
  <si>
    <t>BLC 2    APT 707</t>
  </si>
  <si>
    <t>BLC 2    AP 707</t>
  </si>
  <si>
    <t>2174135</t>
  </si>
  <si>
    <t>28315124846</t>
  </si>
  <si>
    <t>20003861</t>
  </si>
  <si>
    <t>200038613101</t>
  </si>
  <si>
    <t>AP 44    TORRE 5</t>
  </si>
  <si>
    <t>AP 44    T. 5</t>
  </si>
  <si>
    <t>2174132</t>
  </si>
  <si>
    <t>27566427890</t>
  </si>
  <si>
    <t>243</t>
  </si>
  <si>
    <t>200038612431</t>
  </si>
  <si>
    <t>BLOCO 1 NUMERO 2</t>
  </si>
  <si>
    <t>BL 1 NUMERO 2</t>
  </si>
  <si>
    <t>2172172</t>
  </si>
  <si>
    <t>12345964820</t>
  </si>
  <si>
    <t>20002954</t>
  </si>
  <si>
    <t>382</t>
  </si>
  <si>
    <t>200029543824</t>
  </si>
  <si>
    <t>RUA NERCIO NARDI</t>
  </si>
  <si>
    <t>2172189</t>
  </si>
  <si>
    <t>29025411800</t>
  </si>
  <si>
    <t>200029543971</t>
  </si>
  <si>
    <t>BLOCO 3 APTO 206</t>
  </si>
  <si>
    <t>BL 3 APTO 206</t>
  </si>
  <si>
    <t>2172196</t>
  </si>
  <si>
    <t>29624629870</t>
  </si>
  <si>
    <t>416</t>
  </si>
  <si>
    <t>200029544161</t>
  </si>
  <si>
    <t>APTO 125 TORRE 2</t>
  </si>
  <si>
    <t>APO 125 TORRE 2</t>
  </si>
  <si>
    <t>2172200</t>
  </si>
  <si>
    <t>08706111602</t>
  </si>
  <si>
    <t>200029544162</t>
  </si>
  <si>
    <t>2172202</t>
  </si>
  <si>
    <t>55460490812</t>
  </si>
  <si>
    <t>200029544163</t>
  </si>
  <si>
    <t>2172203</t>
  </si>
  <si>
    <t>05735241818</t>
  </si>
  <si>
    <t>418</t>
  </si>
  <si>
    <t>200029544181</t>
  </si>
  <si>
    <t>BLOCO 2 APTO 907</t>
  </si>
  <si>
    <t>BL 2 APTO 907</t>
  </si>
  <si>
    <t>2172206</t>
  </si>
  <si>
    <t>19699920858</t>
  </si>
  <si>
    <t>200029544182</t>
  </si>
  <si>
    <t>2172207</t>
  </si>
  <si>
    <t>39626247835</t>
  </si>
  <si>
    <t>200029544183</t>
  </si>
  <si>
    <t>2174093</t>
  </si>
  <si>
    <t>57358608879</t>
  </si>
  <si>
    <t>20003861214</t>
  </si>
  <si>
    <t>15 ANDAR SALA151</t>
  </si>
  <si>
    <t>15 AND SALA151</t>
  </si>
  <si>
    <t>2174008</t>
  </si>
  <si>
    <t>15358629807</t>
  </si>
  <si>
    <t>20003820</t>
  </si>
  <si>
    <t>2000382043</t>
  </si>
  <si>
    <t>10 ANDR CONJ 101</t>
  </si>
  <si>
    <t>10 AND CONJ 101</t>
  </si>
  <si>
    <t>2172250</t>
  </si>
  <si>
    <t>08946804637</t>
  </si>
  <si>
    <t>20002974</t>
  </si>
  <si>
    <t>20002974261</t>
  </si>
  <si>
    <t>BLOCO 2 APTO 303</t>
  </si>
  <si>
    <t>BL 2 APTO 303</t>
  </si>
  <si>
    <t>2172286</t>
  </si>
  <si>
    <t>46073856890</t>
  </si>
  <si>
    <t>20003004</t>
  </si>
  <si>
    <t>81</t>
  </si>
  <si>
    <t>20003004811</t>
  </si>
  <si>
    <t>JARDIM MONTE KEM</t>
  </si>
  <si>
    <t>JD MONTE KEM</t>
  </si>
  <si>
    <t>2174003</t>
  </si>
  <si>
    <t>2000382042</t>
  </si>
  <si>
    <t>2173996</t>
  </si>
  <si>
    <t>2000382041</t>
  </si>
  <si>
    <t>2173994</t>
  </si>
  <si>
    <t>02283620830</t>
  </si>
  <si>
    <t>2000382021</t>
  </si>
  <si>
    <t>CONJ 101 10 ANDA</t>
  </si>
  <si>
    <t>CJ 101 10 ANDA</t>
  </si>
  <si>
    <t>2173839</t>
  </si>
  <si>
    <t>14496672871</t>
  </si>
  <si>
    <t>20003726</t>
  </si>
  <si>
    <t>40</t>
  </si>
  <si>
    <t>20003726401</t>
  </si>
  <si>
    <t>APTO 04 BLOCO 08</t>
  </si>
  <si>
    <t>APTO 04 BL 08</t>
  </si>
  <si>
    <t>2173790</t>
  </si>
  <si>
    <t>28049874850</t>
  </si>
  <si>
    <t>20003713</t>
  </si>
  <si>
    <t>2000371344</t>
  </si>
  <si>
    <t>T. MARESIAS AP63</t>
  </si>
  <si>
    <t>T MARESIAS AP63</t>
  </si>
  <si>
    <t>2173786</t>
  </si>
  <si>
    <t>2000371343</t>
  </si>
  <si>
    <t>2173780</t>
  </si>
  <si>
    <t>2000371341</t>
  </si>
  <si>
    <t>2173618</t>
  </si>
  <si>
    <t>36533170880</t>
  </si>
  <si>
    <t>20003611</t>
  </si>
  <si>
    <t>200036113821</t>
  </si>
  <si>
    <t>APTO 1102 TORRE1</t>
  </si>
  <si>
    <t>APO 1102 TORRE1</t>
  </si>
  <si>
    <t>2173542</t>
  </si>
  <si>
    <t>34650313856</t>
  </si>
  <si>
    <t>178</t>
  </si>
  <si>
    <t>200036111783</t>
  </si>
  <si>
    <t>TORRE BUZIOS APT</t>
  </si>
  <si>
    <t>TORRE BUZIOS AP</t>
  </si>
  <si>
    <t>2173541</t>
  </si>
  <si>
    <t>200036111782</t>
  </si>
  <si>
    <t>2173537</t>
  </si>
  <si>
    <t>28559151800</t>
  </si>
  <si>
    <t>200036111781</t>
  </si>
  <si>
    <t>2173421</t>
  </si>
  <si>
    <t>08901658151</t>
  </si>
  <si>
    <t>20003572</t>
  </si>
  <si>
    <t>2000357244</t>
  </si>
  <si>
    <t>BL M AP 708 LT C</t>
  </si>
  <si>
    <t>B M AP 708 LT C</t>
  </si>
  <si>
    <t>2173366</t>
  </si>
  <si>
    <t>29725254856</t>
  </si>
  <si>
    <t>20003546</t>
  </si>
  <si>
    <t>1265</t>
  </si>
  <si>
    <t>2000354612652</t>
  </si>
  <si>
    <t>TP4 PRATICE CLUB</t>
  </si>
  <si>
    <t>TP4 PRATICE CLU</t>
  </si>
  <si>
    <t>2173364</t>
  </si>
  <si>
    <t>37772656831</t>
  </si>
  <si>
    <t>2000354612651</t>
  </si>
  <si>
    <t>2173258</t>
  </si>
  <si>
    <t>28726475898</t>
  </si>
  <si>
    <t>660</t>
  </si>
  <si>
    <t>200035466602</t>
  </si>
  <si>
    <t>AP 61 BL A EXCEL</t>
  </si>
  <si>
    <t>AP 61 B A EXCEL</t>
  </si>
  <si>
    <t>2173179</t>
  </si>
  <si>
    <t>03761297513</t>
  </si>
  <si>
    <t>347</t>
  </si>
  <si>
    <t>200035463473</t>
  </si>
  <si>
    <t>EDIFICIL CRISTAL</t>
  </si>
  <si>
    <t>ED CRISTAL</t>
  </si>
  <si>
    <t>2172878</t>
  </si>
  <si>
    <t>41990693806</t>
  </si>
  <si>
    <t>76</t>
  </si>
  <si>
    <t>20003546762</t>
  </si>
  <si>
    <t>BLOCO 3 APTO 702</t>
  </si>
  <si>
    <t>BL 3 APTO 702</t>
  </si>
  <si>
    <t>2172876</t>
  </si>
  <si>
    <t>30327143894</t>
  </si>
  <si>
    <t>20003546761</t>
  </si>
  <si>
    <t>2172778</t>
  </si>
  <si>
    <t>43447461802</t>
  </si>
  <si>
    <t>20003509</t>
  </si>
  <si>
    <t>186</t>
  </si>
  <si>
    <t>200035091861</t>
  </si>
  <si>
    <t>BLOCO A9 APTO 24</t>
  </si>
  <si>
    <t>BL A9 APTO 24</t>
  </si>
  <si>
    <t>2172776</t>
  </si>
  <si>
    <t>40458496880</t>
  </si>
  <si>
    <t>175</t>
  </si>
  <si>
    <t>200035091751</t>
  </si>
  <si>
    <t>RESIDENCIAL GENE</t>
  </si>
  <si>
    <t>RES GENE</t>
  </si>
  <si>
    <t>2172771</t>
  </si>
  <si>
    <t>28722968830</t>
  </si>
  <si>
    <t>200035091262</t>
  </si>
  <si>
    <t>APTO 163 BLOCO 1</t>
  </si>
  <si>
    <t>APTO 163 BL 1</t>
  </si>
  <si>
    <t>2172767</t>
  </si>
  <si>
    <t>76290883615</t>
  </si>
  <si>
    <t>200035091261</t>
  </si>
  <si>
    <t>2172752</t>
  </si>
  <si>
    <t>37824393844</t>
  </si>
  <si>
    <t>20003509354</t>
  </si>
  <si>
    <t>11º AND CONJ 112</t>
  </si>
  <si>
    <t>11 AND CONJ 112</t>
  </si>
  <si>
    <t>2172679</t>
  </si>
  <si>
    <t>12273783515</t>
  </si>
  <si>
    <t>20003450</t>
  </si>
  <si>
    <t>20003450181</t>
  </si>
  <si>
    <t>LJ 7 JAGUARIBE I</t>
  </si>
  <si>
    <t>L 7 JAGUARIBE I</t>
  </si>
  <si>
    <t>2169036</t>
  </si>
  <si>
    <t>07391607886</t>
  </si>
  <si>
    <t>20000148</t>
  </si>
  <si>
    <t>2000014881</t>
  </si>
  <si>
    <t>[NOME MAE] - Nome da Mãe do beneficiário contém caracteres especiais.</t>
  </si>
  <si>
    <t>CONCEPCIÓN PELAEZ DE VAZQUEZ</t>
  </si>
  <si>
    <t>CONCEPCION PELAEZ DE VAZQUEZ</t>
  </si>
  <si>
    <t>Caracter_Especial</t>
  </si>
  <si>
    <t>Gestão de Clientes</t>
  </si>
  <si>
    <t>2185064</t>
  </si>
  <si>
    <t>111597124</t>
  </si>
  <si>
    <t>11159712433</t>
  </si>
  <si>
    <t>MARINA CONDE ASSUNPCAO PUPO NOGUEIRA</t>
  </si>
  <si>
    <t>2184809</t>
  </si>
  <si>
    <t>45419762854</t>
  </si>
  <si>
    <t>111336441</t>
  </si>
  <si>
    <t>11133644113</t>
  </si>
  <si>
    <t>FABOPÇA MASSAR BERRINGER</t>
  </si>
  <si>
    <t>FABOPCA MASSAR BERRINGER</t>
  </si>
  <si>
    <t>2169059</t>
  </si>
  <si>
    <t>28504677826</t>
  </si>
  <si>
    <t>20000176</t>
  </si>
  <si>
    <t>2000017681</t>
  </si>
  <si>
    <t>CX. POSTAL</t>
  </si>
  <si>
    <t/>
  </si>
  <si>
    <t>2184795</t>
  </si>
  <si>
    <t>111322744</t>
  </si>
  <si>
    <t>11132274433</t>
  </si>
  <si>
    <t>11 981419031</t>
  </si>
  <si>
    <t>2184693</t>
  </si>
  <si>
    <t>111190044</t>
  </si>
  <si>
    <t>11119004423</t>
  </si>
  <si>
    <t>ANGELA     MARIA     MOREIRA</t>
  </si>
  <si>
    <t>ANGELA MARIA MOREIRA</t>
  </si>
  <si>
    <t>2184566</t>
  </si>
  <si>
    <t>16102182723</t>
  </si>
  <si>
    <t>111037468</t>
  </si>
  <si>
    <t>11103746814</t>
  </si>
  <si>
    <t>MARCIA NAXARE GOMES LI,</t>
  </si>
  <si>
    <t>MARCIA NAXARE GOMES LI</t>
  </si>
  <si>
    <t>2184544</t>
  </si>
  <si>
    <t>33904166840</t>
  </si>
  <si>
    <t>110950494</t>
  </si>
  <si>
    <t>110950494111</t>
  </si>
  <si>
    <t>HARLY GONÇALVES DOS SANTOS DE ANDRADE</t>
  </si>
  <si>
    <t>HARLY GONCALVES DOS SANTOS DE ANDRADE</t>
  </si>
  <si>
    <t>2184313</t>
  </si>
  <si>
    <t>06572255840</t>
  </si>
  <si>
    <t>110782291</t>
  </si>
  <si>
    <t>11078229121</t>
  </si>
  <si>
    <t>EDISONJR@SOTOMANO.COM</t>
  </si>
  <si>
    <t>2184094</t>
  </si>
  <si>
    <t>89132963491</t>
  </si>
  <si>
    <t>110344661</t>
  </si>
  <si>
    <t>11034466191</t>
  </si>
  <si>
    <t>MARIA DA GLÓRIA ALEXANDRE MEDEIROS</t>
  </si>
  <si>
    <t>MARIA DA GLORIA ALEXANDRE MEDEIROS</t>
  </si>
  <si>
    <t>2184036</t>
  </si>
  <si>
    <t>06732292625</t>
  </si>
  <si>
    <t>110179254</t>
  </si>
  <si>
    <t>110179254311</t>
  </si>
  <si>
    <t>GERALDA DAS GRAÇAS TEIXEIRA</t>
  </si>
  <si>
    <t>GERALDA DAS GRACAS TEIXEIRA</t>
  </si>
  <si>
    <t>2184035</t>
  </si>
  <si>
    <t>08942570640</t>
  </si>
  <si>
    <t>110179254261</t>
  </si>
  <si>
    <t>GLÁUCIA MAGDA ALVES SANTOS DE PAULA</t>
  </si>
  <si>
    <t>GLAUCIA MAGDA ALVES SANTOS DE PAULA</t>
  </si>
  <si>
    <t>2184029</t>
  </si>
  <si>
    <t>09652340618</t>
  </si>
  <si>
    <t>20</t>
  </si>
  <si>
    <t>110179254201</t>
  </si>
  <si>
    <t>DALVA LUCIA GONÇALVES</t>
  </si>
  <si>
    <t>DALVA LUCIA GONCALVES</t>
  </si>
  <si>
    <t>2183928</t>
  </si>
  <si>
    <t>47530196839</t>
  </si>
  <si>
    <t>109829446</t>
  </si>
  <si>
    <t>49</t>
  </si>
  <si>
    <t>109829446491</t>
  </si>
  <si>
    <t>MARIA DA CONCEIÇÃO TEIXEIRA BATISTA DE MELO</t>
  </si>
  <si>
    <t>MARIA DA CONCEICAO TEIXEIRA BATISTA DE MELO</t>
  </si>
  <si>
    <t>2183927</t>
  </si>
  <si>
    <t>47586405808</t>
  </si>
  <si>
    <t>109829446471</t>
  </si>
  <si>
    <t>CLAUDIA CRISTINA PROENÇA NUNES</t>
  </si>
  <si>
    <t>CLAUDIA CRISTINA PROENCA NUNES</t>
  </si>
  <si>
    <t>2183830</t>
  </si>
  <si>
    <t>07744580621</t>
  </si>
  <si>
    <t>109683248</t>
  </si>
  <si>
    <t>109683248391</t>
  </si>
  <si>
    <t>EDNA RESENDE DE MENDONÇA SANTOS</t>
  </si>
  <si>
    <t>EDNA RESENDE DE MENDONCA SANTOS</t>
  </si>
  <si>
    <t>2183707</t>
  </si>
  <si>
    <t>38959834890</t>
  </si>
  <si>
    <t>1093399911352</t>
  </si>
  <si>
    <t>MARIA JOSÉ DA SILVA</t>
  </si>
  <si>
    <t>MARIA JOSE DA SILVA</t>
  </si>
  <si>
    <t>2183694</t>
  </si>
  <si>
    <t>32459024843</t>
  </si>
  <si>
    <t>119</t>
  </si>
  <si>
    <t>1093399911192</t>
  </si>
  <si>
    <t>APARECIDA G. R. TANSERINO</t>
  </si>
  <si>
    <t>APARECIDA G R TANSERINO</t>
  </si>
  <si>
    <t>2183654</t>
  </si>
  <si>
    <t>82331898120</t>
  </si>
  <si>
    <t>109257114</t>
  </si>
  <si>
    <t>10925711421</t>
  </si>
  <si>
    <t>OSMARINA MAGALHAE4S ALVES DE FREITAS</t>
  </si>
  <si>
    <t>OSMARINA MAGALHAES ALVES DE FREITAS</t>
  </si>
  <si>
    <t>2183616</t>
  </si>
  <si>
    <t>39478568817</t>
  </si>
  <si>
    <t>108541410</t>
  </si>
  <si>
    <t>10854141071</t>
  </si>
  <si>
    <t>MARIA DAS GRAÇAS DA SILVA</t>
  </si>
  <si>
    <t>MARIA DAS GRACAS DA SILVA</t>
  </si>
  <si>
    <t>2169163</t>
  </si>
  <si>
    <t>07622392634</t>
  </si>
  <si>
    <t>72</t>
  </si>
  <si>
    <t>20000359721</t>
  </si>
  <si>
    <t>3º ANDAR</t>
  </si>
  <si>
    <t>2183500</t>
  </si>
  <si>
    <t>36989028858</t>
  </si>
  <si>
    <t>107648578</t>
  </si>
  <si>
    <t>10764857841</t>
  </si>
  <si>
    <t>MARLUCI AP. B. MARQUES DE JESUS</t>
  </si>
  <si>
    <t>MARLUCI APARECIDA B MARQUES DE JESUS</t>
  </si>
  <si>
    <t>2169180</t>
  </si>
  <si>
    <t>89256816687</t>
  </si>
  <si>
    <t>141</t>
  </si>
  <si>
    <t>200003591411</t>
  </si>
  <si>
    <t>KM 12</t>
  </si>
  <si>
    <t>2183284</t>
  </si>
  <si>
    <t>06070258592</t>
  </si>
  <si>
    <t>106414448</t>
  </si>
  <si>
    <t>10641444833</t>
  </si>
  <si>
    <t>OLGA MUNO\ TRAMULLAS</t>
  </si>
  <si>
    <t>OLGA MUNO TRAMULLAS</t>
  </si>
  <si>
    <t>2182862</t>
  </si>
  <si>
    <t>08473085612</t>
  </si>
  <si>
    <t>10594094831</t>
  </si>
  <si>
    <t>MARIA MDA CONSOLAÇÃO MOREIRA</t>
  </si>
  <si>
    <t>MARIA MDA CONSOLACAO MOREIRA</t>
  </si>
  <si>
    <t>2182791</t>
  </si>
  <si>
    <t>30144382865</t>
  </si>
  <si>
    <t>105859966</t>
  </si>
  <si>
    <t>10585996651</t>
  </si>
  <si>
    <t>NÃO RECONHECIDA</t>
  </si>
  <si>
    <t>2182608</t>
  </si>
  <si>
    <t>42936338808</t>
  </si>
  <si>
    <t>105756370</t>
  </si>
  <si>
    <t>10575637022</t>
  </si>
  <si>
    <t>2182126</t>
  </si>
  <si>
    <t>18724443859</t>
  </si>
  <si>
    <t>105519676</t>
  </si>
  <si>
    <t>10551967621</t>
  </si>
  <si>
    <t>CLEIDE DA ASSUNÇÃO</t>
  </si>
  <si>
    <t>CLEIDE DA ASSUNCAO</t>
  </si>
  <si>
    <t>2182079</t>
  </si>
  <si>
    <t>09333182780</t>
  </si>
  <si>
    <t>105496944362</t>
  </si>
  <si>
    <t>.</t>
  </si>
  <si>
    <t>2182074</t>
  </si>
  <si>
    <t>02472260253</t>
  </si>
  <si>
    <t>105496944361</t>
  </si>
  <si>
    <t>...</t>
  </si>
  <si>
    <t>2182039</t>
  </si>
  <si>
    <t>43144938874</t>
  </si>
  <si>
    <t>105467558</t>
  </si>
  <si>
    <t>10546755871</t>
  </si>
  <si>
    <t>SIUZI ELAINE CARNEIRO LEÃO</t>
  </si>
  <si>
    <t>SIUZI ELAINE CARNEIRO LEAO</t>
  </si>
  <si>
    <t>2181696</t>
  </si>
  <si>
    <t>40072912847</t>
  </si>
  <si>
    <t>67</t>
  </si>
  <si>
    <t>105382734671</t>
  </si>
  <si>
    <t>MARIA DE LOURDES GONÇALVES DA SILVA MIRANDA</t>
  </si>
  <si>
    <t>MARIA DE LOURDES GONCALVES DA SILVA MIRANDA</t>
  </si>
  <si>
    <t>2181693</t>
  </si>
  <si>
    <t>11410152774</t>
  </si>
  <si>
    <t>62</t>
  </si>
  <si>
    <t>105382734621</t>
  </si>
  <si>
    <t>VANETE DA SILVEIRA GRAÇA</t>
  </si>
  <si>
    <t>VANETE DA SILVEIRA GRACA</t>
  </si>
  <si>
    <t>2181635</t>
  </si>
  <si>
    <t>105328126</t>
  </si>
  <si>
    <t>118</t>
  </si>
  <si>
    <t>1053281261181</t>
  </si>
  <si>
    <t>VERONICA EUZEBIO DOS SANTOS</t>
  </si>
  <si>
    <t>2181466</t>
  </si>
  <si>
    <t>25210703860</t>
  </si>
  <si>
    <t>105233235</t>
  </si>
  <si>
    <t>10523323521</t>
  </si>
  <si>
    <t>MARIA APARECIDA SIMÃO DE CAMARGO</t>
  </si>
  <si>
    <t>MARIA APARECIDA SIMAO DE CAMARGO</t>
  </si>
  <si>
    <t>2181126</t>
  </si>
  <si>
    <t>32830682831</t>
  </si>
  <si>
    <t>104940276</t>
  </si>
  <si>
    <t>104940276151</t>
  </si>
  <si>
    <t>MARIA DE LOURDES PROENÇA DOS SANTOS</t>
  </si>
  <si>
    <t>MARIA DE LOURDES PROENCA DOS SANTOS</t>
  </si>
  <si>
    <t>2181122</t>
  </si>
  <si>
    <t>48542579895</t>
  </si>
  <si>
    <t>104938669</t>
  </si>
  <si>
    <t>104938669325</t>
  </si>
  <si>
    <t>FLAVIA FOGAÇA ASHCAR</t>
  </si>
  <si>
    <t>FLAVIA FOGACA ASHCAR</t>
  </si>
  <si>
    <t>2169278</t>
  </si>
  <si>
    <t>89591100868</t>
  </si>
  <si>
    <t>20000439</t>
  </si>
  <si>
    <t>2000043981</t>
  </si>
  <si>
    <t>JULIA DE PAULA GONÇALVES</t>
  </si>
  <si>
    <t>JULIA DE PAULA GONCALVES</t>
  </si>
  <si>
    <t>2181119</t>
  </si>
  <si>
    <t>53100067886</t>
  </si>
  <si>
    <t>104938669324</t>
  </si>
  <si>
    <t>2181116</t>
  </si>
  <si>
    <t>28676267812</t>
  </si>
  <si>
    <t>104938669322</t>
  </si>
  <si>
    <t>MARIA DO CARMO SANTOS FOGAÇA</t>
  </si>
  <si>
    <t>MARIA DO CARMO SANTOS FOGACA</t>
  </si>
  <si>
    <t>2180873</t>
  </si>
  <si>
    <t>38950552809</t>
  </si>
  <si>
    <t>104794852</t>
  </si>
  <si>
    <t>104794852301</t>
  </si>
  <si>
    <t>CONCEIÇÃO DE FATIMA SANTOS</t>
  </si>
  <si>
    <t>CONCEICAO DE FATIMA SANTOS</t>
  </si>
  <si>
    <t>2180666</t>
  </si>
  <si>
    <t>06894560188</t>
  </si>
  <si>
    <t>104323554</t>
  </si>
  <si>
    <t>10432355461</t>
  </si>
  <si>
    <t>MARIE-ROSE GINETTE JACQUELINE CHAILLOU</t>
  </si>
  <si>
    <t>MARIE ROSE GINETTE JACQUELINE CHAILLOU</t>
  </si>
  <si>
    <t>2180664</t>
  </si>
  <si>
    <t>60371975395</t>
  </si>
  <si>
    <t>104276583</t>
  </si>
  <si>
    <t>104276583431</t>
  </si>
  <si>
    <t>MARIA CONCEIÇÃO DA SILVA BORGES</t>
  </si>
  <si>
    <t>MARIA CONCEICAO DA SILVA BORGES</t>
  </si>
  <si>
    <t>2180589</t>
  </si>
  <si>
    <t>38961372807</t>
  </si>
  <si>
    <t>104171181</t>
  </si>
  <si>
    <t>104171181281</t>
  </si>
  <si>
    <t>RAIMUNDA DA CONSOLAÇÃO GRACIANO RODRIGUES FRANCISC</t>
  </si>
  <si>
    <t>RAIMUNDA DA CONSOLACAO GRACIANO RODRIGUES FRANCISC</t>
  </si>
  <si>
    <t>2180479</t>
  </si>
  <si>
    <t>10659318750</t>
  </si>
  <si>
    <t>278</t>
  </si>
  <si>
    <t>1036574542782</t>
  </si>
  <si>
    <t>ANDREJUNGSTEDT@GMAIL.COM</t>
  </si>
  <si>
    <t>2180411</t>
  </si>
  <si>
    <t>33413774840</t>
  </si>
  <si>
    <t>103074117</t>
  </si>
  <si>
    <t>71</t>
  </si>
  <si>
    <t>103074117713</t>
  </si>
  <si>
    <t>ALBERTINA LORENÇO RODRIGUES</t>
  </si>
  <si>
    <t>ALBERTINA LORENCO RODRIGUES</t>
  </si>
  <si>
    <t>2180390</t>
  </si>
  <si>
    <t>08982736417</t>
  </si>
  <si>
    <t>475</t>
  </si>
  <si>
    <t>1028158094751</t>
  </si>
  <si>
    <t>GRU=INAURA VALENTIM DA SILVA</t>
  </si>
  <si>
    <t>INAURA VALENTIM DA SILVA</t>
  </si>
  <si>
    <t>2180370</t>
  </si>
  <si>
    <t>34392706885</t>
  </si>
  <si>
    <t>449</t>
  </si>
  <si>
    <t>1028158094491</t>
  </si>
  <si>
    <t>SOELI DAS GRAÇAS SANTOS SANTANA</t>
  </si>
  <si>
    <t>SOELI DAS GRACAS SANTOS SANTANA</t>
  </si>
  <si>
    <t>2169421</t>
  </si>
  <si>
    <t>38548397829</t>
  </si>
  <si>
    <t>248</t>
  </si>
  <si>
    <t>200004622481</t>
  </si>
  <si>
    <t>MARIA DAS GRAÇAS QUIROGA</t>
  </si>
  <si>
    <t>MARIA DAS GRACAS QUIROGA</t>
  </si>
  <si>
    <t>2179987</t>
  </si>
  <si>
    <t>101462146</t>
  </si>
  <si>
    <t>10146214632</t>
  </si>
  <si>
    <t>PATRÍCIA BORGES DA COSTA HENRIQUES</t>
  </si>
  <si>
    <t>PATRICIA BORGES DA COSTA HENRIQUES</t>
  </si>
  <si>
    <t>2169438</t>
  </si>
  <si>
    <t>01407272640</t>
  </si>
  <si>
    <t>350</t>
  </si>
  <si>
    <t>200004623501</t>
  </si>
  <si>
    <t>RINÁZIA MOREIRA DE SOUZA</t>
  </si>
  <si>
    <t>RINAZIA MOREIRA DE SOUZA</t>
  </si>
  <si>
    <t>2169447</t>
  </si>
  <si>
    <t>33092719867</t>
  </si>
  <si>
    <t>370</t>
  </si>
  <si>
    <t>200004623701</t>
  </si>
  <si>
    <t>ALBENES DO CARMO0 ALMEIDA DA SILVA</t>
  </si>
  <si>
    <t>ALBENES DO CARMO ALMEIDA DA SILVA</t>
  </si>
  <si>
    <t>2179770</t>
  </si>
  <si>
    <t>24869974827</t>
  </si>
  <si>
    <t>1814</t>
  </si>
  <si>
    <t>10137448018144</t>
  </si>
  <si>
    <t>,,,</t>
  </si>
  <si>
    <t>2179758</t>
  </si>
  <si>
    <t>1806</t>
  </si>
  <si>
    <t>10137448018063</t>
  </si>
  <si>
    <t>..</t>
  </si>
  <si>
    <t>2179350</t>
  </si>
  <si>
    <t>30961114215</t>
  </si>
  <si>
    <t>1388</t>
  </si>
  <si>
    <t>10137448013882</t>
  </si>
  <si>
    <t>RUTH NAZARÉ RODRIGUES DA SILVA</t>
  </si>
  <si>
    <t>RUTH NAZARE RODRIGUES DA SILVA</t>
  </si>
  <si>
    <t>2179154</t>
  </si>
  <si>
    <t>39137610805</t>
  </si>
  <si>
    <t>1126</t>
  </si>
  <si>
    <t>10137448011261</t>
  </si>
  <si>
    <t>CX.P. 341</t>
  </si>
  <si>
    <t>2178024</t>
  </si>
  <si>
    <t>09708837814</t>
  </si>
  <si>
    <t>393</t>
  </si>
  <si>
    <t>1013744803932</t>
  </si>
  <si>
    <t>MARIA DAS GRAÇAS</t>
  </si>
  <si>
    <t>MARIA DAS GRACAS</t>
  </si>
  <si>
    <t>2177515</t>
  </si>
  <si>
    <t>100337220</t>
  </si>
  <si>
    <t>100337220194</t>
  </si>
  <si>
    <t>CARLOTA DE PARANAGUÁ MONIZ LIMA</t>
  </si>
  <si>
    <t>CARLOTA DE PARANAGUA MONIZ LIMA</t>
  </si>
  <si>
    <t>2177511</t>
  </si>
  <si>
    <t>100337220193</t>
  </si>
  <si>
    <t>2177464</t>
  </si>
  <si>
    <t>44285948877</t>
  </si>
  <si>
    <t>2001153151</t>
  </si>
  <si>
    <t>LUZIA DA CONSOLAÇÃO GONCALVES NAKAMOTO</t>
  </si>
  <si>
    <t>LUZIA DA CONSOLACAO GONCALVES NAKAMOTO</t>
  </si>
  <si>
    <t>2177342</t>
  </si>
  <si>
    <t>51795761806</t>
  </si>
  <si>
    <t>20011349674</t>
  </si>
  <si>
    <t>PRISCILA ELZEBIO GONÇALVES DA SILVA ALVES</t>
  </si>
  <si>
    <t>PRISCILA ELZEBIO GONCALVES DA SILVA ALVES</t>
  </si>
  <si>
    <t>2177335</t>
  </si>
  <si>
    <t>20011349671</t>
  </si>
  <si>
    <t>DIGO.FG3@YAHOO.COM.BR</t>
  </si>
  <si>
    <t>2177220</t>
  </si>
  <si>
    <t>15545591702</t>
  </si>
  <si>
    <t>20011050</t>
  </si>
  <si>
    <t>20011050221</t>
  </si>
  <si>
    <t>MARIA DAS GRAÇAS BENTO MONTEIRO</t>
  </si>
  <si>
    <t>MARIA DAS GRACAS BENTO MONTEIRO</t>
  </si>
  <si>
    <t>2177043</t>
  </si>
  <si>
    <t>38213628802</t>
  </si>
  <si>
    <t>20010549</t>
  </si>
  <si>
    <t>20010549232</t>
  </si>
  <si>
    <t>AURELINA DOS SANTOS FRANÇA</t>
  </si>
  <si>
    <t>AURELINA DOS SANTOS FRANCA</t>
  </si>
  <si>
    <t>2177036</t>
  </si>
  <si>
    <t>19206657739</t>
  </si>
  <si>
    <t>20010548</t>
  </si>
  <si>
    <t>100</t>
  </si>
  <si>
    <t>200105481005</t>
  </si>
  <si>
    <t>2176925</t>
  </si>
  <si>
    <t>56473159843</t>
  </si>
  <si>
    <t>20010177</t>
  </si>
  <si>
    <t>53</t>
  </si>
  <si>
    <t>20010177534</t>
  </si>
  <si>
    <t>MARISE CRISTINA VIEIRA PROENÇA</t>
  </si>
  <si>
    <t>MARISE CRISTINA VIEIRA PROENCA</t>
  </si>
  <si>
    <t>2176787</t>
  </si>
  <si>
    <t>20010024314</t>
  </si>
  <si>
    <t>MARINES DO NASCIMENTO FRANÇA</t>
  </si>
  <si>
    <t>MARINES DO NASCIMENTO FRANCA</t>
  </si>
  <si>
    <t>2176784</t>
  </si>
  <si>
    <t>11964802903</t>
  </si>
  <si>
    <t>20010024313</t>
  </si>
  <si>
    <t>2176778</t>
  </si>
  <si>
    <t>12939361894</t>
  </si>
  <si>
    <t>20010024311</t>
  </si>
  <si>
    <t>ENAURA PASTORA DO NASCIMENTO FRANÇA</t>
  </si>
  <si>
    <t>ENAURA PASTORA DO NASCIMENTO FRANCA</t>
  </si>
  <si>
    <t>2176758</t>
  </si>
  <si>
    <t>32751880894</t>
  </si>
  <si>
    <t>20010024111</t>
  </si>
  <si>
    <t>DAISY APÁRECIDA DE ALMEIDA FUMAGALLI</t>
  </si>
  <si>
    <t>DAISY APARECIDA DE ALMEIDA FUMAGALLI</t>
  </si>
  <si>
    <t>2176678</t>
  </si>
  <si>
    <t>06270842492</t>
  </si>
  <si>
    <t>20009749</t>
  </si>
  <si>
    <t>2000974952</t>
  </si>
  <si>
    <t>MARIA FAUSTINA DE MENDOÇA LEMOS</t>
  </si>
  <si>
    <t>MARIA FAUSTINA DE MENDOCA LEMOS</t>
  </si>
  <si>
    <t>2176432</t>
  </si>
  <si>
    <t>MARIA DA GRAÇA</t>
  </si>
  <si>
    <t>MARIA DA GRACA</t>
  </si>
  <si>
    <t>2176425</t>
  </si>
  <si>
    <t>07526958860</t>
  </si>
  <si>
    <t>65</t>
  </si>
  <si>
    <t>20008676651</t>
  </si>
  <si>
    <t>NEIDE ASSUMPÇÃO NEUBAUER</t>
  </si>
  <si>
    <t>NEIDE ASSUMPCAO NEUBAUER</t>
  </si>
  <si>
    <t>2176157</t>
  </si>
  <si>
    <t>09004842764</t>
  </si>
  <si>
    <t>99</t>
  </si>
  <si>
    <t>20007941991</t>
  </si>
  <si>
    <t>TERESINHA GONÇALVES DE SOUZA</t>
  </si>
  <si>
    <t>TERESINHA GONCALVES DE SOUZA</t>
  </si>
  <si>
    <t>2175942</t>
  </si>
  <si>
    <t>20007381</t>
  </si>
  <si>
    <t>20007381453</t>
  </si>
  <si>
    <t>FLAVIA DA FRANÇA DA SILVA RIBEIRO</t>
  </si>
  <si>
    <t>FLAVIA DA FRANCA DA SILVA RIBEIRO</t>
  </si>
  <si>
    <t>2175755</t>
  </si>
  <si>
    <t>20006921</t>
  </si>
  <si>
    <t>2000692136</t>
  </si>
  <si>
    <t>2175747</t>
  </si>
  <si>
    <t>37906317874</t>
  </si>
  <si>
    <t>20006912</t>
  </si>
  <si>
    <t>20006912281</t>
  </si>
  <si>
    <t>MARIA ESPERANÇA DA SILVA MARTINS</t>
  </si>
  <si>
    <t>MARIA ESPERANCA DA SILVA MARTINS</t>
  </si>
  <si>
    <t>2175735</t>
  </si>
  <si>
    <t>91728347653</t>
  </si>
  <si>
    <t>20006904</t>
  </si>
  <si>
    <t>20006904121</t>
  </si>
  <si>
    <t>2175666</t>
  </si>
  <si>
    <t>39059624890</t>
  </si>
  <si>
    <t>121</t>
  </si>
  <si>
    <t>200065891211</t>
  </si>
  <si>
    <t>FERNANDA CONCEIÇAO SPESITOR DOMENICO</t>
  </si>
  <si>
    <t>FERNANDA CONCEICAO SPESITOR DOMENICO</t>
  </si>
  <si>
    <t>2175627</t>
  </si>
  <si>
    <t>88393313600</t>
  </si>
  <si>
    <t>20006429</t>
  </si>
  <si>
    <t>2000642961</t>
  </si>
  <si>
    <t>2175623</t>
  </si>
  <si>
    <t>01106783620</t>
  </si>
  <si>
    <t>2000642951</t>
  </si>
  <si>
    <t>2175459</t>
  </si>
  <si>
    <t>06740706662</t>
  </si>
  <si>
    <t>20006172</t>
  </si>
  <si>
    <t>20006172282</t>
  </si>
  <si>
    <t>MARIA DA CONCEIÇÃO DORNAS PACHECO</t>
  </si>
  <si>
    <t>MARIA DA CONCEICAO DORNAS PACHECO</t>
  </si>
  <si>
    <t>2175455</t>
  </si>
  <si>
    <t>01293962651</t>
  </si>
  <si>
    <t>20006172281</t>
  </si>
  <si>
    <t>NANCI DAS GRAÇAS MELO GIMARAES</t>
  </si>
  <si>
    <t>NANCI DAS GRACAS MELO GIMARAES</t>
  </si>
  <si>
    <t>2175411</t>
  </si>
  <si>
    <t>62043951653</t>
  </si>
  <si>
    <t>20006112</t>
  </si>
  <si>
    <t>2000611261</t>
  </si>
  <si>
    <t>APTO 701</t>
  </si>
  <si>
    <t>2175160</t>
  </si>
  <si>
    <t>35781708871</t>
  </si>
  <si>
    <t>20005720</t>
  </si>
  <si>
    <t>2000572025</t>
  </si>
  <si>
    <t>LUCIANA GONÇALVES</t>
  </si>
  <si>
    <t>LUCIANA GONCALVES</t>
  </si>
  <si>
    <t>2174997</t>
  </si>
  <si>
    <t>48116157604</t>
  </si>
  <si>
    <t>20005419</t>
  </si>
  <si>
    <t>2000541921</t>
  </si>
  <si>
    <t>2174915</t>
  </si>
  <si>
    <t>31333814828</t>
  </si>
  <si>
    <t>20005365461</t>
  </si>
  <si>
    <t>2174895</t>
  </si>
  <si>
    <t>19851664880</t>
  </si>
  <si>
    <t>20005365111</t>
  </si>
  <si>
    <t>2174713</t>
  </si>
  <si>
    <t>06215324361</t>
  </si>
  <si>
    <t>20004961</t>
  </si>
  <si>
    <t>20004961431</t>
  </si>
  <si>
    <t>CÍCERA BARBOSA DO NASCIMENTO</t>
  </si>
  <si>
    <t>CICERA BARBOSA DO NASCIMENTO</t>
  </si>
  <si>
    <t>2174694</t>
  </si>
  <si>
    <t>ROBERTA ASSUMPÇÃO  CATAFINA</t>
  </si>
  <si>
    <t>ROBERTA ASSUMPCAO CATAFINA</t>
  </si>
  <si>
    <t>2174658</t>
  </si>
  <si>
    <t>02520592710</t>
  </si>
  <si>
    <t>20004738</t>
  </si>
  <si>
    <t>2000473843</t>
  </si>
  <si>
    <t>2174653</t>
  </si>
  <si>
    <t>2000473842</t>
  </si>
  <si>
    <t>2174645</t>
  </si>
  <si>
    <t>48115474894</t>
  </si>
  <si>
    <t>20004712</t>
  </si>
  <si>
    <t>20004712601</t>
  </si>
  <si>
    <t>MARIA DAS GRAÇAS EUGENIO DA SILVA MEDEIROS</t>
  </si>
  <si>
    <t>MARIA DAS GRACAS EUGENIO DA SILVA MEDEIROS</t>
  </si>
  <si>
    <t>2174472</t>
  </si>
  <si>
    <t>05756607838</t>
  </si>
  <si>
    <t>200043541342</t>
  </si>
  <si>
    <t>INES C BRAZÃO</t>
  </si>
  <si>
    <t>INES C BRAZAO</t>
  </si>
  <si>
    <t>2174425</t>
  </si>
  <si>
    <t>56461585672</t>
  </si>
  <si>
    <t>20004302</t>
  </si>
  <si>
    <t>2000430221</t>
  </si>
  <si>
    <t>APTO 1001</t>
  </si>
  <si>
    <t>2174405</t>
  </si>
  <si>
    <t>89639430625</t>
  </si>
  <si>
    <t>20004278</t>
  </si>
  <si>
    <t>20004278211</t>
  </si>
  <si>
    <t>MARIA DAS GRAÇAS CARDOSO</t>
  </si>
  <si>
    <t>MARIA DAS GRACAS CARDOSO</t>
  </si>
  <si>
    <t>2174024</t>
  </si>
  <si>
    <t>05410301757</t>
  </si>
  <si>
    <t>20003843</t>
  </si>
  <si>
    <t>84</t>
  </si>
  <si>
    <t>20003843841</t>
  </si>
  <si>
    <t>ODAILZA DA CONCEIÇÃO MARTINS</t>
  </si>
  <si>
    <t>ODAILZA DA CONCEICAO MARTINS</t>
  </si>
  <si>
    <t>2173856</t>
  </si>
  <si>
    <t>56084497896</t>
  </si>
  <si>
    <t>20003764</t>
  </si>
  <si>
    <t>2000376415</t>
  </si>
  <si>
    <t>LUCIANA RODRIGUES VITORINO CARNELÓS</t>
  </si>
  <si>
    <t>LUCIANA RODRIGUES VITORINO CARNELOS</t>
  </si>
  <si>
    <t>2173813</t>
  </si>
  <si>
    <t>08974183870</t>
  </si>
  <si>
    <t>20003713491</t>
  </si>
  <si>
    <t>2173809</t>
  </si>
  <si>
    <t>49753927800</t>
  </si>
  <si>
    <t>20003713471</t>
  </si>
  <si>
    <t>KARINA.SILVA@AFUSEGUROS.COM.BR</t>
  </si>
  <si>
    <t>2173461</t>
  </si>
  <si>
    <t>20003600</t>
  </si>
  <si>
    <t>10</t>
  </si>
  <si>
    <t>20003600102</t>
  </si>
  <si>
    <t>CAMILA DO NASCIMENTO GONÇALVES OLIVEIRA</t>
  </si>
  <si>
    <t>CAMILA DO NASCIMENTO GONCALVES OLIVEIRA</t>
  </si>
  <si>
    <t>2173459</t>
  </si>
  <si>
    <t>17457428836</t>
  </si>
  <si>
    <t>20003598</t>
  </si>
  <si>
    <t>20003598171</t>
  </si>
  <si>
    <t>QUITERIA LUIZA DA CONCEICÃO</t>
  </si>
  <si>
    <t>QUITERIA LUIZA DA CONCEICAO</t>
  </si>
  <si>
    <t>2173418</t>
  </si>
  <si>
    <t>71017070172</t>
  </si>
  <si>
    <t>2173265</t>
  </si>
  <si>
    <t>45717037830</t>
  </si>
  <si>
    <t>680</t>
  </si>
  <si>
    <t>200035466803</t>
  </si>
  <si>
    <t>TATIANE RODRIGUES BRANDÃO GUINATI</t>
  </si>
  <si>
    <t>TATIANE RODRIGUES BRANDAO GUINATI</t>
  </si>
  <si>
    <t>2173262</t>
  </si>
  <si>
    <t>34528870819</t>
  </si>
  <si>
    <t>200035466801</t>
  </si>
  <si>
    <t>MARIA EUNICE DA SILVA BRANDÃO</t>
  </si>
  <si>
    <t>MARIA EUNICE DA SILVA BRANDAO</t>
  </si>
  <si>
    <t>2172784</t>
  </si>
  <si>
    <t>08024425874</t>
  </si>
  <si>
    <t>215</t>
  </si>
  <si>
    <t>200035092151</t>
  </si>
  <si>
    <t>2172473</t>
  </si>
  <si>
    <t>16482081851</t>
  </si>
  <si>
    <t>20003247</t>
  </si>
  <si>
    <t>2000324725</t>
  </si>
  <si>
    <t>ROSELAINE MARIA POMBAL C. PEDROSO</t>
  </si>
  <si>
    <t>ROSELAINE MARIA POMBAL C PEDROSO</t>
  </si>
  <si>
    <t>2172238</t>
  </si>
  <si>
    <t>13086600659</t>
  </si>
  <si>
    <t>20002968</t>
  </si>
  <si>
    <t>20002968121</t>
  </si>
  <si>
    <t>APTO 601</t>
  </si>
  <si>
    <t>2171735</t>
  </si>
  <si>
    <t>15970903604</t>
  </si>
  <si>
    <t>20002576</t>
  </si>
  <si>
    <t>247</t>
  </si>
  <si>
    <t>200025762473</t>
  </si>
  <si>
    <t>ANDREIA CRISTINA OUVERNEY LEAL.</t>
  </si>
  <si>
    <t>ANDREIA CRISTINA OUVERNEY LEAL</t>
  </si>
  <si>
    <t>2171733</t>
  </si>
  <si>
    <t>08558262748</t>
  </si>
  <si>
    <t>200025762472</t>
  </si>
  <si>
    <t>ALZENIR OUVERNEY.</t>
  </si>
  <si>
    <t>ALZENIR OUVERNEY</t>
  </si>
  <si>
    <t>2171729</t>
  </si>
  <si>
    <t>07554295675</t>
  </si>
  <si>
    <t>246</t>
  </si>
  <si>
    <t>200025762461</t>
  </si>
  <si>
    <t>MARILIA TRIVELLATO ROLLA.</t>
  </si>
  <si>
    <t>MARILIA TRIVELLATO ROLLA</t>
  </si>
  <si>
    <t>2171728</t>
  </si>
  <si>
    <t>05596772780</t>
  </si>
  <si>
    <t>245</t>
  </si>
  <si>
    <t>200025762451</t>
  </si>
  <si>
    <t>FRANCISCA FRANCINA DE SOUZA.</t>
  </si>
  <si>
    <t>FRANCISCA FRANCINA DE SOUZA</t>
  </si>
  <si>
    <t>2171726</t>
  </si>
  <si>
    <t>03953873105</t>
  </si>
  <si>
    <t>244</t>
  </si>
  <si>
    <t>200025762441</t>
  </si>
  <si>
    <t>KENYA FERREIRA RODRIGUES.</t>
  </si>
  <si>
    <t>KENYA FERREIRA RODRIGUES</t>
  </si>
  <si>
    <t>2171724</t>
  </si>
  <si>
    <t>08774497677</t>
  </si>
  <si>
    <t>200025762431</t>
  </si>
  <si>
    <t>MARLENE DA CONCEIÇÃO VALENTE.</t>
  </si>
  <si>
    <t>MARLENE DA CONCEICAO VALENTE</t>
  </si>
  <si>
    <t>2171723</t>
  </si>
  <si>
    <t>04504769603</t>
  </si>
  <si>
    <t>242</t>
  </si>
  <si>
    <t>200025762421</t>
  </si>
  <si>
    <t>LEDA DE PAULA MELO TAVARES GONÇALVES.</t>
  </si>
  <si>
    <t>LEDA DE PAULA MELO TAVARES GONCALVES</t>
  </si>
  <si>
    <t>2171722</t>
  </si>
  <si>
    <t>34528832801</t>
  </si>
  <si>
    <t>241</t>
  </si>
  <si>
    <t>200025762411</t>
  </si>
  <si>
    <t>CLAUDINEIA DE PAULA RIBEIRO DE AMORIM.</t>
  </si>
  <si>
    <t>CLAUDINEIA DE PAULA RIBEIRO DE AMORIM</t>
  </si>
  <si>
    <t>2171639</t>
  </si>
  <si>
    <t>25520540802</t>
  </si>
  <si>
    <t>20002490</t>
  </si>
  <si>
    <t>20002490104</t>
  </si>
  <si>
    <t>,</t>
  </si>
  <si>
    <t>2171353</t>
  </si>
  <si>
    <t>23746045860</t>
  </si>
  <si>
    <t>20002148</t>
  </si>
  <si>
    <t>20002148182</t>
  </si>
  <si>
    <t>MIRIAN E. MENDOZA ARCHILA</t>
  </si>
  <si>
    <t>MIRIAN E MENDOZA ARCHILA</t>
  </si>
  <si>
    <t>2171251</t>
  </si>
  <si>
    <t>43066142809</t>
  </si>
  <si>
    <t>20002007</t>
  </si>
  <si>
    <t>20002007114</t>
  </si>
  <si>
    <t>MARIA CONCEIÇÃO BEZERRA</t>
  </si>
  <si>
    <t>MARIA CONCEICAO BEZERRA</t>
  </si>
  <si>
    <t>2170017</t>
  </si>
  <si>
    <t>03229591879</t>
  </si>
  <si>
    <t>20000674241</t>
  </si>
  <si>
    <t>APTO 0131</t>
  </si>
  <si>
    <t>2171250</t>
  </si>
  <si>
    <t>45610869862</t>
  </si>
  <si>
    <t>20002007113</t>
  </si>
  <si>
    <t>2171237</t>
  </si>
  <si>
    <t>37180656810</t>
  </si>
  <si>
    <t>237</t>
  </si>
  <si>
    <t>200020052372</t>
  </si>
  <si>
    <t>MARIA APARECIDA DA SILVA TELES LEÃO</t>
  </si>
  <si>
    <t>MARIA APARECIDA DA SILVA TELES LEAO</t>
  </si>
  <si>
    <t>2171220</t>
  </si>
  <si>
    <t>41929642873</t>
  </si>
  <si>
    <t>200020051852</t>
  </si>
  <si>
    <t>MARIA DA GRAÇA ANDRADE COSTA</t>
  </si>
  <si>
    <t>MARIA DA GRACA ANDRADE COSTA</t>
  </si>
  <si>
    <t>2170041</t>
  </si>
  <si>
    <t>27831162860</t>
  </si>
  <si>
    <t>2000069591</t>
  </si>
  <si>
    <t>2170907</t>
  </si>
  <si>
    <t>10449305864</t>
  </si>
  <si>
    <t>20001661</t>
  </si>
  <si>
    <t>20001661112</t>
  </si>
  <si>
    <t>ELSA MENDONÇA LIMA</t>
  </si>
  <si>
    <t>ELSA MENDONCA LIMA</t>
  </si>
  <si>
    <t>2170770</t>
  </si>
  <si>
    <t>02509710117</t>
  </si>
  <si>
    <t>20001342</t>
  </si>
  <si>
    <t>164</t>
  </si>
  <si>
    <t>200013421641</t>
  </si>
  <si>
    <t>MARIA LOURDES SOUSA MAGALHÃES</t>
  </si>
  <si>
    <t>MARIA LOURDES SOUSA MAGALHAES</t>
  </si>
  <si>
    <t>2170691</t>
  </si>
  <si>
    <t>40899780687</t>
  </si>
  <si>
    <t>27</t>
  </si>
  <si>
    <t>20001281271</t>
  </si>
  <si>
    <t>2184289</t>
  </si>
  <si>
    <t>42065033894</t>
  </si>
  <si>
    <t>110722178</t>
  </si>
  <si>
    <t>110722178261</t>
  </si>
  <si>
    <t>[Numero PIS/PASEP] - Numero PisPasep não pode ser diferente de 11 caracteres</t>
  </si>
  <si>
    <t>2070020730</t>
  </si>
  <si>
    <t>PIS</t>
  </si>
  <si>
    <t>GEstão de Clientes</t>
  </si>
  <si>
    <t>2184123</t>
  </si>
  <si>
    <t>07577085871</t>
  </si>
  <si>
    <t>110420176161</t>
  </si>
  <si>
    <t>1020642352</t>
  </si>
  <si>
    <t>2169056</t>
  </si>
  <si>
    <t>06305811857</t>
  </si>
  <si>
    <t>20000171</t>
  </si>
  <si>
    <t>2000017141</t>
  </si>
  <si>
    <t>6305811857</t>
  </si>
  <si>
    <t>2184038</t>
  </si>
  <si>
    <t>38473512812</t>
  </si>
  <si>
    <t>110191114</t>
  </si>
  <si>
    <t>11019111423</t>
  </si>
  <si>
    <t>2183976</t>
  </si>
  <si>
    <t>28561590874</t>
  </si>
  <si>
    <t>110087142</t>
  </si>
  <si>
    <t>11008714221</t>
  </si>
  <si>
    <t>1311280898</t>
  </si>
  <si>
    <t>2183832</t>
  </si>
  <si>
    <t>109683248461</t>
  </si>
  <si>
    <t>2183495</t>
  </si>
  <si>
    <t>82310858668</t>
  </si>
  <si>
    <t>107589984</t>
  </si>
  <si>
    <t>107589984131</t>
  </si>
  <si>
    <t>2169110</t>
  </si>
  <si>
    <t>05451020817</t>
  </si>
  <si>
    <t>20000252</t>
  </si>
  <si>
    <t>56</t>
  </si>
  <si>
    <t>20000252561</t>
  </si>
  <si>
    <t>2183379</t>
  </si>
  <si>
    <t>07492070357</t>
  </si>
  <si>
    <t>106719457</t>
  </si>
  <si>
    <t>106719457191</t>
  </si>
  <si>
    <t>1458734995</t>
  </si>
  <si>
    <t>2183038</t>
  </si>
  <si>
    <t>39470347846</t>
  </si>
  <si>
    <t>106084296</t>
  </si>
  <si>
    <t>106084296351</t>
  </si>
  <si>
    <t>2370328307</t>
  </si>
  <si>
    <t>2182812</t>
  </si>
  <si>
    <t>45692704846</t>
  </si>
  <si>
    <t>105894064</t>
  </si>
  <si>
    <t>10589406481</t>
  </si>
  <si>
    <t>1287161333</t>
  </si>
  <si>
    <t>2182787</t>
  </si>
  <si>
    <t>42208414829</t>
  </si>
  <si>
    <t>10585996631</t>
  </si>
  <si>
    <t>409013171</t>
  </si>
  <si>
    <t>2182771</t>
  </si>
  <si>
    <t>81156227704</t>
  </si>
  <si>
    <t>105855572</t>
  </si>
  <si>
    <t>105855572841</t>
  </si>
  <si>
    <t>1215752138</t>
  </si>
  <si>
    <t>2182414</t>
  </si>
  <si>
    <t>50575710870</t>
  </si>
  <si>
    <t>105687982</t>
  </si>
  <si>
    <t>41</t>
  </si>
  <si>
    <t>105687982411</t>
  </si>
  <si>
    <t>1634523450</t>
  </si>
  <si>
    <t>2182024</t>
  </si>
  <si>
    <t>03770714717</t>
  </si>
  <si>
    <t>105458722</t>
  </si>
  <si>
    <t>105458722251</t>
  </si>
  <si>
    <t>103076972</t>
  </si>
  <si>
    <t>2181356</t>
  </si>
  <si>
    <t>24731445833</t>
  </si>
  <si>
    <t>105046129</t>
  </si>
  <si>
    <t>10504612941</t>
  </si>
  <si>
    <t>177316834</t>
  </si>
  <si>
    <t>2181148</t>
  </si>
  <si>
    <t>32294677870</t>
  </si>
  <si>
    <t>104977389</t>
  </si>
  <si>
    <t>104977389531</t>
  </si>
  <si>
    <t>1314725778</t>
  </si>
  <si>
    <t>2180764</t>
  </si>
  <si>
    <t>47491322840</t>
  </si>
  <si>
    <t>104548495</t>
  </si>
  <si>
    <t>104548495471</t>
  </si>
  <si>
    <t>1647576795</t>
  </si>
  <si>
    <t>2180661</t>
  </si>
  <si>
    <t>37733502870</t>
  </si>
  <si>
    <t>104276583351</t>
  </si>
  <si>
    <t>2107147087</t>
  </si>
  <si>
    <t>2177620</t>
  </si>
  <si>
    <t>02768056669</t>
  </si>
  <si>
    <t>101374480991</t>
  </si>
  <si>
    <t>7777</t>
  </si>
  <si>
    <t>2177007</t>
  </si>
  <si>
    <t>47094440804</t>
  </si>
  <si>
    <t>20010453</t>
  </si>
  <si>
    <t>20010453531</t>
  </si>
  <si>
    <t>2107141374</t>
  </si>
  <si>
    <t>2176960</t>
  </si>
  <si>
    <t>12433347629</t>
  </si>
  <si>
    <t>20010262</t>
  </si>
  <si>
    <t>120</t>
  </si>
  <si>
    <t>200102621201</t>
  </si>
  <si>
    <t>1612653168</t>
  </si>
  <si>
    <t>2176956</t>
  </si>
  <si>
    <t>10951276751</t>
  </si>
  <si>
    <t>57</t>
  </si>
  <si>
    <t>20010262571</t>
  </si>
  <si>
    <t>1305060729</t>
  </si>
  <si>
    <t>2176696</t>
  </si>
  <si>
    <t>45689469807</t>
  </si>
  <si>
    <t>139</t>
  </si>
  <si>
    <t>200098041391</t>
  </si>
  <si>
    <t>13728</t>
  </si>
  <si>
    <t>2176691</t>
  </si>
  <si>
    <t>37271762884</t>
  </si>
  <si>
    <t>106</t>
  </si>
  <si>
    <t>200098041061</t>
  </si>
  <si>
    <t>2107358483</t>
  </si>
  <si>
    <t>2176175</t>
  </si>
  <si>
    <t>30124985831</t>
  </si>
  <si>
    <t>20008241</t>
  </si>
  <si>
    <t>20008241401</t>
  </si>
  <si>
    <t>1309543851</t>
  </si>
  <si>
    <t>2175936</t>
  </si>
  <si>
    <t>08613041795</t>
  </si>
  <si>
    <t>2000736991</t>
  </si>
  <si>
    <t>2175674</t>
  </si>
  <si>
    <t>45984968860</t>
  </si>
  <si>
    <t>200065891341</t>
  </si>
  <si>
    <t>1481949938</t>
  </si>
  <si>
    <t>2175667</t>
  </si>
  <si>
    <t>1652682008</t>
  </si>
  <si>
    <t>2175589</t>
  </si>
  <si>
    <t>04478579679</t>
  </si>
  <si>
    <t>20006336</t>
  </si>
  <si>
    <t>2000633651</t>
  </si>
  <si>
    <t>1272797118</t>
  </si>
  <si>
    <t>2175582</t>
  </si>
  <si>
    <t>35035784800</t>
  </si>
  <si>
    <t>20006332</t>
  </si>
  <si>
    <t>20006332161</t>
  </si>
  <si>
    <t>2106925264</t>
  </si>
  <si>
    <t>2175171</t>
  </si>
  <si>
    <t>20005720491</t>
  </si>
  <si>
    <t>1753840569</t>
  </si>
  <si>
    <t>2174884</t>
  </si>
  <si>
    <t>25759359894</t>
  </si>
  <si>
    <t>20005365101</t>
  </si>
  <si>
    <t>1111111111</t>
  </si>
  <si>
    <t>2174824</t>
  </si>
  <si>
    <t>27493969809</t>
  </si>
  <si>
    <t>20005251</t>
  </si>
  <si>
    <t>20005251361</t>
  </si>
  <si>
    <t>1255306219</t>
  </si>
  <si>
    <t>2174701</t>
  </si>
  <si>
    <t>01352863103</t>
  </si>
  <si>
    <t>2000495271</t>
  </si>
  <si>
    <t>1904370066</t>
  </si>
  <si>
    <t>2174352</t>
  </si>
  <si>
    <t>09957053647</t>
  </si>
  <si>
    <t>20004180</t>
  </si>
  <si>
    <t>184</t>
  </si>
  <si>
    <t>200041801841</t>
  </si>
  <si>
    <t>2064702298</t>
  </si>
  <si>
    <t>2174209</t>
  </si>
  <si>
    <t>30906351863</t>
  </si>
  <si>
    <t>20003996241</t>
  </si>
  <si>
    <t>999999999</t>
  </si>
  <si>
    <t>2173887</t>
  </si>
  <si>
    <t>39118501826</t>
  </si>
  <si>
    <t>20003791</t>
  </si>
  <si>
    <t>20003791291</t>
  </si>
  <si>
    <t>1635245562</t>
  </si>
  <si>
    <t>2173838</t>
  </si>
  <si>
    <t>1237955773</t>
  </si>
  <si>
    <t>2172698</t>
  </si>
  <si>
    <t>31653066806</t>
  </si>
  <si>
    <t>20003465</t>
  </si>
  <si>
    <t>20003465871</t>
  </si>
  <si>
    <t>332119956</t>
  </si>
  <si>
    <t>2171385</t>
  </si>
  <si>
    <t>14332334876</t>
  </si>
  <si>
    <t>20002237</t>
  </si>
  <si>
    <t>20002237211</t>
  </si>
  <si>
    <t>1248490345</t>
  </si>
  <si>
    <t>2170743</t>
  </si>
  <si>
    <t>06448889892</t>
  </si>
  <si>
    <t>20001298</t>
  </si>
  <si>
    <t>20001298101</t>
  </si>
  <si>
    <t>2170449</t>
  </si>
  <si>
    <t>40212816810</t>
  </si>
  <si>
    <t>20000814</t>
  </si>
  <si>
    <t>649</t>
  </si>
  <si>
    <t>200008146491</t>
  </si>
  <si>
    <t>1258135178</t>
  </si>
  <si>
    <t>2170447</t>
  </si>
  <si>
    <t>29719326808</t>
  </si>
  <si>
    <t>643</t>
  </si>
  <si>
    <t>200008146431</t>
  </si>
  <si>
    <t>111111110</t>
  </si>
  <si>
    <t>2170423</t>
  </si>
  <si>
    <t>48580751845</t>
  </si>
  <si>
    <t>20000814833</t>
  </si>
  <si>
    <t>111111111</t>
  </si>
  <si>
    <t>2170422</t>
  </si>
  <si>
    <t>46756540106</t>
  </si>
  <si>
    <t>20000814832</t>
  </si>
  <si>
    <t>11111111</t>
  </si>
  <si>
    <t>2170414</t>
  </si>
  <si>
    <t>40744538866</t>
  </si>
  <si>
    <t>20000814214</t>
  </si>
  <si>
    <t>1111111</t>
  </si>
  <si>
    <t>2170005</t>
  </si>
  <si>
    <t>51015295835</t>
  </si>
  <si>
    <t>20000655</t>
  </si>
  <si>
    <t>2000065565</t>
  </si>
  <si>
    <t>1100</t>
  </si>
  <si>
    <t>2169934</t>
  </si>
  <si>
    <t>52108147268</t>
  </si>
  <si>
    <t>320</t>
  </si>
  <si>
    <t>200006343201</t>
  </si>
  <si>
    <t>1271813026</t>
  </si>
  <si>
    <t>2169437</t>
  </si>
  <si>
    <t>37378412848</t>
  </si>
  <si>
    <t>349</t>
  </si>
  <si>
    <t>200004623491</t>
  </si>
  <si>
    <t>2078654991</t>
  </si>
  <si>
    <t>2169904</t>
  </si>
  <si>
    <t>89099540868</t>
  </si>
  <si>
    <t>260</t>
  </si>
  <si>
    <t>200006342601</t>
  </si>
  <si>
    <t>1000</t>
  </si>
  <si>
    <t>2169640</t>
  </si>
  <si>
    <t>58237020863</t>
  </si>
  <si>
    <t>20000631331</t>
  </si>
  <si>
    <t>9999999999</t>
  </si>
  <si>
    <t>Processado</t>
  </si>
  <si>
    <t xml:space="preserve">retorno </t>
  </si>
  <si>
    <t>Operação concluída com sucesso.</t>
  </si>
  <si>
    <t>Cliente inexistente.</t>
  </si>
  <si>
    <t>Impedido</t>
  </si>
  <si>
    <t>Operação não realizada.</t>
  </si>
  <si>
    <t>051520193N870000181</t>
  </si>
  <si>
    <t>Operação não concluída.</t>
  </si>
  <si>
    <t>0515201921870000223</t>
  </si>
  <si>
    <t>1313</t>
  </si>
  <si>
    <t>0515201395879803513</t>
  </si>
  <si>
    <t>impedido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</si>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</sst>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49" fontId="2" fillId="3" borderId="0" xfId="0" applyNumberFormat="1" applyFont="1" applyFill="1"/>
    <xf numFmtId="0" fontId="0" fillId="4" borderId="0" xfId="0" applyFill="1"/>
    <xf numFmtId="49" fontId="0" fillId="0" borderId="0" xfId="0" applyNumberForma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 applyBorder="1"/>
    <xf numFmtId="49" fontId="0" fillId="0" borderId="0" xfId="0" applyNumberFormat="1" applyFont="1" applyFill="1"/>
    <xf numFmtId="49" fontId="0" fillId="4" borderId="0" xfId="0" applyNumberFormat="1" applyFill="1" applyBorder="1" applyAlignment="1">
      <alignment horizontal="center"/>
    </xf>
    <xf numFmtId="49" fontId="0" fillId="4" borderId="0" xfId="0" applyNumberFormat="1" applyFill="1"/>
    <xf numFmtId="0" fontId="0" fillId="4" borderId="0" xfId="0" applyFill="1" applyBorder="1"/>
    <xf numFmtId="0" fontId="0" fillId="0" borderId="0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92"/>
  <sheetViews>
    <sheetView tabSelected="1" zoomScale="80" zoomScaleNormal="8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9.140625" style="1" collapsed="1"/>
    <col min="2" max="2" width="17" style="3" customWidth="1" collapsed="1"/>
    <col min="3" max="3" width="26.5703125" style="2" customWidth="1" collapsed="1"/>
    <col min="4" max="4" width="25.5703125" style="1" customWidth="1" collapsed="1"/>
    <col min="5" max="5" width="22.42578125" style="2" customWidth="1" collapsed="1"/>
    <col min="6" max="6" width="32.140625" style="2" customWidth="1" collapsed="1"/>
    <col min="7" max="7" width="17.42578125" style="1" customWidth="1" collapsed="1"/>
    <col min="8" max="8" width="18.7109375" style="1" customWidth="1" collapsed="1"/>
    <col min="9" max="9" width="16.7109375" style="1" customWidth="1" collapsed="1"/>
    <col min="10" max="10" width="18" style="1" customWidth="1" collapsed="1"/>
    <col min="11" max="11" width="74.28515625" style="1" customWidth="1" collapsed="1"/>
    <col min="12" max="12" width="30.5703125" style="1" customWidth="1" collapsed="1"/>
    <col min="13" max="13" width="25.140625" style="1" customWidth="1" collapsed="1"/>
    <col min="14" max="14" width="37.7109375" style="1" customWidth="1" collapsed="1"/>
    <col min="15" max="15" width="18.5703125" style="1" customWidth="1" collapsed="1"/>
    <col min="16" max="16" width="37.5703125" style="1" customWidth="1" collapsed="1"/>
    <col min="17" max="17" width="17.28515625" style="1" customWidth="1" collapsed="1"/>
    <col min="18" max="18" width="18.85546875" style="1" customWidth="1" collapsed="1"/>
    <col min="19" max="19" width="73" style="3" customWidth="1" collapsed="1"/>
    <col min="20" max="16384" width="9.140625" style="1" collapsed="1"/>
  </cols>
  <sheetData>
    <row r="1" spans="1:19" s="2" customFormat="1" x14ac:dyDescent="0.25">
      <c r="A1" s="4" t="s">
        <v>1</v>
      </c>
      <c r="B1" s="4" t="s">
        <v>0</v>
      </c>
      <c r="C1" s="5" t="s">
        <v>4</v>
      </c>
      <c r="D1" s="5" t="s">
        <v>5</v>
      </c>
      <c r="E1" s="6" t="s">
        <v>6</v>
      </c>
      <c r="F1" s="7" t="s">
        <v>7</v>
      </c>
      <c r="G1" s="8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6" t="s">
        <v>15</v>
      </c>
      <c r="O1" s="5" t="s">
        <v>16</v>
      </c>
      <c r="P1" s="6" t="s">
        <v>17</v>
      </c>
      <c r="Q1" s="6" t="s">
        <v>18</v>
      </c>
      <c r="R1" s="6" t="s">
        <v>19</v>
      </c>
      <c r="S1" s="4" t="s">
        <v>2976</v>
      </c>
    </row>
    <row r="2" spans="1:19" s="19" customFormat="1" x14ac:dyDescent="0.25">
      <c r="A2" s="17">
        <v>0</v>
      </c>
      <c r="B2" s="17" t="s">
        <v>2979</v>
      </c>
      <c r="C2" s="8" t="s">
        <v>20</v>
      </c>
      <c r="D2" s="8" t="s">
        <v>21</v>
      </c>
      <c r="E2" s="8"/>
      <c r="F2" s="18" t="s">
        <v>2983</v>
      </c>
      <c r="G2" s="8">
        <v>111963914</v>
      </c>
      <c r="H2" s="23">
        <v>4</v>
      </c>
      <c r="I2" s="8" t="s">
        <v>24</v>
      </c>
      <c r="J2" s="8">
        <v>111963914442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30</v>
      </c>
      <c r="Q2" s="8">
        <f t="shared" ref="Q2:Q65" si="0">LEN(L2)</f>
        <v>16</v>
      </c>
      <c r="R2" s="8">
        <f>LEN(N2)</f>
        <v>13</v>
      </c>
      <c r="S2" s="17"/>
    </row>
    <row r="3" spans="1:19" x14ac:dyDescent="0.25">
      <c r="A3" s="2">
        <v>1</v>
      </c>
      <c r="B3" s="3" t="s">
        <v>2986</v>
      </c>
      <c r="C3" t="s">
        <v>31</v>
      </c>
      <c r="D3" t="s">
        <v>21</v>
      </c>
      <c r="E3"/>
      <c r="F3" s="9">
        <v>24392766772</v>
      </c>
      <c r="G3" t="s">
        <v>22</v>
      </c>
      <c r="H3" t="s">
        <v>23</v>
      </c>
      <c r="I3" t="s">
        <v>32</v>
      </c>
      <c r="J3" t="s">
        <v>33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f t="shared" si="0"/>
        <v>16</v>
      </c>
      <c r="R3">
        <f t="shared" ref="R3:R66" si="1">LEN(N3)</f>
        <v>13</v>
      </c>
    </row>
    <row r="4" spans="1:19" x14ac:dyDescent="0.25">
      <c r="A4" s="3">
        <v>2</v>
      </c>
      <c r="B4" s="3" t="s">
        <v>2987</v>
      </c>
      <c r="C4" t="s">
        <v>34</v>
      </c>
      <c r="D4" t="s">
        <v>21</v>
      </c>
      <c r="E4"/>
      <c r="F4" s="9">
        <v>51376549816</v>
      </c>
      <c r="G4" t="s">
        <v>35</v>
      </c>
      <c r="H4" t="s">
        <v>36</v>
      </c>
      <c r="I4" t="s">
        <v>37</v>
      </c>
      <c r="J4" t="s">
        <v>38</v>
      </c>
      <c r="K4" t="s">
        <v>25</v>
      </c>
      <c r="L4" t="s">
        <v>39</v>
      </c>
      <c r="M4" t="s">
        <v>27</v>
      </c>
      <c r="N4" t="s">
        <v>40</v>
      </c>
      <c r="O4" t="s">
        <v>29</v>
      </c>
      <c r="P4" t="s">
        <v>30</v>
      </c>
      <c r="Q4">
        <f t="shared" si="0"/>
        <v>16</v>
      </c>
      <c r="R4">
        <f t="shared" si="1"/>
        <v>15</v>
      </c>
    </row>
    <row r="5" spans="1:19" x14ac:dyDescent="0.25">
      <c r="A5" s="2">
        <v>3</v>
      </c>
      <c r="B5" s="3" t="s">
        <v>2979</v>
      </c>
      <c r="C5" t="s">
        <v>41</v>
      </c>
      <c r="D5" t="s">
        <v>21</v>
      </c>
      <c r="E5"/>
      <c r="F5" s="9">
        <v>22774039894</v>
      </c>
      <c r="G5">
        <v>111948518</v>
      </c>
      <c r="H5" t="s">
        <v>36</v>
      </c>
      <c r="I5" t="s">
        <v>24</v>
      </c>
      <c r="J5" t="s">
        <v>42</v>
      </c>
      <c r="K5" t="s">
        <v>25</v>
      </c>
      <c r="L5" t="s">
        <v>39</v>
      </c>
      <c r="M5" t="s">
        <v>27</v>
      </c>
      <c r="N5" t="s">
        <v>40</v>
      </c>
      <c r="O5" t="s">
        <v>29</v>
      </c>
      <c r="P5" t="s">
        <v>30</v>
      </c>
      <c r="Q5">
        <f t="shared" si="0"/>
        <v>16</v>
      </c>
      <c r="R5">
        <f t="shared" si="1"/>
        <v>15</v>
      </c>
    </row>
    <row r="6" spans="1:19" x14ac:dyDescent="0.25">
      <c r="A6" s="3">
        <v>4</v>
      </c>
      <c r="B6" s="3" t="s">
        <v>2979</v>
      </c>
      <c r="C6" t="s">
        <v>43</v>
      </c>
      <c r="D6" t="s">
        <v>21</v>
      </c>
      <c r="E6"/>
      <c r="F6" s="9">
        <v>32837381810</v>
      </c>
      <c r="G6" t="s">
        <v>35</v>
      </c>
      <c r="H6" t="s">
        <v>36</v>
      </c>
      <c r="I6" t="s">
        <v>32</v>
      </c>
      <c r="J6" t="s">
        <v>44</v>
      </c>
      <c r="K6" t="s">
        <v>25</v>
      </c>
      <c r="L6" t="s">
        <v>39</v>
      </c>
      <c r="M6" t="s">
        <v>27</v>
      </c>
      <c r="N6" t="s">
        <v>40</v>
      </c>
      <c r="O6" t="s">
        <v>29</v>
      </c>
      <c r="P6" t="s">
        <v>30</v>
      </c>
      <c r="Q6">
        <f t="shared" si="0"/>
        <v>16</v>
      </c>
      <c r="R6">
        <f t="shared" si="1"/>
        <v>15</v>
      </c>
    </row>
    <row r="7" spans="1:19" x14ac:dyDescent="0.25">
      <c r="A7" s="2">
        <v>5</v>
      </c>
      <c r="B7" s="3" t="s">
        <v>2979</v>
      </c>
      <c r="C7" t="s">
        <v>45</v>
      </c>
      <c r="D7" t="s">
        <v>21</v>
      </c>
      <c r="E7"/>
      <c r="F7" s="9" t="s">
        <v>46</v>
      </c>
      <c r="G7" t="s">
        <v>47</v>
      </c>
      <c r="H7" t="s">
        <v>48</v>
      </c>
      <c r="I7" t="s">
        <v>32</v>
      </c>
      <c r="J7" t="s">
        <v>49</v>
      </c>
      <c r="K7" t="s">
        <v>25</v>
      </c>
      <c r="L7" t="s">
        <v>50</v>
      </c>
      <c r="M7" t="s">
        <v>27</v>
      </c>
      <c r="N7" t="s">
        <v>51</v>
      </c>
      <c r="O7" t="s">
        <v>29</v>
      </c>
      <c r="P7" t="s">
        <v>30</v>
      </c>
      <c r="Q7">
        <f t="shared" si="0"/>
        <v>16</v>
      </c>
      <c r="R7">
        <f t="shared" si="1"/>
        <v>15</v>
      </c>
    </row>
    <row r="8" spans="1:19" x14ac:dyDescent="0.25">
      <c r="A8" s="3">
        <v>6</v>
      </c>
      <c r="B8" s="3" t="s">
        <v>2979</v>
      </c>
      <c r="C8" t="s">
        <v>52</v>
      </c>
      <c r="D8" t="s">
        <v>21</v>
      </c>
      <c r="E8"/>
      <c r="F8" s="9">
        <v>96770732149</v>
      </c>
      <c r="G8" t="s">
        <v>53</v>
      </c>
      <c r="H8" t="s">
        <v>32</v>
      </c>
      <c r="I8" t="s">
        <v>24</v>
      </c>
      <c r="J8" t="s">
        <v>54</v>
      </c>
      <c r="K8" t="s">
        <v>25</v>
      </c>
      <c r="L8" t="s">
        <v>55</v>
      </c>
      <c r="M8" t="s">
        <v>27</v>
      </c>
      <c r="N8" t="s">
        <v>56</v>
      </c>
      <c r="O8" t="s">
        <v>29</v>
      </c>
      <c r="P8" t="s">
        <v>30</v>
      </c>
      <c r="Q8">
        <f t="shared" si="0"/>
        <v>16</v>
      </c>
      <c r="R8">
        <f t="shared" si="1"/>
        <v>13</v>
      </c>
    </row>
    <row r="9" spans="1:19" x14ac:dyDescent="0.25">
      <c r="A9" s="2">
        <v>7</v>
      </c>
      <c r="B9" s="3" t="s">
        <v>2979</v>
      </c>
      <c r="C9" t="s">
        <v>57</v>
      </c>
      <c r="D9" t="s">
        <v>21</v>
      </c>
      <c r="E9"/>
      <c r="F9" s="9">
        <v>40923337814</v>
      </c>
      <c r="G9" t="s">
        <v>58</v>
      </c>
      <c r="H9" t="s">
        <v>59</v>
      </c>
      <c r="I9" t="s">
        <v>32</v>
      </c>
      <c r="J9" t="s">
        <v>60</v>
      </c>
      <c r="K9" t="s">
        <v>25</v>
      </c>
      <c r="L9" t="s">
        <v>61</v>
      </c>
      <c r="M9" t="s">
        <v>27</v>
      </c>
      <c r="N9" t="s">
        <v>62</v>
      </c>
      <c r="O9" t="s">
        <v>29</v>
      </c>
      <c r="P9" t="s">
        <v>30</v>
      </c>
      <c r="Q9">
        <f t="shared" si="0"/>
        <v>16</v>
      </c>
      <c r="R9">
        <f t="shared" si="1"/>
        <v>15</v>
      </c>
    </row>
    <row r="10" spans="1:19" x14ac:dyDescent="0.25">
      <c r="A10" s="3">
        <v>8</v>
      </c>
      <c r="B10" s="3" t="s">
        <v>2979</v>
      </c>
      <c r="C10" t="s">
        <v>63</v>
      </c>
      <c r="D10" t="s">
        <v>21</v>
      </c>
      <c r="E10"/>
      <c r="F10" s="9" t="s">
        <v>64</v>
      </c>
      <c r="G10">
        <v>111537123</v>
      </c>
      <c r="H10" t="s">
        <v>66</v>
      </c>
      <c r="I10" t="s">
        <v>32</v>
      </c>
      <c r="J10" t="s">
        <v>67</v>
      </c>
      <c r="K10" t="s">
        <v>25</v>
      </c>
      <c r="L10" t="s">
        <v>68</v>
      </c>
      <c r="M10" t="s">
        <v>27</v>
      </c>
      <c r="N10" t="s">
        <v>69</v>
      </c>
      <c r="O10" t="s">
        <v>29</v>
      </c>
      <c r="P10" t="s">
        <v>30</v>
      </c>
      <c r="Q10">
        <f t="shared" si="0"/>
        <v>16</v>
      </c>
      <c r="R10">
        <f t="shared" si="1"/>
        <v>14</v>
      </c>
    </row>
    <row r="11" spans="1:19" x14ac:dyDescent="0.25">
      <c r="A11" s="2">
        <v>9</v>
      </c>
      <c r="B11" s="3" t="s">
        <v>2979</v>
      </c>
      <c r="C11" t="s">
        <v>70</v>
      </c>
      <c r="D11" t="s">
        <v>21</v>
      </c>
      <c r="E11"/>
      <c r="F11" s="9" t="s">
        <v>71</v>
      </c>
      <c r="G11" t="s">
        <v>65</v>
      </c>
      <c r="H11" t="s">
        <v>72</v>
      </c>
      <c r="I11" t="s">
        <v>24</v>
      </c>
      <c r="J11" t="s">
        <v>73</v>
      </c>
      <c r="K11" t="s">
        <v>25</v>
      </c>
      <c r="L11" t="s">
        <v>74</v>
      </c>
      <c r="M11" t="s">
        <v>27</v>
      </c>
      <c r="N11" t="s">
        <v>75</v>
      </c>
      <c r="O11" t="s">
        <v>29</v>
      </c>
      <c r="P11" t="s">
        <v>30</v>
      </c>
      <c r="Q11">
        <f t="shared" si="0"/>
        <v>16</v>
      </c>
      <c r="R11">
        <f t="shared" si="1"/>
        <v>10</v>
      </c>
    </row>
    <row r="12" spans="1:19" x14ac:dyDescent="0.25">
      <c r="A12" s="3">
        <v>10</v>
      </c>
      <c r="B12" s="3" t="s">
        <v>2979</v>
      </c>
      <c r="C12" t="s">
        <v>76</v>
      </c>
      <c r="D12" t="s">
        <v>21</v>
      </c>
      <c r="E12"/>
      <c r="F12" s="9" t="s">
        <v>77</v>
      </c>
      <c r="G12" t="s">
        <v>65</v>
      </c>
      <c r="H12" t="s">
        <v>72</v>
      </c>
      <c r="I12" t="s">
        <v>32</v>
      </c>
      <c r="J12" t="s">
        <v>78</v>
      </c>
      <c r="K12" t="s">
        <v>25</v>
      </c>
      <c r="L12" t="s">
        <v>74</v>
      </c>
      <c r="M12" t="s">
        <v>27</v>
      </c>
      <c r="N12" t="s">
        <v>75</v>
      </c>
      <c r="O12" t="s">
        <v>29</v>
      </c>
      <c r="P12" t="s">
        <v>30</v>
      </c>
      <c r="Q12">
        <f t="shared" si="0"/>
        <v>16</v>
      </c>
      <c r="R12">
        <f t="shared" si="1"/>
        <v>10</v>
      </c>
    </row>
    <row r="13" spans="1:19" x14ac:dyDescent="0.25">
      <c r="A13" s="2">
        <v>11</v>
      </c>
      <c r="B13" s="3" t="s">
        <v>2979</v>
      </c>
      <c r="C13" t="s">
        <v>79</v>
      </c>
      <c r="D13" t="s">
        <v>21</v>
      </c>
      <c r="E13"/>
      <c r="F13" s="9">
        <v>0</v>
      </c>
      <c r="G13">
        <v>111536626</v>
      </c>
      <c r="H13" t="s">
        <v>81</v>
      </c>
      <c r="I13" t="s">
        <v>24</v>
      </c>
      <c r="J13" t="s">
        <v>82</v>
      </c>
      <c r="K13" t="s">
        <v>25</v>
      </c>
      <c r="L13" t="s">
        <v>83</v>
      </c>
      <c r="M13" t="s">
        <v>27</v>
      </c>
      <c r="N13" t="s">
        <v>84</v>
      </c>
      <c r="O13" t="s">
        <v>29</v>
      </c>
      <c r="P13" t="s">
        <v>30</v>
      </c>
      <c r="Q13">
        <f t="shared" si="0"/>
        <v>16</v>
      </c>
      <c r="R13">
        <f t="shared" si="1"/>
        <v>13</v>
      </c>
    </row>
    <row r="14" spans="1:19" x14ac:dyDescent="0.25">
      <c r="A14" s="3">
        <v>12</v>
      </c>
      <c r="B14" s="3" t="s">
        <v>2979</v>
      </c>
      <c r="C14" t="s">
        <v>85</v>
      </c>
      <c r="D14" t="s">
        <v>21</v>
      </c>
      <c r="E14"/>
      <c r="F14" s="9" t="s">
        <v>86</v>
      </c>
      <c r="G14" t="s">
        <v>80</v>
      </c>
      <c r="H14" t="s">
        <v>81</v>
      </c>
      <c r="I14" t="s">
        <v>32</v>
      </c>
      <c r="J14" t="s">
        <v>87</v>
      </c>
      <c r="K14" t="s">
        <v>25</v>
      </c>
      <c r="L14" t="s">
        <v>83</v>
      </c>
      <c r="M14" t="s">
        <v>27</v>
      </c>
      <c r="N14" t="s">
        <v>84</v>
      </c>
      <c r="O14" t="s">
        <v>29</v>
      </c>
      <c r="P14" t="s">
        <v>30</v>
      </c>
      <c r="Q14">
        <f t="shared" si="0"/>
        <v>16</v>
      </c>
      <c r="R14">
        <f t="shared" si="1"/>
        <v>13</v>
      </c>
    </row>
    <row r="15" spans="1:19" x14ac:dyDescent="0.25">
      <c r="A15" s="2">
        <v>13</v>
      </c>
      <c r="B15" s="3" t="s">
        <v>2979</v>
      </c>
      <c r="C15" t="s">
        <v>88</v>
      </c>
      <c r="D15" t="s">
        <v>21</v>
      </c>
      <c r="E15"/>
      <c r="F15" s="9" t="s">
        <v>89</v>
      </c>
      <c r="G15" t="s">
        <v>80</v>
      </c>
      <c r="H15" t="s">
        <v>90</v>
      </c>
      <c r="I15" t="s">
        <v>32</v>
      </c>
      <c r="J15" t="s">
        <v>91</v>
      </c>
      <c r="K15" t="s">
        <v>25</v>
      </c>
      <c r="L15" t="s">
        <v>92</v>
      </c>
      <c r="M15" t="s">
        <v>27</v>
      </c>
      <c r="N15" t="s">
        <v>93</v>
      </c>
      <c r="O15" t="s">
        <v>29</v>
      </c>
      <c r="P15" t="s">
        <v>30</v>
      </c>
      <c r="Q15">
        <f t="shared" si="0"/>
        <v>16</v>
      </c>
      <c r="R15">
        <f t="shared" si="1"/>
        <v>13</v>
      </c>
    </row>
    <row r="16" spans="1:19" x14ac:dyDescent="0.25">
      <c r="A16" s="3" t="s">
        <v>2984</v>
      </c>
      <c r="B16" s="3" t="s">
        <v>2979</v>
      </c>
      <c r="C16" t="s">
        <v>94</v>
      </c>
      <c r="D16" t="s">
        <v>21</v>
      </c>
      <c r="E16"/>
      <c r="F16" s="9">
        <v>57450955806</v>
      </c>
      <c r="G16">
        <v>111507530</v>
      </c>
      <c r="H16" t="s">
        <v>95</v>
      </c>
      <c r="I16" t="s">
        <v>37</v>
      </c>
      <c r="J16" t="s">
        <v>96</v>
      </c>
      <c r="K16" t="s">
        <v>25</v>
      </c>
      <c r="L16" t="s">
        <v>97</v>
      </c>
      <c r="M16" t="s">
        <v>27</v>
      </c>
      <c r="N16" t="s">
        <v>98</v>
      </c>
      <c r="O16" t="s">
        <v>29</v>
      </c>
      <c r="P16" t="s">
        <v>30</v>
      </c>
      <c r="Q16">
        <f t="shared" si="0"/>
        <v>16</v>
      </c>
      <c r="R16">
        <f t="shared" si="1"/>
        <v>15</v>
      </c>
    </row>
    <row r="17" spans="1:19" s="19" customFormat="1" x14ac:dyDescent="0.25">
      <c r="A17" s="22">
        <v>15</v>
      </c>
      <c r="B17" s="17" t="s">
        <v>2979</v>
      </c>
      <c r="C17" s="8" t="s">
        <v>99</v>
      </c>
      <c r="D17" s="8" t="s">
        <v>21</v>
      </c>
      <c r="E17" s="8"/>
      <c r="F17" s="18" t="s">
        <v>2981</v>
      </c>
      <c r="G17" s="23">
        <v>111240810</v>
      </c>
      <c r="H17" s="8" t="s">
        <v>37</v>
      </c>
      <c r="I17" s="23">
        <v>2</v>
      </c>
      <c r="J17" s="8" t="s">
        <v>100</v>
      </c>
      <c r="K17" s="8" t="s">
        <v>25</v>
      </c>
      <c r="L17" s="8" t="s">
        <v>101</v>
      </c>
      <c r="M17" s="8" t="s">
        <v>27</v>
      </c>
      <c r="N17" s="8" t="s">
        <v>102</v>
      </c>
      <c r="O17" s="8" t="s">
        <v>29</v>
      </c>
      <c r="P17" s="8" t="s">
        <v>30</v>
      </c>
      <c r="Q17" s="8">
        <f t="shared" si="0"/>
        <v>16</v>
      </c>
      <c r="R17" s="8">
        <f t="shared" si="1"/>
        <v>13</v>
      </c>
      <c r="S17" s="17" t="s">
        <v>2982</v>
      </c>
    </row>
    <row r="18" spans="1:19" x14ac:dyDescent="0.25">
      <c r="A18" s="3">
        <v>16</v>
      </c>
      <c r="B18" s="3" t="s">
        <v>2979</v>
      </c>
      <c r="C18" t="s">
        <v>103</v>
      </c>
      <c r="D18" t="s">
        <v>21</v>
      </c>
      <c r="E18"/>
      <c r="F18" s="9" t="s">
        <v>104</v>
      </c>
      <c r="G18" t="s">
        <v>105</v>
      </c>
      <c r="H18" t="s">
        <v>106</v>
      </c>
      <c r="I18" t="s">
        <v>32</v>
      </c>
      <c r="J18" t="s">
        <v>107</v>
      </c>
      <c r="K18" t="s">
        <v>25</v>
      </c>
      <c r="L18" t="s">
        <v>108</v>
      </c>
      <c r="M18" t="s">
        <v>27</v>
      </c>
      <c r="N18" t="s">
        <v>109</v>
      </c>
      <c r="O18" t="s">
        <v>29</v>
      </c>
      <c r="P18" t="s">
        <v>30</v>
      </c>
      <c r="Q18">
        <f t="shared" si="0"/>
        <v>16</v>
      </c>
      <c r="R18">
        <f t="shared" si="1"/>
        <v>15</v>
      </c>
    </row>
    <row r="19" spans="1:19" x14ac:dyDescent="0.25">
      <c r="A19" s="2">
        <v>17</v>
      </c>
      <c r="B19" s="3" t="s">
        <v>2979</v>
      </c>
      <c r="C19" t="s">
        <v>110</v>
      </c>
      <c r="D19" t="s">
        <v>21</v>
      </c>
      <c r="E19"/>
      <c r="F19" s="9" t="s">
        <v>111</v>
      </c>
      <c r="G19" t="s">
        <v>112</v>
      </c>
      <c r="H19" t="s">
        <v>113</v>
      </c>
      <c r="I19" t="s">
        <v>32</v>
      </c>
      <c r="J19" t="s">
        <v>114</v>
      </c>
      <c r="K19" t="s">
        <v>25</v>
      </c>
      <c r="L19" t="s">
        <v>115</v>
      </c>
      <c r="M19" t="s">
        <v>27</v>
      </c>
      <c r="N19" t="s">
        <v>116</v>
      </c>
      <c r="O19" t="s">
        <v>29</v>
      </c>
      <c r="P19" t="s">
        <v>30</v>
      </c>
      <c r="Q19">
        <f t="shared" si="0"/>
        <v>16</v>
      </c>
      <c r="R19">
        <f t="shared" si="1"/>
        <v>13</v>
      </c>
    </row>
    <row r="20" spans="1:19" x14ac:dyDescent="0.25">
      <c r="A20" s="3">
        <v>18</v>
      </c>
      <c r="B20" s="3" t="s">
        <v>2979</v>
      </c>
      <c r="C20" t="s">
        <v>117</v>
      </c>
      <c r="D20" t="s">
        <v>21</v>
      </c>
      <c r="E20"/>
      <c r="F20" s="9" t="s">
        <v>118</v>
      </c>
      <c r="G20" t="s">
        <v>119</v>
      </c>
      <c r="H20" t="s">
        <v>120</v>
      </c>
      <c r="I20" t="s">
        <v>32</v>
      </c>
      <c r="J20" t="s">
        <v>121</v>
      </c>
      <c r="K20" t="s">
        <v>25</v>
      </c>
      <c r="L20" t="s">
        <v>122</v>
      </c>
      <c r="M20" t="s">
        <v>27</v>
      </c>
      <c r="N20" t="s">
        <v>123</v>
      </c>
      <c r="O20" t="s">
        <v>29</v>
      </c>
      <c r="P20" t="s">
        <v>30</v>
      </c>
      <c r="Q20">
        <f t="shared" si="0"/>
        <v>16</v>
      </c>
      <c r="R20">
        <f t="shared" si="1"/>
        <v>15</v>
      </c>
    </row>
    <row r="21" spans="1:19" x14ac:dyDescent="0.25">
      <c r="A21" s="2">
        <v>19</v>
      </c>
      <c r="B21" s="3" t="s">
        <v>2979</v>
      </c>
      <c r="C21" t="s">
        <v>124</v>
      </c>
      <c r="D21" t="s">
        <v>21</v>
      </c>
      <c r="E21"/>
      <c r="F21" s="9" t="s">
        <v>125</v>
      </c>
      <c r="G21" t="s">
        <v>126</v>
      </c>
      <c r="H21" t="s">
        <v>36</v>
      </c>
      <c r="I21" t="s">
        <v>24</v>
      </c>
      <c r="J21" t="s">
        <v>127</v>
      </c>
      <c r="K21" t="s">
        <v>25</v>
      </c>
      <c r="L21" t="s">
        <v>128</v>
      </c>
      <c r="M21" t="s">
        <v>27</v>
      </c>
      <c r="N21" t="s">
        <v>129</v>
      </c>
      <c r="O21" t="s">
        <v>29</v>
      </c>
      <c r="P21" t="s">
        <v>30</v>
      </c>
      <c r="Q21">
        <f t="shared" si="0"/>
        <v>16</v>
      </c>
      <c r="R21">
        <f t="shared" si="1"/>
        <v>13</v>
      </c>
    </row>
    <row r="22" spans="1:19" x14ac:dyDescent="0.25">
      <c r="A22" s="3">
        <v>20</v>
      </c>
      <c r="B22" s="3" t="s">
        <v>2979</v>
      </c>
      <c r="C22" t="s">
        <v>130</v>
      </c>
      <c r="D22" t="s">
        <v>21</v>
      </c>
      <c r="E22"/>
      <c r="F22" s="9" t="s">
        <v>131</v>
      </c>
      <c r="G22" t="s">
        <v>132</v>
      </c>
      <c r="H22" t="s">
        <v>37</v>
      </c>
      <c r="I22" t="s">
        <v>32</v>
      </c>
      <c r="J22" t="s">
        <v>133</v>
      </c>
      <c r="K22" t="s">
        <v>25</v>
      </c>
      <c r="L22" t="s">
        <v>134</v>
      </c>
      <c r="M22" t="s">
        <v>27</v>
      </c>
      <c r="N22" t="s">
        <v>135</v>
      </c>
      <c r="O22" t="s">
        <v>29</v>
      </c>
      <c r="P22" t="s">
        <v>30</v>
      </c>
      <c r="Q22">
        <f t="shared" si="0"/>
        <v>16</v>
      </c>
      <c r="R22">
        <f t="shared" si="1"/>
        <v>15</v>
      </c>
    </row>
    <row r="23" spans="1:19" x14ac:dyDescent="0.25">
      <c r="A23" s="2">
        <v>21</v>
      </c>
      <c r="B23" s="3" t="s">
        <v>2979</v>
      </c>
      <c r="C23" t="s">
        <v>136</v>
      </c>
      <c r="D23" t="s">
        <v>21</v>
      </c>
      <c r="E23"/>
      <c r="F23" s="9" t="s">
        <v>137</v>
      </c>
      <c r="G23" t="s">
        <v>138</v>
      </c>
      <c r="H23" t="s">
        <v>32</v>
      </c>
      <c r="I23" t="s">
        <v>36</v>
      </c>
      <c r="J23" t="s">
        <v>139</v>
      </c>
      <c r="K23" t="s">
        <v>25</v>
      </c>
      <c r="L23" t="s">
        <v>140</v>
      </c>
      <c r="M23" t="s">
        <v>27</v>
      </c>
      <c r="N23" t="s">
        <v>141</v>
      </c>
      <c r="O23" t="s">
        <v>29</v>
      </c>
      <c r="P23" t="s">
        <v>30</v>
      </c>
      <c r="Q23">
        <f t="shared" si="0"/>
        <v>16</v>
      </c>
      <c r="R23">
        <f t="shared" si="1"/>
        <v>15</v>
      </c>
    </row>
    <row r="24" spans="1:19" x14ac:dyDescent="0.25">
      <c r="A24" s="3">
        <v>22</v>
      </c>
      <c r="B24" s="3" t="s">
        <v>2979</v>
      </c>
      <c r="C24" t="s">
        <v>142</v>
      </c>
      <c r="D24" t="s">
        <v>21</v>
      </c>
      <c r="E24"/>
      <c r="F24" s="9">
        <v>0</v>
      </c>
      <c r="G24" t="s">
        <v>138</v>
      </c>
      <c r="H24" t="s">
        <v>32</v>
      </c>
      <c r="I24" t="s">
        <v>37</v>
      </c>
      <c r="J24" t="s">
        <v>143</v>
      </c>
      <c r="K24" t="s">
        <v>25</v>
      </c>
      <c r="L24" t="s">
        <v>140</v>
      </c>
      <c r="M24" t="s">
        <v>27</v>
      </c>
      <c r="N24" t="s">
        <v>141</v>
      </c>
      <c r="O24" t="s">
        <v>29</v>
      </c>
      <c r="P24" t="s">
        <v>30</v>
      </c>
      <c r="Q24">
        <f t="shared" si="0"/>
        <v>16</v>
      </c>
      <c r="R24">
        <f t="shared" si="1"/>
        <v>15</v>
      </c>
    </row>
    <row r="25" spans="1:19" x14ac:dyDescent="0.25">
      <c r="A25" s="2">
        <v>23</v>
      </c>
      <c r="B25" s="3" t="s">
        <v>2979</v>
      </c>
      <c r="C25" t="s">
        <v>144</v>
      </c>
      <c r="D25" t="s">
        <v>21</v>
      </c>
      <c r="E25"/>
      <c r="F25" s="9" t="s">
        <v>145</v>
      </c>
      <c r="G25" t="s">
        <v>138</v>
      </c>
      <c r="H25" t="s">
        <v>32</v>
      </c>
      <c r="I25" t="s">
        <v>24</v>
      </c>
      <c r="J25" t="s">
        <v>146</v>
      </c>
      <c r="K25" t="s">
        <v>25</v>
      </c>
      <c r="L25" t="s">
        <v>140</v>
      </c>
      <c r="M25" t="s">
        <v>27</v>
      </c>
      <c r="N25" t="s">
        <v>141</v>
      </c>
      <c r="O25" t="s">
        <v>29</v>
      </c>
      <c r="P25" t="s">
        <v>30</v>
      </c>
      <c r="Q25">
        <f t="shared" si="0"/>
        <v>16</v>
      </c>
      <c r="R25">
        <f t="shared" si="1"/>
        <v>15</v>
      </c>
    </row>
    <row r="26" spans="1:19" x14ac:dyDescent="0.25">
      <c r="A26" s="3">
        <v>24</v>
      </c>
      <c r="B26" s="3" t="s">
        <v>2979</v>
      </c>
      <c r="C26" t="s">
        <v>147</v>
      </c>
      <c r="D26" t="s">
        <v>21</v>
      </c>
      <c r="E26"/>
      <c r="F26" s="9" t="s">
        <v>148</v>
      </c>
      <c r="G26" t="s">
        <v>138</v>
      </c>
      <c r="H26" t="s">
        <v>32</v>
      </c>
      <c r="I26" t="s">
        <v>32</v>
      </c>
      <c r="J26" t="s">
        <v>149</v>
      </c>
      <c r="K26" t="s">
        <v>25</v>
      </c>
      <c r="L26" t="s">
        <v>140</v>
      </c>
      <c r="M26" t="s">
        <v>27</v>
      </c>
      <c r="N26" t="s">
        <v>141</v>
      </c>
      <c r="O26" t="s">
        <v>29</v>
      </c>
      <c r="P26" t="s">
        <v>30</v>
      </c>
      <c r="Q26">
        <f t="shared" si="0"/>
        <v>16</v>
      </c>
      <c r="R26">
        <f t="shared" si="1"/>
        <v>15</v>
      </c>
    </row>
    <row r="27" spans="1:19" x14ac:dyDescent="0.25">
      <c r="A27" s="2">
        <v>25</v>
      </c>
      <c r="B27" s="3" t="s">
        <v>2979</v>
      </c>
      <c r="C27" t="s">
        <v>150</v>
      </c>
      <c r="D27" t="s">
        <v>21</v>
      </c>
      <c r="E27"/>
      <c r="F27" s="9" t="s">
        <v>151</v>
      </c>
      <c r="G27" t="s">
        <v>152</v>
      </c>
      <c r="H27" t="s">
        <v>153</v>
      </c>
      <c r="I27" t="s">
        <v>32</v>
      </c>
      <c r="J27" t="s">
        <v>154</v>
      </c>
      <c r="K27" t="s">
        <v>25</v>
      </c>
      <c r="L27" t="s">
        <v>155</v>
      </c>
      <c r="M27" t="s">
        <v>27</v>
      </c>
      <c r="N27" t="s">
        <v>156</v>
      </c>
      <c r="O27" t="s">
        <v>29</v>
      </c>
      <c r="P27" t="s">
        <v>30</v>
      </c>
      <c r="Q27">
        <f t="shared" si="0"/>
        <v>16</v>
      </c>
      <c r="R27">
        <f t="shared" si="1"/>
        <v>13</v>
      </c>
    </row>
    <row r="28" spans="1:19" x14ac:dyDescent="0.25">
      <c r="A28" s="3">
        <v>26</v>
      </c>
      <c r="B28" s="3" t="s">
        <v>2979</v>
      </c>
      <c r="C28" t="s">
        <v>157</v>
      </c>
      <c r="D28" t="s">
        <v>21</v>
      </c>
      <c r="E28"/>
      <c r="F28" s="9" t="s">
        <v>158</v>
      </c>
      <c r="G28" t="s">
        <v>159</v>
      </c>
      <c r="H28" t="s">
        <v>160</v>
      </c>
      <c r="I28" t="s">
        <v>32</v>
      </c>
      <c r="J28" t="s">
        <v>161</v>
      </c>
      <c r="K28" t="s">
        <v>25</v>
      </c>
      <c r="L28" t="s">
        <v>162</v>
      </c>
      <c r="M28" t="s">
        <v>27</v>
      </c>
      <c r="N28" t="s">
        <v>163</v>
      </c>
      <c r="O28" t="s">
        <v>29</v>
      </c>
      <c r="P28" t="s">
        <v>30</v>
      </c>
      <c r="Q28">
        <f t="shared" si="0"/>
        <v>16</v>
      </c>
      <c r="R28">
        <f t="shared" si="1"/>
        <v>13</v>
      </c>
    </row>
    <row r="29" spans="1:19" x14ac:dyDescent="0.25">
      <c r="A29" s="2">
        <v>27</v>
      </c>
      <c r="B29" s="3" t="s">
        <v>2979</v>
      </c>
      <c r="C29" t="s">
        <v>164</v>
      </c>
      <c r="D29" t="s">
        <v>21</v>
      </c>
      <c r="E29"/>
      <c r="F29" s="9" t="s">
        <v>165</v>
      </c>
      <c r="G29" t="s">
        <v>166</v>
      </c>
      <c r="H29" t="s">
        <v>167</v>
      </c>
      <c r="I29" t="s">
        <v>32</v>
      </c>
      <c r="J29" t="s">
        <v>168</v>
      </c>
      <c r="K29" t="s">
        <v>25</v>
      </c>
      <c r="L29" t="s">
        <v>169</v>
      </c>
      <c r="M29" t="s">
        <v>27</v>
      </c>
      <c r="N29" t="s">
        <v>170</v>
      </c>
      <c r="O29" t="s">
        <v>29</v>
      </c>
      <c r="P29" t="s">
        <v>30</v>
      </c>
      <c r="Q29">
        <f t="shared" si="0"/>
        <v>16</v>
      </c>
      <c r="R29">
        <f t="shared" si="1"/>
        <v>13</v>
      </c>
    </row>
    <row r="30" spans="1:19" x14ac:dyDescent="0.25">
      <c r="A30" s="3">
        <v>28</v>
      </c>
      <c r="B30" s="3" t="s">
        <v>2979</v>
      </c>
      <c r="C30" t="s">
        <v>171</v>
      </c>
      <c r="D30" t="s">
        <v>21</v>
      </c>
      <c r="E30"/>
      <c r="F30" s="9" t="s">
        <v>172</v>
      </c>
      <c r="G30" t="s">
        <v>173</v>
      </c>
      <c r="H30" t="s">
        <v>174</v>
      </c>
      <c r="I30" t="s">
        <v>32</v>
      </c>
      <c r="J30" t="s">
        <v>175</v>
      </c>
      <c r="K30" t="s">
        <v>25</v>
      </c>
      <c r="L30" t="s">
        <v>176</v>
      </c>
      <c r="M30" t="s">
        <v>27</v>
      </c>
      <c r="N30" t="s">
        <v>177</v>
      </c>
      <c r="O30" t="s">
        <v>29</v>
      </c>
      <c r="P30" t="s">
        <v>30</v>
      </c>
      <c r="Q30">
        <f t="shared" si="0"/>
        <v>16</v>
      </c>
      <c r="R30">
        <f t="shared" si="1"/>
        <v>13</v>
      </c>
    </row>
    <row r="31" spans="1:19" x14ac:dyDescent="0.25">
      <c r="A31" s="2">
        <v>29</v>
      </c>
      <c r="B31" s="3" t="s">
        <v>2979</v>
      </c>
      <c r="C31" t="s">
        <v>178</v>
      </c>
      <c r="D31" t="s">
        <v>21</v>
      </c>
      <c r="E31"/>
      <c r="F31" s="9" t="s">
        <v>179</v>
      </c>
      <c r="G31" t="s">
        <v>173</v>
      </c>
      <c r="H31" t="s">
        <v>180</v>
      </c>
      <c r="I31" t="s">
        <v>32</v>
      </c>
      <c r="J31" t="s">
        <v>181</v>
      </c>
      <c r="K31" t="s">
        <v>25</v>
      </c>
      <c r="L31" t="s">
        <v>182</v>
      </c>
      <c r="M31" t="s">
        <v>27</v>
      </c>
      <c r="N31" t="s">
        <v>183</v>
      </c>
      <c r="O31" t="s">
        <v>29</v>
      </c>
      <c r="P31" t="s">
        <v>30</v>
      </c>
      <c r="Q31">
        <f t="shared" si="0"/>
        <v>16</v>
      </c>
      <c r="R31">
        <f t="shared" si="1"/>
        <v>13</v>
      </c>
    </row>
    <row r="32" spans="1:19" x14ac:dyDescent="0.25">
      <c r="A32" s="3">
        <v>30</v>
      </c>
      <c r="B32" s="3" t="s">
        <v>2979</v>
      </c>
      <c r="C32" t="s">
        <v>184</v>
      </c>
      <c r="D32" t="s">
        <v>21</v>
      </c>
      <c r="E32"/>
      <c r="F32" s="9" t="s">
        <v>185</v>
      </c>
      <c r="G32" t="s">
        <v>173</v>
      </c>
      <c r="H32" t="s">
        <v>95</v>
      </c>
      <c r="I32" t="s">
        <v>32</v>
      </c>
      <c r="J32" t="s">
        <v>186</v>
      </c>
      <c r="K32" t="s">
        <v>25</v>
      </c>
      <c r="L32" t="s">
        <v>187</v>
      </c>
      <c r="M32" t="s">
        <v>27</v>
      </c>
      <c r="N32" t="s">
        <v>188</v>
      </c>
      <c r="O32" t="s">
        <v>29</v>
      </c>
      <c r="P32" t="s">
        <v>30</v>
      </c>
      <c r="Q32">
        <f t="shared" si="0"/>
        <v>16</v>
      </c>
      <c r="R32">
        <f t="shared" si="1"/>
        <v>13</v>
      </c>
    </row>
    <row r="33" spans="1:18" x14ac:dyDescent="0.25">
      <c r="A33" s="2">
        <v>31</v>
      </c>
      <c r="B33" s="3" t="s">
        <v>2979</v>
      </c>
      <c r="C33" t="s">
        <v>189</v>
      </c>
      <c r="D33" t="s">
        <v>21</v>
      </c>
      <c r="E33"/>
      <c r="F33" s="9" t="s">
        <v>190</v>
      </c>
      <c r="G33" t="s">
        <v>191</v>
      </c>
      <c r="H33" t="s">
        <v>192</v>
      </c>
      <c r="I33" t="s">
        <v>32</v>
      </c>
      <c r="J33" t="s">
        <v>193</v>
      </c>
      <c r="K33" t="s">
        <v>25</v>
      </c>
      <c r="L33" t="s">
        <v>194</v>
      </c>
      <c r="M33" t="s">
        <v>27</v>
      </c>
      <c r="N33" t="s">
        <v>195</v>
      </c>
      <c r="O33" t="s">
        <v>29</v>
      </c>
      <c r="P33" t="s">
        <v>30</v>
      </c>
      <c r="Q33">
        <f t="shared" si="0"/>
        <v>16</v>
      </c>
      <c r="R33">
        <f t="shared" si="1"/>
        <v>13</v>
      </c>
    </row>
    <row r="34" spans="1:18" x14ac:dyDescent="0.25">
      <c r="A34" s="3">
        <v>32</v>
      </c>
      <c r="B34" s="3" t="s">
        <v>2979</v>
      </c>
      <c r="C34" t="s">
        <v>196</v>
      </c>
      <c r="D34" t="s">
        <v>21</v>
      </c>
      <c r="E34"/>
      <c r="F34" s="9" t="s">
        <v>197</v>
      </c>
      <c r="G34" t="s">
        <v>191</v>
      </c>
      <c r="H34" t="s">
        <v>198</v>
      </c>
      <c r="I34" t="s">
        <v>24</v>
      </c>
      <c r="J34" t="s">
        <v>199</v>
      </c>
      <c r="K34" t="s">
        <v>25</v>
      </c>
      <c r="L34" t="s">
        <v>200</v>
      </c>
      <c r="M34" t="s">
        <v>27</v>
      </c>
      <c r="N34" t="s">
        <v>201</v>
      </c>
      <c r="O34" t="s">
        <v>29</v>
      </c>
      <c r="P34" t="s">
        <v>30</v>
      </c>
      <c r="Q34">
        <f t="shared" si="0"/>
        <v>16</v>
      </c>
      <c r="R34">
        <f t="shared" si="1"/>
        <v>15</v>
      </c>
    </row>
    <row r="35" spans="1:18" x14ac:dyDescent="0.25">
      <c r="A35" s="2">
        <v>33</v>
      </c>
      <c r="B35" s="3" t="s">
        <v>2979</v>
      </c>
      <c r="C35" t="s">
        <v>202</v>
      </c>
      <c r="D35" t="s">
        <v>21</v>
      </c>
      <c r="E35"/>
      <c r="F35" s="9" t="s">
        <v>203</v>
      </c>
      <c r="G35" t="s">
        <v>191</v>
      </c>
      <c r="H35" t="s">
        <v>198</v>
      </c>
      <c r="I35" t="s">
        <v>32</v>
      </c>
      <c r="J35" t="s">
        <v>204</v>
      </c>
      <c r="K35" t="s">
        <v>25</v>
      </c>
      <c r="L35" t="s">
        <v>200</v>
      </c>
      <c r="M35" t="s">
        <v>27</v>
      </c>
      <c r="N35" t="s">
        <v>201</v>
      </c>
      <c r="O35" t="s">
        <v>29</v>
      </c>
      <c r="P35" t="s">
        <v>30</v>
      </c>
      <c r="Q35">
        <f t="shared" si="0"/>
        <v>16</v>
      </c>
      <c r="R35">
        <f t="shared" si="1"/>
        <v>15</v>
      </c>
    </row>
    <row r="36" spans="1:18" x14ac:dyDescent="0.25">
      <c r="A36" s="3">
        <v>34</v>
      </c>
      <c r="B36" s="3" t="s">
        <v>2979</v>
      </c>
      <c r="C36" t="s">
        <v>205</v>
      </c>
      <c r="D36" t="s">
        <v>21</v>
      </c>
      <c r="E36"/>
      <c r="F36" s="9" t="s">
        <v>206</v>
      </c>
      <c r="G36" t="s">
        <v>191</v>
      </c>
      <c r="H36" t="s">
        <v>95</v>
      </c>
      <c r="I36" t="s">
        <v>32</v>
      </c>
      <c r="J36" t="s">
        <v>207</v>
      </c>
      <c r="K36" t="s">
        <v>25</v>
      </c>
      <c r="L36" t="s">
        <v>208</v>
      </c>
      <c r="M36" t="s">
        <v>27</v>
      </c>
      <c r="N36" t="s">
        <v>209</v>
      </c>
      <c r="O36" t="s">
        <v>29</v>
      </c>
      <c r="P36" t="s">
        <v>30</v>
      </c>
      <c r="Q36">
        <f t="shared" si="0"/>
        <v>16</v>
      </c>
      <c r="R36">
        <f t="shared" si="1"/>
        <v>13</v>
      </c>
    </row>
    <row r="37" spans="1:18" x14ac:dyDescent="0.25">
      <c r="A37" s="2">
        <v>35</v>
      </c>
      <c r="B37" s="3" t="s">
        <v>2979</v>
      </c>
      <c r="C37" t="s">
        <v>210</v>
      </c>
      <c r="D37" t="s">
        <v>21</v>
      </c>
      <c r="E37"/>
      <c r="F37" s="9" t="s">
        <v>211</v>
      </c>
      <c r="G37" t="s">
        <v>212</v>
      </c>
      <c r="H37" t="s">
        <v>213</v>
      </c>
      <c r="I37" t="s">
        <v>32</v>
      </c>
      <c r="J37" t="s">
        <v>214</v>
      </c>
      <c r="K37" t="s">
        <v>25</v>
      </c>
      <c r="L37" t="s">
        <v>215</v>
      </c>
      <c r="M37" t="s">
        <v>27</v>
      </c>
      <c r="N37" t="s">
        <v>216</v>
      </c>
      <c r="O37" t="s">
        <v>29</v>
      </c>
      <c r="P37" t="s">
        <v>30</v>
      </c>
      <c r="Q37">
        <f t="shared" si="0"/>
        <v>16</v>
      </c>
      <c r="R37">
        <f t="shared" si="1"/>
        <v>15</v>
      </c>
    </row>
    <row r="38" spans="1:18" x14ac:dyDescent="0.25">
      <c r="A38" s="3">
        <v>36</v>
      </c>
      <c r="B38" s="3" t="s">
        <v>2979</v>
      </c>
      <c r="C38" t="s">
        <v>217</v>
      </c>
      <c r="D38" t="s">
        <v>21</v>
      </c>
      <c r="E38"/>
      <c r="F38" s="9" t="s">
        <v>218</v>
      </c>
      <c r="G38" t="s">
        <v>219</v>
      </c>
      <c r="H38" t="s">
        <v>32</v>
      </c>
      <c r="I38" t="s">
        <v>37</v>
      </c>
      <c r="J38" t="s">
        <v>220</v>
      </c>
      <c r="K38" t="s">
        <v>25</v>
      </c>
      <c r="L38" t="s">
        <v>221</v>
      </c>
      <c r="M38" t="s">
        <v>27</v>
      </c>
      <c r="N38" t="s">
        <v>222</v>
      </c>
      <c r="O38" t="s">
        <v>29</v>
      </c>
      <c r="P38" t="s">
        <v>30</v>
      </c>
      <c r="Q38">
        <f t="shared" si="0"/>
        <v>16</v>
      </c>
      <c r="R38">
        <f t="shared" si="1"/>
        <v>13</v>
      </c>
    </row>
    <row r="39" spans="1:18" x14ac:dyDescent="0.25">
      <c r="A39" s="2">
        <v>37</v>
      </c>
      <c r="B39" s="3" t="s">
        <v>2979</v>
      </c>
      <c r="C39" t="s">
        <v>223</v>
      </c>
      <c r="D39" t="s">
        <v>21</v>
      </c>
      <c r="E39"/>
      <c r="F39" s="9" t="s">
        <v>224</v>
      </c>
      <c r="G39" t="s">
        <v>219</v>
      </c>
      <c r="H39" t="s">
        <v>32</v>
      </c>
      <c r="I39" t="s">
        <v>24</v>
      </c>
      <c r="J39" t="s">
        <v>225</v>
      </c>
      <c r="K39" t="s">
        <v>25</v>
      </c>
      <c r="L39" t="s">
        <v>221</v>
      </c>
      <c r="M39" t="s">
        <v>27</v>
      </c>
      <c r="N39" t="s">
        <v>222</v>
      </c>
      <c r="O39" t="s">
        <v>29</v>
      </c>
      <c r="P39" t="s">
        <v>30</v>
      </c>
      <c r="Q39">
        <f t="shared" si="0"/>
        <v>16</v>
      </c>
      <c r="R39">
        <f t="shared" si="1"/>
        <v>13</v>
      </c>
    </row>
    <row r="40" spans="1:18" x14ac:dyDescent="0.25">
      <c r="A40" s="3">
        <v>38</v>
      </c>
      <c r="B40" s="3" t="s">
        <v>2979</v>
      </c>
      <c r="C40" t="s">
        <v>226</v>
      </c>
      <c r="D40" t="s">
        <v>21</v>
      </c>
      <c r="E40"/>
      <c r="F40" s="9" t="s">
        <v>227</v>
      </c>
      <c r="G40" t="s">
        <v>228</v>
      </c>
      <c r="H40" t="s">
        <v>229</v>
      </c>
      <c r="I40" t="s">
        <v>32</v>
      </c>
      <c r="J40" t="s">
        <v>230</v>
      </c>
      <c r="K40" t="s">
        <v>25</v>
      </c>
      <c r="L40" t="s">
        <v>231</v>
      </c>
      <c r="M40" t="s">
        <v>27</v>
      </c>
      <c r="N40" t="s">
        <v>232</v>
      </c>
      <c r="O40" t="s">
        <v>29</v>
      </c>
      <c r="P40" t="s">
        <v>30</v>
      </c>
      <c r="Q40">
        <f t="shared" si="0"/>
        <v>16</v>
      </c>
      <c r="R40">
        <f t="shared" si="1"/>
        <v>15</v>
      </c>
    </row>
    <row r="41" spans="1:18" x14ac:dyDescent="0.25">
      <c r="A41" s="2">
        <v>39</v>
      </c>
      <c r="B41" s="3" t="s">
        <v>2979</v>
      </c>
      <c r="C41" t="s">
        <v>233</v>
      </c>
      <c r="D41" t="s">
        <v>21</v>
      </c>
      <c r="E41"/>
      <c r="F41" s="9" t="s">
        <v>234</v>
      </c>
      <c r="G41" t="s">
        <v>235</v>
      </c>
      <c r="H41" t="s">
        <v>236</v>
      </c>
      <c r="I41" t="s">
        <v>32</v>
      </c>
      <c r="J41" t="s">
        <v>237</v>
      </c>
      <c r="K41" t="s">
        <v>25</v>
      </c>
      <c r="L41" t="s">
        <v>238</v>
      </c>
      <c r="M41" t="s">
        <v>27</v>
      </c>
      <c r="N41" t="s">
        <v>239</v>
      </c>
      <c r="O41" t="s">
        <v>29</v>
      </c>
      <c r="P41" t="s">
        <v>30</v>
      </c>
      <c r="Q41">
        <f t="shared" si="0"/>
        <v>16</v>
      </c>
      <c r="R41">
        <f t="shared" si="1"/>
        <v>13</v>
      </c>
    </row>
    <row r="42" spans="1:18" x14ac:dyDescent="0.25">
      <c r="A42" s="3">
        <v>40</v>
      </c>
      <c r="B42" s="3" t="s">
        <v>2979</v>
      </c>
      <c r="C42" t="s">
        <v>240</v>
      </c>
      <c r="D42" t="s">
        <v>21</v>
      </c>
      <c r="E42"/>
      <c r="F42" s="9" t="s">
        <v>241</v>
      </c>
      <c r="G42" t="s">
        <v>242</v>
      </c>
      <c r="H42" t="s">
        <v>213</v>
      </c>
      <c r="I42" t="s">
        <v>32</v>
      </c>
      <c r="J42" t="s">
        <v>243</v>
      </c>
      <c r="K42" t="s">
        <v>25</v>
      </c>
      <c r="L42" t="s">
        <v>244</v>
      </c>
      <c r="M42" t="s">
        <v>27</v>
      </c>
      <c r="N42" t="s">
        <v>245</v>
      </c>
      <c r="O42" t="s">
        <v>29</v>
      </c>
      <c r="P42" t="s">
        <v>30</v>
      </c>
      <c r="Q42">
        <f t="shared" si="0"/>
        <v>16</v>
      </c>
      <c r="R42">
        <f t="shared" si="1"/>
        <v>15</v>
      </c>
    </row>
    <row r="43" spans="1:18" x14ac:dyDescent="0.25">
      <c r="A43" s="2">
        <v>41</v>
      </c>
      <c r="B43" s="3" t="s">
        <v>2979</v>
      </c>
      <c r="C43" t="s">
        <v>246</v>
      </c>
      <c r="D43" t="s">
        <v>21</v>
      </c>
      <c r="E43"/>
      <c r="F43" s="9">
        <v>0</v>
      </c>
      <c r="G43" t="s">
        <v>247</v>
      </c>
      <c r="H43" t="s">
        <v>32</v>
      </c>
      <c r="I43" t="s">
        <v>37</v>
      </c>
      <c r="J43" t="s">
        <v>248</v>
      </c>
      <c r="K43" t="s">
        <v>25</v>
      </c>
      <c r="L43" t="s">
        <v>249</v>
      </c>
      <c r="M43" t="s">
        <v>27</v>
      </c>
      <c r="N43" t="s">
        <v>250</v>
      </c>
      <c r="O43" t="s">
        <v>29</v>
      </c>
      <c r="P43" t="s">
        <v>30</v>
      </c>
      <c r="Q43">
        <f t="shared" si="0"/>
        <v>16</v>
      </c>
      <c r="R43">
        <f t="shared" si="1"/>
        <v>14</v>
      </c>
    </row>
    <row r="44" spans="1:18" x14ac:dyDescent="0.25">
      <c r="A44" s="3">
        <v>42</v>
      </c>
      <c r="B44" s="3" t="s">
        <v>2979</v>
      </c>
      <c r="C44" t="s">
        <v>251</v>
      </c>
      <c r="D44" t="s">
        <v>21</v>
      </c>
      <c r="E44"/>
      <c r="F44" s="9">
        <v>0</v>
      </c>
      <c r="G44" t="s">
        <v>247</v>
      </c>
      <c r="H44" t="s">
        <v>32</v>
      </c>
      <c r="I44" t="s">
        <v>24</v>
      </c>
      <c r="J44" t="s">
        <v>252</v>
      </c>
      <c r="K44" t="s">
        <v>25</v>
      </c>
      <c r="L44" t="s">
        <v>249</v>
      </c>
      <c r="M44" t="s">
        <v>27</v>
      </c>
      <c r="N44" t="s">
        <v>250</v>
      </c>
      <c r="O44" t="s">
        <v>29</v>
      </c>
      <c r="P44" t="s">
        <v>30</v>
      </c>
      <c r="Q44">
        <f t="shared" si="0"/>
        <v>16</v>
      </c>
      <c r="R44">
        <f t="shared" si="1"/>
        <v>14</v>
      </c>
    </row>
    <row r="45" spans="1:18" x14ac:dyDescent="0.25">
      <c r="A45" s="2">
        <v>43</v>
      </c>
      <c r="B45" s="3" t="s">
        <v>2979</v>
      </c>
      <c r="C45" t="s">
        <v>253</v>
      </c>
      <c r="D45" t="s">
        <v>21</v>
      </c>
      <c r="E45"/>
      <c r="F45" s="9" t="s">
        <v>254</v>
      </c>
      <c r="G45" t="s">
        <v>247</v>
      </c>
      <c r="H45" t="s">
        <v>32</v>
      </c>
      <c r="I45" t="s">
        <v>32</v>
      </c>
      <c r="J45" t="s">
        <v>255</v>
      </c>
      <c r="K45" t="s">
        <v>25</v>
      </c>
      <c r="L45" t="s">
        <v>249</v>
      </c>
      <c r="M45" t="s">
        <v>27</v>
      </c>
      <c r="N45" t="s">
        <v>250</v>
      </c>
      <c r="O45" t="s">
        <v>29</v>
      </c>
      <c r="P45" t="s">
        <v>30</v>
      </c>
      <c r="Q45">
        <f t="shared" si="0"/>
        <v>16</v>
      </c>
      <c r="R45">
        <f t="shared" si="1"/>
        <v>14</v>
      </c>
    </row>
    <row r="46" spans="1:18" x14ac:dyDescent="0.25">
      <c r="A46" s="3">
        <v>44</v>
      </c>
      <c r="B46" s="3" t="s">
        <v>2979</v>
      </c>
      <c r="C46" t="s">
        <v>256</v>
      </c>
      <c r="D46" t="s">
        <v>21</v>
      </c>
      <c r="E46"/>
      <c r="F46" s="9">
        <v>0</v>
      </c>
      <c r="G46" t="s">
        <v>257</v>
      </c>
      <c r="H46" t="s">
        <v>258</v>
      </c>
      <c r="I46" t="s">
        <v>37</v>
      </c>
      <c r="J46" t="s">
        <v>259</v>
      </c>
      <c r="K46" t="s">
        <v>25</v>
      </c>
      <c r="L46" t="s">
        <v>260</v>
      </c>
      <c r="M46" t="s">
        <v>27</v>
      </c>
      <c r="N46" t="s">
        <v>261</v>
      </c>
      <c r="O46" t="s">
        <v>29</v>
      </c>
      <c r="P46" t="s">
        <v>30</v>
      </c>
      <c r="Q46">
        <f t="shared" si="0"/>
        <v>16</v>
      </c>
      <c r="R46">
        <f t="shared" si="1"/>
        <v>13</v>
      </c>
    </row>
    <row r="47" spans="1:18" x14ac:dyDescent="0.25">
      <c r="A47" s="2">
        <v>45</v>
      </c>
      <c r="B47" s="3" t="s">
        <v>2979</v>
      </c>
      <c r="C47" t="s">
        <v>262</v>
      </c>
      <c r="D47" t="s">
        <v>21</v>
      </c>
      <c r="E47"/>
      <c r="F47" s="9" t="s">
        <v>263</v>
      </c>
      <c r="G47" t="s">
        <v>264</v>
      </c>
      <c r="H47" t="s">
        <v>265</v>
      </c>
      <c r="I47" t="s">
        <v>32</v>
      </c>
      <c r="J47" t="s">
        <v>266</v>
      </c>
      <c r="K47" t="s">
        <v>25</v>
      </c>
      <c r="L47" t="s">
        <v>267</v>
      </c>
      <c r="M47" t="s">
        <v>27</v>
      </c>
      <c r="N47" t="s">
        <v>268</v>
      </c>
      <c r="O47" t="s">
        <v>29</v>
      </c>
      <c r="P47" t="s">
        <v>30</v>
      </c>
      <c r="Q47">
        <f t="shared" si="0"/>
        <v>16</v>
      </c>
      <c r="R47">
        <f t="shared" si="1"/>
        <v>15</v>
      </c>
    </row>
    <row r="48" spans="1:18" x14ac:dyDescent="0.25">
      <c r="A48" s="3">
        <v>46</v>
      </c>
      <c r="B48" s="3" t="s">
        <v>2979</v>
      </c>
      <c r="C48" t="s">
        <v>269</v>
      </c>
      <c r="D48" t="s">
        <v>21</v>
      </c>
      <c r="E48"/>
      <c r="F48" s="9" t="s">
        <v>270</v>
      </c>
      <c r="G48" t="s">
        <v>264</v>
      </c>
      <c r="H48" t="s">
        <v>271</v>
      </c>
      <c r="I48" t="s">
        <v>32</v>
      </c>
      <c r="J48" t="s">
        <v>272</v>
      </c>
      <c r="K48" t="s">
        <v>25</v>
      </c>
      <c r="L48" t="s">
        <v>273</v>
      </c>
      <c r="M48" t="s">
        <v>27</v>
      </c>
      <c r="N48" t="s">
        <v>274</v>
      </c>
      <c r="O48" t="s">
        <v>29</v>
      </c>
      <c r="P48" t="s">
        <v>30</v>
      </c>
      <c r="Q48">
        <f t="shared" si="0"/>
        <v>16</v>
      </c>
      <c r="R48">
        <f t="shared" si="1"/>
        <v>13</v>
      </c>
    </row>
    <row r="49" spans="1:18" x14ac:dyDescent="0.25">
      <c r="A49" s="2">
        <v>47</v>
      </c>
      <c r="B49" s="3" t="s">
        <v>2979</v>
      </c>
      <c r="C49" t="s">
        <v>275</v>
      </c>
      <c r="D49" t="s">
        <v>21</v>
      </c>
      <c r="E49"/>
      <c r="F49" s="9" t="s">
        <v>276</v>
      </c>
      <c r="G49" t="s">
        <v>277</v>
      </c>
      <c r="H49" t="s">
        <v>278</v>
      </c>
      <c r="I49" t="s">
        <v>24</v>
      </c>
      <c r="J49" t="s">
        <v>279</v>
      </c>
      <c r="K49" t="s">
        <v>25</v>
      </c>
      <c r="L49" t="s">
        <v>280</v>
      </c>
      <c r="M49" t="s">
        <v>27</v>
      </c>
      <c r="N49" t="s">
        <v>281</v>
      </c>
      <c r="O49" t="s">
        <v>29</v>
      </c>
      <c r="P49" t="s">
        <v>30</v>
      </c>
      <c r="Q49">
        <f t="shared" si="0"/>
        <v>16</v>
      </c>
      <c r="R49">
        <f t="shared" si="1"/>
        <v>12</v>
      </c>
    </row>
    <row r="50" spans="1:18" x14ac:dyDescent="0.25">
      <c r="A50" s="3">
        <v>48</v>
      </c>
      <c r="B50" s="3" t="s">
        <v>2979</v>
      </c>
      <c r="C50" t="s">
        <v>282</v>
      </c>
      <c r="D50" t="s">
        <v>21</v>
      </c>
      <c r="E50"/>
      <c r="F50" s="9" t="s">
        <v>283</v>
      </c>
      <c r="G50" t="s">
        <v>277</v>
      </c>
      <c r="H50" t="s">
        <v>278</v>
      </c>
      <c r="I50" t="s">
        <v>32</v>
      </c>
      <c r="J50" t="s">
        <v>284</v>
      </c>
      <c r="K50" t="s">
        <v>25</v>
      </c>
      <c r="L50" t="s">
        <v>280</v>
      </c>
      <c r="M50" t="s">
        <v>27</v>
      </c>
      <c r="N50" t="s">
        <v>281</v>
      </c>
      <c r="O50" t="s">
        <v>29</v>
      </c>
      <c r="P50" t="s">
        <v>30</v>
      </c>
      <c r="Q50">
        <f t="shared" si="0"/>
        <v>16</v>
      </c>
      <c r="R50">
        <f t="shared" si="1"/>
        <v>12</v>
      </c>
    </row>
    <row r="51" spans="1:18" x14ac:dyDescent="0.25">
      <c r="A51" s="2">
        <v>49</v>
      </c>
      <c r="B51" s="3" t="s">
        <v>2979</v>
      </c>
      <c r="C51" t="s">
        <v>285</v>
      </c>
      <c r="D51" t="s">
        <v>21</v>
      </c>
      <c r="E51"/>
      <c r="F51" s="9" t="s">
        <v>286</v>
      </c>
      <c r="G51" t="s">
        <v>287</v>
      </c>
      <c r="H51" t="s">
        <v>258</v>
      </c>
      <c r="I51" t="s">
        <v>24</v>
      </c>
      <c r="J51" t="s">
        <v>288</v>
      </c>
      <c r="K51" t="s">
        <v>25</v>
      </c>
      <c r="L51" t="s">
        <v>289</v>
      </c>
      <c r="M51" t="s">
        <v>27</v>
      </c>
      <c r="N51" t="s">
        <v>290</v>
      </c>
      <c r="O51" t="s">
        <v>29</v>
      </c>
      <c r="P51" t="s">
        <v>30</v>
      </c>
      <c r="Q51">
        <f t="shared" si="0"/>
        <v>16</v>
      </c>
      <c r="R51">
        <f t="shared" si="1"/>
        <v>13</v>
      </c>
    </row>
    <row r="52" spans="1:18" x14ac:dyDescent="0.25">
      <c r="A52" s="3">
        <v>50</v>
      </c>
      <c r="B52" s="3" t="s">
        <v>2979</v>
      </c>
      <c r="C52" t="s">
        <v>291</v>
      </c>
      <c r="D52" t="s">
        <v>21</v>
      </c>
      <c r="E52"/>
      <c r="F52" s="9" t="s">
        <v>292</v>
      </c>
      <c r="G52" t="s">
        <v>287</v>
      </c>
      <c r="H52" t="s">
        <v>258</v>
      </c>
      <c r="I52" t="s">
        <v>32</v>
      </c>
      <c r="J52" t="s">
        <v>293</v>
      </c>
      <c r="K52" t="s">
        <v>25</v>
      </c>
      <c r="L52" t="s">
        <v>289</v>
      </c>
      <c r="M52" t="s">
        <v>27</v>
      </c>
      <c r="N52" t="s">
        <v>290</v>
      </c>
      <c r="O52" t="s">
        <v>29</v>
      </c>
      <c r="P52" t="s">
        <v>30</v>
      </c>
      <c r="Q52">
        <f t="shared" si="0"/>
        <v>16</v>
      </c>
      <c r="R52">
        <f t="shared" si="1"/>
        <v>13</v>
      </c>
    </row>
    <row r="53" spans="1:18" x14ac:dyDescent="0.25">
      <c r="A53" s="2">
        <v>51</v>
      </c>
      <c r="B53" s="3" t="s">
        <v>2979</v>
      </c>
      <c r="C53" t="s">
        <v>294</v>
      </c>
      <c r="D53" t="s">
        <v>21</v>
      </c>
      <c r="E53"/>
      <c r="F53" s="9" t="s">
        <v>295</v>
      </c>
      <c r="G53" t="s">
        <v>287</v>
      </c>
      <c r="H53" t="s">
        <v>296</v>
      </c>
      <c r="I53" t="s">
        <v>36</v>
      </c>
      <c r="J53" t="s">
        <v>297</v>
      </c>
      <c r="K53" t="s">
        <v>25</v>
      </c>
      <c r="L53" t="s">
        <v>298</v>
      </c>
      <c r="M53" t="s">
        <v>27</v>
      </c>
      <c r="N53" t="s">
        <v>299</v>
      </c>
      <c r="O53" t="s">
        <v>29</v>
      </c>
      <c r="P53" t="s">
        <v>30</v>
      </c>
      <c r="Q53">
        <f t="shared" si="0"/>
        <v>16</v>
      </c>
      <c r="R53">
        <f t="shared" si="1"/>
        <v>15</v>
      </c>
    </row>
    <row r="54" spans="1:18" x14ac:dyDescent="0.25">
      <c r="A54" s="3">
        <v>52</v>
      </c>
      <c r="B54" s="3" t="s">
        <v>2979</v>
      </c>
      <c r="C54" t="s">
        <v>300</v>
      </c>
      <c r="D54" t="s">
        <v>21</v>
      </c>
      <c r="E54"/>
      <c r="F54" s="9" t="s">
        <v>301</v>
      </c>
      <c r="G54" t="s">
        <v>287</v>
      </c>
      <c r="H54" t="s">
        <v>296</v>
      </c>
      <c r="I54" t="s">
        <v>37</v>
      </c>
      <c r="J54" t="s">
        <v>302</v>
      </c>
      <c r="K54" t="s">
        <v>25</v>
      </c>
      <c r="L54" t="s">
        <v>298</v>
      </c>
      <c r="M54" t="s">
        <v>27</v>
      </c>
      <c r="N54" t="s">
        <v>299</v>
      </c>
      <c r="O54" t="s">
        <v>29</v>
      </c>
      <c r="P54" t="s">
        <v>30</v>
      </c>
      <c r="Q54">
        <f t="shared" si="0"/>
        <v>16</v>
      </c>
      <c r="R54">
        <f t="shared" si="1"/>
        <v>15</v>
      </c>
    </row>
    <row r="55" spans="1:18" x14ac:dyDescent="0.25">
      <c r="A55" s="2">
        <v>53</v>
      </c>
      <c r="B55" s="3" t="s">
        <v>2979</v>
      </c>
      <c r="C55" t="s">
        <v>303</v>
      </c>
      <c r="D55" t="s">
        <v>21</v>
      </c>
      <c r="E55"/>
      <c r="F55" s="9" t="s">
        <v>304</v>
      </c>
      <c r="G55" t="s">
        <v>257</v>
      </c>
      <c r="H55" t="s">
        <v>305</v>
      </c>
      <c r="I55" t="s">
        <v>32</v>
      </c>
      <c r="J55" t="s">
        <v>306</v>
      </c>
      <c r="K55" t="s">
        <v>25</v>
      </c>
      <c r="L55" t="s">
        <v>307</v>
      </c>
      <c r="M55" t="s">
        <v>27</v>
      </c>
      <c r="N55" t="s">
        <v>308</v>
      </c>
      <c r="O55" t="s">
        <v>29</v>
      </c>
      <c r="P55" t="s">
        <v>30</v>
      </c>
      <c r="Q55">
        <f t="shared" si="0"/>
        <v>16</v>
      </c>
      <c r="R55">
        <f t="shared" si="1"/>
        <v>13</v>
      </c>
    </row>
    <row r="56" spans="1:18" x14ac:dyDescent="0.25">
      <c r="A56" s="3">
        <v>54</v>
      </c>
      <c r="B56" s="3" t="s">
        <v>2979</v>
      </c>
      <c r="C56" t="s">
        <v>309</v>
      </c>
      <c r="D56" t="s">
        <v>21</v>
      </c>
      <c r="E56"/>
      <c r="F56" s="9" t="s">
        <v>310</v>
      </c>
      <c r="G56" t="s">
        <v>311</v>
      </c>
      <c r="H56" t="s">
        <v>229</v>
      </c>
      <c r="I56" t="s">
        <v>32</v>
      </c>
      <c r="J56" t="s">
        <v>312</v>
      </c>
      <c r="K56" t="s">
        <v>25</v>
      </c>
      <c r="L56" t="s">
        <v>313</v>
      </c>
      <c r="M56" t="s">
        <v>27</v>
      </c>
      <c r="N56" t="s">
        <v>314</v>
      </c>
      <c r="O56" t="s">
        <v>29</v>
      </c>
      <c r="P56" t="s">
        <v>30</v>
      </c>
      <c r="Q56">
        <f t="shared" si="0"/>
        <v>16</v>
      </c>
      <c r="R56">
        <f t="shared" si="1"/>
        <v>14</v>
      </c>
    </row>
    <row r="57" spans="1:18" x14ac:dyDescent="0.25">
      <c r="A57" s="2">
        <v>55</v>
      </c>
      <c r="B57" s="3" t="s">
        <v>2979</v>
      </c>
      <c r="C57" t="s">
        <v>315</v>
      </c>
      <c r="D57" t="s">
        <v>21</v>
      </c>
      <c r="E57"/>
      <c r="F57" s="9" t="s">
        <v>316</v>
      </c>
      <c r="G57" t="s">
        <v>317</v>
      </c>
      <c r="H57" t="s">
        <v>120</v>
      </c>
      <c r="I57" t="s">
        <v>32</v>
      </c>
      <c r="J57" t="s">
        <v>318</v>
      </c>
      <c r="K57" t="s">
        <v>25</v>
      </c>
      <c r="L57" t="s">
        <v>319</v>
      </c>
      <c r="M57" t="s">
        <v>27</v>
      </c>
      <c r="N57" t="s">
        <v>320</v>
      </c>
      <c r="O57" t="s">
        <v>29</v>
      </c>
      <c r="P57" t="s">
        <v>30</v>
      </c>
      <c r="Q57">
        <f t="shared" si="0"/>
        <v>16</v>
      </c>
      <c r="R57">
        <f t="shared" si="1"/>
        <v>14</v>
      </c>
    </row>
    <row r="58" spans="1:18" x14ac:dyDescent="0.25">
      <c r="A58" s="3">
        <v>56</v>
      </c>
      <c r="B58" s="3" t="s">
        <v>2979</v>
      </c>
      <c r="C58" t="s">
        <v>321</v>
      </c>
      <c r="D58" t="s">
        <v>21</v>
      </c>
      <c r="E58"/>
      <c r="F58" s="9" t="s">
        <v>322</v>
      </c>
      <c r="G58" t="s">
        <v>323</v>
      </c>
      <c r="H58" t="s">
        <v>37</v>
      </c>
      <c r="I58" t="s">
        <v>32</v>
      </c>
      <c r="J58" t="s">
        <v>324</v>
      </c>
      <c r="K58" t="s">
        <v>25</v>
      </c>
      <c r="L58" t="s">
        <v>325</v>
      </c>
      <c r="M58" t="s">
        <v>27</v>
      </c>
      <c r="N58" t="s">
        <v>326</v>
      </c>
      <c r="O58" t="s">
        <v>29</v>
      </c>
      <c r="P58" t="s">
        <v>30</v>
      </c>
      <c r="Q58">
        <f t="shared" si="0"/>
        <v>16</v>
      </c>
      <c r="R58">
        <f t="shared" si="1"/>
        <v>12</v>
      </c>
    </row>
    <row r="59" spans="1:18" x14ac:dyDescent="0.25">
      <c r="A59" s="2">
        <v>57</v>
      </c>
      <c r="B59" s="3" t="s">
        <v>2979</v>
      </c>
      <c r="C59" t="s">
        <v>327</v>
      </c>
      <c r="D59" t="s">
        <v>21</v>
      </c>
      <c r="E59"/>
      <c r="F59" s="9" t="s">
        <v>328</v>
      </c>
      <c r="G59" t="s">
        <v>329</v>
      </c>
      <c r="H59" t="s">
        <v>198</v>
      </c>
      <c r="I59" t="s">
        <v>32</v>
      </c>
      <c r="J59" t="s">
        <v>330</v>
      </c>
      <c r="K59" t="s">
        <v>25</v>
      </c>
      <c r="L59" t="s">
        <v>331</v>
      </c>
      <c r="M59" t="s">
        <v>27</v>
      </c>
      <c r="N59" t="s">
        <v>332</v>
      </c>
      <c r="O59" t="s">
        <v>29</v>
      </c>
      <c r="P59" t="s">
        <v>30</v>
      </c>
      <c r="Q59">
        <f t="shared" si="0"/>
        <v>16</v>
      </c>
      <c r="R59">
        <f t="shared" si="1"/>
        <v>15</v>
      </c>
    </row>
    <row r="60" spans="1:18" x14ac:dyDescent="0.25">
      <c r="A60" s="3">
        <v>58</v>
      </c>
      <c r="B60" s="3" t="s">
        <v>2979</v>
      </c>
      <c r="C60" t="s">
        <v>333</v>
      </c>
      <c r="D60" t="s">
        <v>21</v>
      </c>
      <c r="E60"/>
      <c r="F60" s="9" t="s">
        <v>334</v>
      </c>
      <c r="G60" t="s">
        <v>335</v>
      </c>
      <c r="H60" t="s">
        <v>278</v>
      </c>
      <c r="I60" t="s">
        <v>37</v>
      </c>
      <c r="J60" t="s">
        <v>336</v>
      </c>
      <c r="K60" t="s">
        <v>25</v>
      </c>
      <c r="L60" t="s">
        <v>337</v>
      </c>
      <c r="M60" t="s">
        <v>27</v>
      </c>
      <c r="N60" t="s">
        <v>338</v>
      </c>
      <c r="O60" t="s">
        <v>29</v>
      </c>
      <c r="P60" t="s">
        <v>30</v>
      </c>
      <c r="Q60">
        <f t="shared" si="0"/>
        <v>16</v>
      </c>
      <c r="R60">
        <f t="shared" si="1"/>
        <v>13</v>
      </c>
    </row>
    <row r="61" spans="1:18" x14ac:dyDescent="0.25">
      <c r="A61" s="2">
        <v>59</v>
      </c>
      <c r="B61" s="3" t="s">
        <v>2979</v>
      </c>
      <c r="C61" t="s">
        <v>339</v>
      </c>
      <c r="D61" t="s">
        <v>21</v>
      </c>
      <c r="E61"/>
      <c r="F61" s="9" t="s">
        <v>340</v>
      </c>
      <c r="G61" t="s">
        <v>341</v>
      </c>
      <c r="H61" t="s">
        <v>342</v>
      </c>
      <c r="I61" t="s">
        <v>32</v>
      </c>
      <c r="J61" t="s">
        <v>343</v>
      </c>
      <c r="K61" t="s">
        <v>25</v>
      </c>
      <c r="L61" t="s">
        <v>344</v>
      </c>
      <c r="M61" t="s">
        <v>27</v>
      </c>
      <c r="N61" t="s">
        <v>345</v>
      </c>
      <c r="O61" t="s">
        <v>29</v>
      </c>
      <c r="P61" t="s">
        <v>30</v>
      </c>
      <c r="Q61">
        <f t="shared" si="0"/>
        <v>16</v>
      </c>
      <c r="R61">
        <f t="shared" si="1"/>
        <v>13</v>
      </c>
    </row>
    <row r="62" spans="1:18" x14ac:dyDescent="0.25">
      <c r="A62" s="3">
        <v>60</v>
      </c>
      <c r="B62" s="3" t="s">
        <v>2979</v>
      </c>
      <c r="C62" t="s">
        <v>346</v>
      </c>
      <c r="D62" t="s">
        <v>21</v>
      </c>
      <c r="E62"/>
      <c r="F62" s="9" t="s">
        <v>347</v>
      </c>
      <c r="G62" t="s">
        <v>335</v>
      </c>
      <c r="H62" t="s">
        <v>348</v>
      </c>
      <c r="I62" t="s">
        <v>32</v>
      </c>
      <c r="J62" t="s">
        <v>349</v>
      </c>
      <c r="K62" t="s">
        <v>25</v>
      </c>
      <c r="L62" t="s">
        <v>350</v>
      </c>
      <c r="M62" t="s">
        <v>27</v>
      </c>
      <c r="N62" t="s">
        <v>351</v>
      </c>
      <c r="O62" t="s">
        <v>29</v>
      </c>
      <c r="P62" t="s">
        <v>30</v>
      </c>
      <c r="Q62">
        <f t="shared" si="0"/>
        <v>16</v>
      </c>
      <c r="R62">
        <f t="shared" si="1"/>
        <v>11</v>
      </c>
    </row>
    <row r="63" spans="1:18" x14ac:dyDescent="0.25">
      <c r="A63" s="2">
        <v>61</v>
      </c>
      <c r="B63" s="3" t="s">
        <v>2979</v>
      </c>
      <c r="C63" t="s">
        <v>352</v>
      </c>
      <c r="D63" t="s">
        <v>21</v>
      </c>
      <c r="E63"/>
      <c r="F63" s="9" t="s">
        <v>353</v>
      </c>
      <c r="G63" t="s">
        <v>354</v>
      </c>
      <c r="H63" t="s">
        <v>355</v>
      </c>
      <c r="I63" t="s">
        <v>32</v>
      </c>
      <c r="J63" t="s">
        <v>356</v>
      </c>
      <c r="K63" t="s">
        <v>25</v>
      </c>
      <c r="L63" t="s">
        <v>357</v>
      </c>
      <c r="M63" t="s">
        <v>27</v>
      </c>
      <c r="N63" t="s">
        <v>358</v>
      </c>
      <c r="O63" t="s">
        <v>29</v>
      </c>
      <c r="P63" t="s">
        <v>30</v>
      </c>
      <c r="Q63">
        <f t="shared" si="0"/>
        <v>16</v>
      </c>
      <c r="R63">
        <f t="shared" si="1"/>
        <v>15</v>
      </c>
    </row>
    <row r="64" spans="1:18" x14ac:dyDescent="0.25">
      <c r="A64" s="3">
        <v>62</v>
      </c>
      <c r="B64" s="3" t="s">
        <v>2979</v>
      </c>
      <c r="C64" t="s">
        <v>359</v>
      </c>
      <c r="D64" t="s">
        <v>21</v>
      </c>
      <c r="E64"/>
      <c r="F64" s="9" t="s">
        <v>360</v>
      </c>
      <c r="G64" t="s">
        <v>361</v>
      </c>
      <c r="H64" t="s">
        <v>120</v>
      </c>
      <c r="I64" t="s">
        <v>32</v>
      </c>
      <c r="J64" t="s">
        <v>362</v>
      </c>
      <c r="K64" t="s">
        <v>25</v>
      </c>
      <c r="L64" t="s">
        <v>363</v>
      </c>
      <c r="M64" t="s">
        <v>27</v>
      </c>
      <c r="N64" t="s">
        <v>364</v>
      </c>
      <c r="O64" t="s">
        <v>29</v>
      </c>
      <c r="P64" t="s">
        <v>30</v>
      </c>
      <c r="Q64">
        <f t="shared" si="0"/>
        <v>16</v>
      </c>
      <c r="R64">
        <f t="shared" si="1"/>
        <v>13</v>
      </c>
    </row>
    <row r="65" spans="1:18" x14ac:dyDescent="0.25">
      <c r="A65" s="2">
        <v>63</v>
      </c>
      <c r="B65" s="3" t="s">
        <v>2979</v>
      </c>
      <c r="C65" t="s">
        <v>365</v>
      </c>
      <c r="D65" t="s">
        <v>21</v>
      </c>
      <c r="E65"/>
      <c r="F65" s="9" t="s">
        <v>366</v>
      </c>
      <c r="G65" t="s">
        <v>367</v>
      </c>
      <c r="H65" t="s">
        <v>368</v>
      </c>
      <c r="I65" t="s">
        <v>32</v>
      </c>
      <c r="J65" t="s">
        <v>369</v>
      </c>
      <c r="K65" t="s">
        <v>25</v>
      </c>
      <c r="L65" t="s">
        <v>370</v>
      </c>
      <c r="M65" t="s">
        <v>27</v>
      </c>
      <c r="N65" t="s">
        <v>371</v>
      </c>
      <c r="O65" t="s">
        <v>29</v>
      </c>
      <c r="P65" t="s">
        <v>30</v>
      </c>
      <c r="Q65">
        <f t="shared" si="0"/>
        <v>16</v>
      </c>
      <c r="R65">
        <f t="shared" si="1"/>
        <v>13</v>
      </c>
    </row>
    <row r="66" spans="1:18" x14ac:dyDescent="0.25">
      <c r="A66" s="3">
        <v>64</v>
      </c>
      <c r="B66" s="3" t="s">
        <v>2979</v>
      </c>
      <c r="C66" t="s">
        <v>372</v>
      </c>
      <c r="D66" t="s">
        <v>21</v>
      </c>
      <c r="E66"/>
      <c r="F66" s="9" t="s">
        <v>373</v>
      </c>
      <c r="G66" t="s">
        <v>374</v>
      </c>
      <c r="H66" t="s">
        <v>106</v>
      </c>
      <c r="I66" t="s">
        <v>32</v>
      </c>
      <c r="J66" t="s">
        <v>375</v>
      </c>
      <c r="K66" t="s">
        <v>25</v>
      </c>
      <c r="L66" t="s">
        <v>376</v>
      </c>
      <c r="M66" t="s">
        <v>27</v>
      </c>
      <c r="N66" t="s">
        <v>377</v>
      </c>
      <c r="O66" t="s">
        <v>29</v>
      </c>
      <c r="P66" t="s">
        <v>30</v>
      </c>
      <c r="Q66">
        <f t="shared" ref="Q66:Q129" si="2">LEN(L66)</f>
        <v>16</v>
      </c>
      <c r="R66">
        <f t="shared" si="1"/>
        <v>13</v>
      </c>
    </row>
    <row r="67" spans="1:18" x14ac:dyDescent="0.25">
      <c r="A67" s="2">
        <v>65</v>
      </c>
      <c r="B67" s="3" t="s">
        <v>2979</v>
      </c>
      <c r="C67" t="s">
        <v>378</v>
      </c>
      <c r="D67" t="s">
        <v>21</v>
      </c>
      <c r="E67"/>
      <c r="F67" s="9" t="s">
        <v>379</v>
      </c>
      <c r="G67" t="s">
        <v>380</v>
      </c>
      <c r="H67" t="s">
        <v>368</v>
      </c>
      <c r="I67" t="s">
        <v>32</v>
      </c>
      <c r="J67" t="s">
        <v>381</v>
      </c>
      <c r="K67" t="s">
        <v>25</v>
      </c>
      <c r="L67" t="s">
        <v>382</v>
      </c>
      <c r="M67" t="s">
        <v>27</v>
      </c>
      <c r="N67" t="s">
        <v>383</v>
      </c>
      <c r="O67" t="s">
        <v>29</v>
      </c>
      <c r="P67" t="s">
        <v>30</v>
      </c>
      <c r="Q67">
        <f t="shared" si="2"/>
        <v>16</v>
      </c>
      <c r="R67">
        <f t="shared" ref="R67:R130" si="3">LEN(N67)</f>
        <v>15</v>
      </c>
    </row>
    <row r="68" spans="1:18" x14ac:dyDescent="0.25">
      <c r="A68" s="3">
        <v>66</v>
      </c>
      <c r="B68" s="3" t="s">
        <v>2979</v>
      </c>
      <c r="C68" t="s">
        <v>384</v>
      </c>
      <c r="D68" t="s">
        <v>21</v>
      </c>
      <c r="E68"/>
      <c r="F68" s="9" t="s">
        <v>385</v>
      </c>
      <c r="G68" t="s">
        <v>386</v>
      </c>
      <c r="H68" t="s">
        <v>387</v>
      </c>
      <c r="I68" t="s">
        <v>32</v>
      </c>
      <c r="J68" t="s">
        <v>388</v>
      </c>
      <c r="K68" t="s">
        <v>25</v>
      </c>
      <c r="L68" t="s">
        <v>389</v>
      </c>
      <c r="M68" t="s">
        <v>27</v>
      </c>
      <c r="N68" t="s">
        <v>390</v>
      </c>
      <c r="O68" t="s">
        <v>29</v>
      </c>
      <c r="P68" t="s">
        <v>30</v>
      </c>
      <c r="Q68">
        <f t="shared" si="2"/>
        <v>16</v>
      </c>
      <c r="R68">
        <f t="shared" si="3"/>
        <v>7</v>
      </c>
    </row>
    <row r="69" spans="1:18" x14ac:dyDescent="0.25">
      <c r="A69" s="2">
        <v>67</v>
      </c>
      <c r="B69" s="3" t="s">
        <v>2979</v>
      </c>
      <c r="C69" t="s">
        <v>391</v>
      </c>
      <c r="D69" t="s">
        <v>21</v>
      </c>
      <c r="E69"/>
      <c r="F69" s="9" t="s">
        <v>392</v>
      </c>
      <c r="G69" t="s">
        <v>393</v>
      </c>
      <c r="H69" t="s">
        <v>394</v>
      </c>
      <c r="I69" t="s">
        <v>32</v>
      </c>
      <c r="J69" t="s">
        <v>395</v>
      </c>
      <c r="K69" t="s">
        <v>25</v>
      </c>
      <c r="L69" t="s">
        <v>396</v>
      </c>
      <c r="M69" t="s">
        <v>27</v>
      </c>
      <c r="N69" t="s">
        <v>397</v>
      </c>
      <c r="O69" t="s">
        <v>29</v>
      </c>
      <c r="P69" t="s">
        <v>30</v>
      </c>
      <c r="Q69">
        <f t="shared" si="2"/>
        <v>16</v>
      </c>
      <c r="R69">
        <f t="shared" si="3"/>
        <v>15</v>
      </c>
    </row>
    <row r="70" spans="1:18" x14ac:dyDescent="0.25">
      <c r="A70" s="3">
        <v>68</v>
      </c>
      <c r="B70" s="3" t="s">
        <v>2979</v>
      </c>
      <c r="C70" t="s">
        <v>398</v>
      </c>
      <c r="D70" t="s">
        <v>21</v>
      </c>
      <c r="E70"/>
      <c r="F70" s="9" t="s">
        <v>399</v>
      </c>
      <c r="G70" t="s">
        <v>400</v>
      </c>
      <c r="H70" t="s">
        <v>120</v>
      </c>
      <c r="I70" t="s">
        <v>32</v>
      </c>
      <c r="J70" t="s">
        <v>401</v>
      </c>
      <c r="K70" t="s">
        <v>25</v>
      </c>
      <c r="L70" t="s">
        <v>402</v>
      </c>
      <c r="M70" t="s">
        <v>27</v>
      </c>
      <c r="N70" t="s">
        <v>403</v>
      </c>
      <c r="O70" t="s">
        <v>29</v>
      </c>
      <c r="P70" t="s">
        <v>30</v>
      </c>
      <c r="Q70">
        <f t="shared" si="2"/>
        <v>16</v>
      </c>
      <c r="R70">
        <f t="shared" si="3"/>
        <v>13</v>
      </c>
    </row>
    <row r="71" spans="1:18" x14ac:dyDescent="0.25">
      <c r="A71" s="2">
        <v>69</v>
      </c>
      <c r="B71" s="3" t="s">
        <v>2979</v>
      </c>
      <c r="C71" t="s">
        <v>404</v>
      </c>
      <c r="D71" t="s">
        <v>21</v>
      </c>
      <c r="E71"/>
      <c r="F71" s="9" t="s">
        <v>405</v>
      </c>
      <c r="G71" t="s">
        <v>406</v>
      </c>
      <c r="H71" t="s">
        <v>81</v>
      </c>
      <c r="I71" t="s">
        <v>32</v>
      </c>
      <c r="J71" t="s">
        <v>407</v>
      </c>
      <c r="K71" t="s">
        <v>25</v>
      </c>
      <c r="L71" t="s">
        <v>408</v>
      </c>
      <c r="M71" t="s">
        <v>27</v>
      </c>
      <c r="N71" t="s">
        <v>409</v>
      </c>
      <c r="O71" t="s">
        <v>29</v>
      </c>
      <c r="P71" t="s">
        <v>30</v>
      </c>
      <c r="Q71">
        <f t="shared" si="2"/>
        <v>16</v>
      </c>
      <c r="R71">
        <f t="shared" si="3"/>
        <v>13</v>
      </c>
    </row>
    <row r="72" spans="1:18" x14ac:dyDescent="0.25">
      <c r="A72" s="3">
        <v>70</v>
      </c>
      <c r="B72" s="3" t="s">
        <v>2979</v>
      </c>
      <c r="C72" t="s">
        <v>410</v>
      </c>
      <c r="D72" t="s">
        <v>21</v>
      </c>
      <c r="E72"/>
      <c r="F72" s="9" t="s">
        <v>411</v>
      </c>
      <c r="G72" t="s">
        <v>412</v>
      </c>
      <c r="H72" t="s">
        <v>413</v>
      </c>
      <c r="I72" t="s">
        <v>32</v>
      </c>
      <c r="J72" t="s">
        <v>414</v>
      </c>
      <c r="K72" t="s">
        <v>25</v>
      </c>
      <c r="L72" t="s">
        <v>415</v>
      </c>
      <c r="M72" t="s">
        <v>27</v>
      </c>
      <c r="N72" t="s">
        <v>416</v>
      </c>
      <c r="O72" t="s">
        <v>29</v>
      </c>
      <c r="P72" t="s">
        <v>30</v>
      </c>
      <c r="Q72">
        <f t="shared" si="2"/>
        <v>16</v>
      </c>
      <c r="R72">
        <f t="shared" si="3"/>
        <v>13</v>
      </c>
    </row>
    <row r="73" spans="1:18" x14ac:dyDescent="0.25">
      <c r="A73" s="2">
        <v>71</v>
      </c>
      <c r="B73" s="3" t="s">
        <v>2979</v>
      </c>
      <c r="C73" t="s">
        <v>417</v>
      </c>
      <c r="D73" t="s">
        <v>21</v>
      </c>
      <c r="E73"/>
      <c r="F73" s="9" t="s">
        <v>418</v>
      </c>
      <c r="G73" t="s">
        <v>419</v>
      </c>
      <c r="H73" t="s">
        <v>24</v>
      </c>
      <c r="I73" t="s">
        <v>32</v>
      </c>
      <c r="J73" t="s">
        <v>420</v>
      </c>
      <c r="K73" t="s">
        <v>25</v>
      </c>
      <c r="L73" t="s">
        <v>421</v>
      </c>
      <c r="M73" t="s">
        <v>27</v>
      </c>
      <c r="N73" t="s">
        <v>422</v>
      </c>
      <c r="O73" t="s">
        <v>29</v>
      </c>
      <c r="P73" t="s">
        <v>30</v>
      </c>
      <c r="Q73">
        <f t="shared" si="2"/>
        <v>16</v>
      </c>
      <c r="R73">
        <f t="shared" si="3"/>
        <v>15</v>
      </c>
    </row>
    <row r="74" spans="1:18" x14ac:dyDescent="0.25">
      <c r="A74" s="3">
        <v>72</v>
      </c>
      <c r="B74" s="3" t="s">
        <v>2979</v>
      </c>
      <c r="C74" t="s">
        <v>423</v>
      </c>
      <c r="D74" t="s">
        <v>21</v>
      </c>
      <c r="E74"/>
      <c r="F74" s="9" t="s">
        <v>424</v>
      </c>
      <c r="G74" t="s">
        <v>425</v>
      </c>
      <c r="H74" t="s">
        <v>24</v>
      </c>
      <c r="I74" t="s">
        <v>32</v>
      </c>
      <c r="J74" t="s">
        <v>426</v>
      </c>
      <c r="K74" t="s">
        <v>25</v>
      </c>
      <c r="L74" t="s">
        <v>427</v>
      </c>
      <c r="M74" t="s">
        <v>27</v>
      </c>
      <c r="N74" t="s">
        <v>428</v>
      </c>
      <c r="O74" t="s">
        <v>29</v>
      </c>
      <c r="P74" t="s">
        <v>30</v>
      </c>
      <c r="Q74">
        <f t="shared" si="2"/>
        <v>16</v>
      </c>
      <c r="R74">
        <f t="shared" si="3"/>
        <v>15</v>
      </c>
    </row>
    <row r="75" spans="1:18" x14ac:dyDescent="0.25">
      <c r="A75" s="2">
        <v>73</v>
      </c>
      <c r="B75" s="3" t="s">
        <v>2979</v>
      </c>
      <c r="C75" t="s">
        <v>429</v>
      </c>
      <c r="D75" t="s">
        <v>21</v>
      </c>
      <c r="E75"/>
      <c r="F75" s="9">
        <v>0</v>
      </c>
      <c r="G75" t="s">
        <v>430</v>
      </c>
      <c r="H75" t="s">
        <v>36</v>
      </c>
      <c r="I75" t="s">
        <v>24</v>
      </c>
      <c r="J75" t="s">
        <v>431</v>
      </c>
      <c r="K75" t="s">
        <v>25</v>
      </c>
      <c r="L75" t="s">
        <v>432</v>
      </c>
      <c r="M75" t="s">
        <v>27</v>
      </c>
      <c r="N75" t="s">
        <v>433</v>
      </c>
      <c r="O75" t="s">
        <v>29</v>
      </c>
      <c r="P75" t="s">
        <v>30</v>
      </c>
      <c r="Q75">
        <f t="shared" si="2"/>
        <v>16</v>
      </c>
      <c r="R75">
        <f t="shared" si="3"/>
        <v>15</v>
      </c>
    </row>
    <row r="76" spans="1:18" x14ac:dyDescent="0.25">
      <c r="A76" s="3">
        <v>74</v>
      </c>
      <c r="B76" s="3" t="s">
        <v>2979</v>
      </c>
      <c r="C76" t="s">
        <v>434</v>
      </c>
      <c r="D76" t="s">
        <v>21</v>
      </c>
      <c r="E76"/>
      <c r="F76" s="9" t="s">
        <v>435</v>
      </c>
      <c r="G76" t="s">
        <v>430</v>
      </c>
      <c r="H76" t="s">
        <v>36</v>
      </c>
      <c r="I76" t="s">
        <v>32</v>
      </c>
      <c r="J76" t="s">
        <v>436</v>
      </c>
      <c r="K76" t="s">
        <v>25</v>
      </c>
      <c r="L76" t="s">
        <v>432</v>
      </c>
      <c r="M76" t="s">
        <v>27</v>
      </c>
      <c r="N76" t="s">
        <v>433</v>
      </c>
      <c r="O76" t="s">
        <v>29</v>
      </c>
      <c r="P76" t="s">
        <v>30</v>
      </c>
      <c r="Q76">
        <f t="shared" si="2"/>
        <v>16</v>
      </c>
      <c r="R76">
        <f t="shared" si="3"/>
        <v>15</v>
      </c>
    </row>
    <row r="77" spans="1:18" x14ac:dyDescent="0.25">
      <c r="A77" s="2">
        <v>75</v>
      </c>
      <c r="B77" s="3" t="s">
        <v>2979</v>
      </c>
      <c r="C77" t="s">
        <v>437</v>
      </c>
      <c r="D77" t="s">
        <v>21</v>
      </c>
      <c r="E77"/>
      <c r="F77" s="9" t="s">
        <v>438</v>
      </c>
      <c r="G77" t="s">
        <v>439</v>
      </c>
      <c r="H77" t="s">
        <v>440</v>
      </c>
      <c r="I77" t="s">
        <v>37</v>
      </c>
      <c r="J77" t="s">
        <v>441</v>
      </c>
      <c r="K77" t="s">
        <v>25</v>
      </c>
      <c r="L77" t="s">
        <v>442</v>
      </c>
      <c r="M77" t="s">
        <v>27</v>
      </c>
      <c r="N77" t="s">
        <v>443</v>
      </c>
      <c r="O77" t="s">
        <v>29</v>
      </c>
      <c r="P77" t="s">
        <v>30</v>
      </c>
      <c r="Q77">
        <f t="shared" si="2"/>
        <v>16</v>
      </c>
      <c r="R77">
        <f t="shared" si="3"/>
        <v>13</v>
      </c>
    </row>
    <row r="78" spans="1:18" x14ac:dyDescent="0.25">
      <c r="A78" s="3">
        <v>76</v>
      </c>
      <c r="B78" s="3" t="s">
        <v>2979</v>
      </c>
      <c r="C78" t="s">
        <v>444</v>
      </c>
      <c r="D78" t="s">
        <v>21</v>
      </c>
      <c r="E78"/>
      <c r="F78" s="9" t="s">
        <v>445</v>
      </c>
      <c r="G78" t="s">
        <v>439</v>
      </c>
      <c r="H78" t="s">
        <v>440</v>
      </c>
      <c r="I78" t="s">
        <v>24</v>
      </c>
      <c r="J78" t="s">
        <v>446</v>
      </c>
      <c r="K78" t="s">
        <v>25</v>
      </c>
      <c r="L78" t="s">
        <v>442</v>
      </c>
      <c r="M78" t="s">
        <v>27</v>
      </c>
      <c r="N78" t="s">
        <v>443</v>
      </c>
      <c r="O78" t="s">
        <v>29</v>
      </c>
      <c r="P78" t="s">
        <v>30</v>
      </c>
      <c r="Q78">
        <f t="shared" si="2"/>
        <v>16</v>
      </c>
      <c r="R78">
        <f t="shared" si="3"/>
        <v>13</v>
      </c>
    </row>
    <row r="79" spans="1:18" x14ac:dyDescent="0.25">
      <c r="A79" s="2">
        <v>77</v>
      </c>
      <c r="B79" s="3" t="s">
        <v>2979</v>
      </c>
      <c r="C79" t="s">
        <v>447</v>
      </c>
      <c r="D79" t="s">
        <v>21</v>
      </c>
      <c r="E79"/>
      <c r="F79" s="9" t="s">
        <v>448</v>
      </c>
      <c r="G79" t="s">
        <v>449</v>
      </c>
      <c r="H79" t="s">
        <v>450</v>
      </c>
      <c r="I79" t="s">
        <v>32</v>
      </c>
      <c r="J79" t="s">
        <v>451</v>
      </c>
      <c r="K79" t="s">
        <v>25</v>
      </c>
      <c r="L79" t="s">
        <v>452</v>
      </c>
      <c r="M79" t="s">
        <v>27</v>
      </c>
      <c r="N79" t="s">
        <v>453</v>
      </c>
      <c r="O79" t="s">
        <v>29</v>
      </c>
      <c r="P79" t="s">
        <v>30</v>
      </c>
      <c r="Q79">
        <f t="shared" si="2"/>
        <v>16</v>
      </c>
      <c r="R79">
        <f t="shared" si="3"/>
        <v>15</v>
      </c>
    </row>
    <row r="80" spans="1:18" x14ac:dyDescent="0.25">
      <c r="A80" s="3">
        <v>78</v>
      </c>
      <c r="B80" s="3" t="s">
        <v>2979</v>
      </c>
      <c r="C80" t="s">
        <v>454</v>
      </c>
      <c r="D80" t="s">
        <v>21</v>
      </c>
      <c r="E80"/>
      <c r="F80" s="9" t="s">
        <v>455</v>
      </c>
      <c r="G80" t="s">
        <v>449</v>
      </c>
      <c r="H80" t="s">
        <v>450</v>
      </c>
      <c r="I80" t="s">
        <v>24</v>
      </c>
      <c r="J80" t="s">
        <v>456</v>
      </c>
      <c r="K80" t="s">
        <v>25</v>
      </c>
      <c r="L80" t="s">
        <v>452</v>
      </c>
      <c r="M80" t="s">
        <v>27</v>
      </c>
      <c r="N80" t="s">
        <v>453</v>
      </c>
      <c r="O80" t="s">
        <v>29</v>
      </c>
      <c r="P80" t="s">
        <v>30</v>
      </c>
      <c r="Q80">
        <f t="shared" si="2"/>
        <v>16</v>
      </c>
      <c r="R80">
        <f t="shared" si="3"/>
        <v>15</v>
      </c>
    </row>
    <row r="81" spans="1:18" x14ac:dyDescent="0.25">
      <c r="A81" s="2">
        <v>79</v>
      </c>
      <c r="B81" s="3" t="s">
        <v>2979</v>
      </c>
      <c r="C81" t="s">
        <v>457</v>
      </c>
      <c r="D81" t="s">
        <v>21</v>
      </c>
      <c r="E81"/>
      <c r="F81" s="9" t="s">
        <v>458</v>
      </c>
      <c r="G81" t="s">
        <v>459</v>
      </c>
      <c r="H81" t="s">
        <v>460</v>
      </c>
      <c r="I81" t="s">
        <v>32</v>
      </c>
      <c r="J81" t="s">
        <v>461</v>
      </c>
      <c r="K81" t="s">
        <v>25</v>
      </c>
      <c r="L81" t="s">
        <v>462</v>
      </c>
      <c r="M81" t="s">
        <v>27</v>
      </c>
      <c r="N81" t="s">
        <v>463</v>
      </c>
      <c r="O81" t="s">
        <v>29</v>
      </c>
      <c r="P81" t="s">
        <v>30</v>
      </c>
      <c r="Q81">
        <f t="shared" si="2"/>
        <v>16</v>
      </c>
      <c r="R81">
        <f t="shared" si="3"/>
        <v>13</v>
      </c>
    </row>
    <row r="82" spans="1:18" x14ac:dyDescent="0.25">
      <c r="A82" s="3">
        <v>80</v>
      </c>
      <c r="B82" s="3" t="s">
        <v>2979</v>
      </c>
      <c r="C82" t="s">
        <v>464</v>
      </c>
      <c r="D82" t="s">
        <v>21</v>
      </c>
      <c r="E82"/>
      <c r="F82" s="9" t="s">
        <v>465</v>
      </c>
      <c r="G82" t="s">
        <v>439</v>
      </c>
      <c r="H82" t="s">
        <v>440</v>
      </c>
      <c r="I82" t="s">
        <v>32</v>
      </c>
      <c r="J82" t="s">
        <v>466</v>
      </c>
      <c r="K82" t="s">
        <v>25</v>
      </c>
      <c r="L82" t="s">
        <v>442</v>
      </c>
      <c r="M82" t="s">
        <v>27</v>
      </c>
      <c r="N82" t="s">
        <v>443</v>
      </c>
      <c r="O82" t="s">
        <v>29</v>
      </c>
      <c r="P82" t="s">
        <v>30</v>
      </c>
      <c r="Q82">
        <f t="shared" si="2"/>
        <v>16</v>
      </c>
      <c r="R82">
        <f t="shared" si="3"/>
        <v>13</v>
      </c>
    </row>
    <row r="83" spans="1:18" x14ac:dyDescent="0.25">
      <c r="A83" s="2">
        <v>81</v>
      </c>
      <c r="B83" s="3" t="s">
        <v>2979</v>
      </c>
      <c r="C83" t="s">
        <v>467</v>
      </c>
      <c r="D83" t="s">
        <v>21</v>
      </c>
      <c r="E83"/>
      <c r="F83" s="9" t="s">
        <v>468</v>
      </c>
      <c r="G83" t="s">
        <v>469</v>
      </c>
      <c r="H83" t="s">
        <v>95</v>
      </c>
      <c r="I83" t="s">
        <v>32</v>
      </c>
      <c r="J83" t="s">
        <v>470</v>
      </c>
      <c r="K83" t="s">
        <v>25</v>
      </c>
      <c r="L83" t="s">
        <v>471</v>
      </c>
      <c r="M83" t="s">
        <v>27</v>
      </c>
      <c r="N83" t="s">
        <v>472</v>
      </c>
      <c r="O83" t="s">
        <v>29</v>
      </c>
      <c r="P83" t="s">
        <v>30</v>
      </c>
      <c r="Q83">
        <f t="shared" si="2"/>
        <v>16</v>
      </c>
      <c r="R83">
        <f t="shared" si="3"/>
        <v>15</v>
      </c>
    </row>
    <row r="84" spans="1:18" x14ac:dyDescent="0.25">
      <c r="A84" s="3">
        <v>82</v>
      </c>
      <c r="B84" s="3" t="s">
        <v>2979</v>
      </c>
      <c r="C84" t="s">
        <v>473</v>
      </c>
      <c r="D84" t="s">
        <v>21</v>
      </c>
      <c r="E84"/>
      <c r="F84" s="9" t="s">
        <v>474</v>
      </c>
      <c r="G84" t="s">
        <v>475</v>
      </c>
      <c r="H84" t="s">
        <v>32</v>
      </c>
      <c r="I84" t="s">
        <v>32</v>
      </c>
      <c r="J84" t="s">
        <v>476</v>
      </c>
      <c r="K84" t="s">
        <v>25</v>
      </c>
      <c r="L84" t="s">
        <v>477</v>
      </c>
      <c r="M84" t="s">
        <v>27</v>
      </c>
      <c r="N84" t="s">
        <v>478</v>
      </c>
      <c r="O84" t="s">
        <v>29</v>
      </c>
      <c r="P84" t="s">
        <v>30</v>
      </c>
      <c r="Q84">
        <f t="shared" si="2"/>
        <v>16</v>
      </c>
      <c r="R84">
        <f t="shared" si="3"/>
        <v>15</v>
      </c>
    </row>
    <row r="85" spans="1:18" x14ac:dyDescent="0.25">
      <c r="A85" s="2">
        <v>83</v>
      </c>
      <c r="B85" s="3" t="s">
        <v>2979</v>
      </c>
      <c r="C85" t="s">
        <v>479</v>
      </c>
      <c r="D85" t="s">
        <v>21</v>
      </c>
      <c r="E85"/>
      <c r="F85" s="9" t="s">
        <v>480</v>
      </c>
      <c r="G85" t="s">
        <v>481</v>
      </c>
      <c r="H85" t="s">
        <v>482</v>
      </c>
      <c r="I85" t="s">
        <v>32</v>
      </c>
      <c r="J85" t="s">
        <v>483</v>
      </c>
      <c r="K85" t="s">
        <v>25</v>
      </c>
      <c r="L85" t="s">
        <v>484</v>
      </c>
      <c r="M85" t="s">
        <v>27</v>
      </c>
      <c r="N85" t="s">
        <v>485</v>
      </c>
      <c r="O85" t="s">
        <v>29</v>
      </c>
      <c r="P85" t="s">
        <v>30</v>
      </c>
      <c r="Q85">
        <f t="shared" si="2"/>
        <v>16</v>
      </c>
      <c r="R85">
        <f t="shared" si="3"/>
        <v>15</v>
      </c>
    </row>
    <row r="86" spans="1:18" x14ac:dyDescent="0.25">
      <c r="A86" s="3">
        <v>84</v>
      </c>
      <c r="B86" s="3" t="s">
        <v>2979</v>
      </c>
      <c r="C86" t="s">
        <v>486</v>
      </c>
      <c r="D86" t="s">
        <v>21</v>
      </c>
      <c r="E86"/>
      <c r="F86" s="9" t="s">
        <v>487</v>
      </c>
      <c r="G86" t="s">
        <v>488</v>
      </c>
      <c r="H86" t="s">
        <v>180</v>
      </c>
      <c r="I86" t="s">
        <v>32</v>
      </c>
      <c r="J86" t="s">
        <v>489</v>
      </c>
      <c r="K86" t="s">
        <v>25</v>
      </c>
      <c r="L86" t="s">
        <v>490</v>
      </c>
      <c r="M86" t="s">
        <v>27</v>
      </c>
      <c r="N86" t="s">
        <v>491</v>
      </c>
      <c r="O86" t="s">
        <v>29</v>
      </c>
      <c r="P86" t="s">
        <v>30</v>
      </c>
      <c r="Q86">
        <f t="shared" si="2"/>
        <v>16</v>
      </c>
      <c r="R86">
        <f t="shared" si="3"/>
        <v>15</v>
      </c>
    </row>
    <row r="87" spans="1:18" x14ac:dyDescent="0.25">
      <c r="A87" s="2">
        <v>85</v>
      </c>
      <c r="B87" s="3" t="s">
        <v>2979</v>
      </c>
      <c r="C87" t="s">
        <v>492</v>
      </c>
      <c r="D87" t="s">
        <v>21</v>
      </c>
      <c r="E87"/>
      <c r="F87" s="9" t="s">
        <v>493</v>
      </c>
      <c r="G87" t="s">
        <v>488</v>
      </c>
      <c r="H87" t="s">
        <v>494</v>
      </c>
      <c r="I87" t="s">
        <v>213</v>
      </c>
      <c r="J87" t="s">
        <v>495</v>
      </c>
      <c r="K87" t="s">
        <v>25</v>
      </c>
      <c r="L87" t="s">
        <v>496</v>
      </c>
      <c r="M87" t="s">
        <v>27</v>
      </c>
      <c r="N87" t="s">
        <v>497</v>
      </c>
      <c r="O87" t="s">
        <v>29</v>
      </c>
      <c r="P87" t="s">
        <v>30</v>
      </c>
      <c r="Q87">
        <f t="shared" si="2"/>
        <v>16</v>
      </c>
      <c r="R87">
        <f t="shared" si="3"/>
        <v>14</v>
      </c>
    </row>
    <row r="88" spans="1:18" x14ac:dyDescent="0.25">
      <c r="A88" s="3">
        <v>86</v>
      </c>
      <c r="B88" s="3" t="s">
        <v>2979</v>
      </c>
      <c r="C88" t="s">
        <v>498</v>
      </c>
      <c r="D88" t="s">
        <v>21</v>
      </c>
      <c r="E88"/>
      <c r="F88" s="9" t="s">
        <v>499</v>
      </c>
      <c r="G88" t="s">
        <v>488</v>
      </c>
      <c r="H88" t="s">
        <v>494</v>
      </c>
      <c r="I88" t="s">
        <v>36</v>
      </c>
      <c r="J88" t="s">
        <v>500</v>
      </c>
      <c r="K88" t="s">
        <v>25</v>
      </c>
      <c r="L88" t="s">
        <v>501</v>
      </c>
      <c r="M88" t="s">
        <v>27</v>
      </c>
      <c r="N88" t="s">
        <v>502</v>
      </c>
      <c r="O88" t="s">
        <v>29</v>
      </c>
      <c r="P88" t="s">
        <v>30</v>
      </c>
      <c r="Q88">
        <f t="shared" si="2"/>
        <v>16</v>
      </c>
      <c r="R88">
        <f t="shared" si="3"/>
        <v>12</v>
      </c>
    </row>
    <row r="89" spans="1:18" x14ac:dyDescent="0.25">
      <c r="A89" s="2">
        <v>87</v>
      </c>
      <c r="B89" s="3" t="s">
        <v>2979</v>
      </c>
      <c r="C89" t="s">
        <v>503</v>
      </c>
      <c r="D89" t="s">
        <v>21</v>
      </c>
      <c r="E89"/>
      <c r="F89" s="9" t="s">
        <v>504</v>
      </c>
      <c r="G89" t="s">
        <v>488</v>
      </c>
      <c r="H89" t="s">
        <v>494</v>
      </c>
      <c r="I89" t="s">
        <v>24</v>
      </c>
      <c r="J89" t="s">
        <v>505</v>
      </c>
      <c r="K89" t="s">
        <v>25</v>
      </c>
      <c r="L89" t="s">
        <v>496</v>
      </c>
      <c r="M89" t="s">
        <v>27</v>
      </c>
      <c r="N89" t="s">
        <v>497</v>
      </c>
      <c r="O89" t="s">
        <v>29</v>
      </c>
      <c r="P89" t="s">
        <v>30</v>
      </c>
      <c r="Q89">
        <f t="shared" si="2"/>
        <v>16</v>
      </c>
      <c r="R89">
        <f t="shared" si="3"/>
        <v>14</v>
      </c>
    </row>
    <row r="90" spans="1:18" x14ac:dyDescent="0.25">
      <c r="A90" s="3">
        <v>88</v>
      </c>
      <c r="B90" s="3" t="s">
        <v>2979</v>
      </c>
      <c r="C90" t="s">
        <v>506</v>
      </c>
      <c r="D90" t="s">
        <v>21</v>
      </c>
      <c r="E90"/>
      <c r="F90" s="9" t="s">
        <v>507</v>
      </c>
      <c r="G90" t="s">
        <v>488</v>
      </c>
      <c r="H90" t="s">
        <v>494</v>
      </c>
      <c r="I90" t="s">
        <v>32</v>
      </c>
      <c r="J90" t="s">
        <v>508</v>
      </c>
      <c r="K90" t="s">
        <v>25</v>
      </c>
      <c r="L90" t="s">
        <v>496</v>
      </c>
      <c r="M90" t="s">
        <v>27</v>
      </c>
      <c r="N90" t="s">
        <v>497</v>
      </c>
      <c r="O90" t="s">
        <v>29</v>
      </c>
      <c r="P90" t="s">
        <v>30</v>
      </c>
      <c r="Q90">
        <f t="shared" si="2"/>
        <v>16</v>
      </c>
      <c r="R90">
        <f t="shared" si="3"/>
        <v>14</v>
      </c>
    </row>
    <row r="91" spans="1:18" x14ac:dyDescent="0.25">
      <c r="A91" s="2">
        <v>89</v>
      </c>
      <c r="B91" s="3" t="s">
        <v>2979</v>
      </c>
      <c r="C91" t="s">
        <v>509</v>
      </c>
      <c r="D91" t="s">
        <v>21</v>
      </c>
      <c r="E91"/>
      <c r="F91" s="9" t="s">
        <v>510</v>
      </c>
      <c r="G91" t="s">
        <v>511</v>
      </c>
      <c r="H91" t="s">
        <v>512</v>
      </c>
      <c r="I91" t="s">
        <v>32</v>
      </c>
      <c r="J91" t="s">
        <v>513</v>
      </c>
      <c r="K91" t="s">
        <v>25</v>
      </c>
      <c r="L91" t="s">
        <v>514</v>
      </c>
      <c r="M91" t="s">
        <v>27</v>
      </c>
      <c r="N91" t="s">
        <v>515</v>
      </c>
      <c r="O91" t="s">
        <v>29</v>
      </c>
      <c r="P91" t="s">
        <v>30</v>
      </c>
      <c r="Q91">
        <f t="shared" si="2"/>
        <v>16</v>
      </c>
      <c r="R91">
        <f t="shared" si="3"/>
        <v>13</v>
      </c>
    </row>
    <row r="92" spans="1:18" x14ac:dyDescent="0.25">
      <c r="A92" s="3">
        <v>90</v>
      </c>
      <c r="B92" s="3" t="s">
        <v>2979</v>
      </c>
      <c r="C92" t="s">
        <v>516</v>
      </c>
      <c r="D92" t="s">
        <v>21</v>
      </c>
      <c r="E92"/>
      <c r="F92" s="9" t="s">
        <v>517</v>
      </c>
      <c r="G92" t="s">
        <v>511</v>
      </c>
      <c r="H92" t="s">
        <v>440</v>
      </c>
      <c r="I92" t="s">
        <v>24</v>
      </c>
      <c r="J92" t="s">
        <v>518</v>
      </c>
      <c r="K92" t="s">
        <v>25</v>
      </c>
      <c r="L92" t="s">
        <v>519</v>
      </c>
      <c r="M92" t="s">
        <v>27</v>
      </c>
      <c r="N92" t="s">
        <v>520</v>
      </c>
      <c r="O92" t="s">
        <v>29</v>
      </c>
      <c r="P92" t="s">
        <v>30</v>
      </c>
      <c r="Q92">
        <f t="shared" si="2"/>
        <v>16</v>
      </c>
      <c r="R92">
        <f t="shared" si="3"/>
        <v>13</v>
      </c>
    </row>
    <row r="93" spans="1:18" x14ac:dyDescent="0.25">
      <c r="A93" s="2">
        <v>91</v>
      </c>
      <c r="B93" s="3" t="s">
        <v>2979</v>
      </c>
      <c r="C93" t="s">
        <v>521</v>
      </c>
      <c r="D93" t="s">
        <v>21</v>
      </c>
      <c r="E93"/>
      <c r="F93" s="9" t="s">
        <v>522</v>
      </c>
      <c r="G93" t="s">
        <v>523</v>
      </c>
      <c r="H93" t="s">
        <v>524</v>
      </c>
      <c r="I93" t="s">
        <v>32</v>
      </c>
      <c r="J93" t="s">
        <v>525</v>
      </c>
      <c r="K93" t="s">
        <v>25</v>
      </c>
      <c r="L93" t="s">
        <v>526</v>
      </c>
      <c r="M93" t="s">
        <v>27</v>
      </c>
      <c r="N93" t="s">
        <v>527</v>
      </c>
      <c r="O93" t="s">
        <v>29</v>
      </c>
      <c r="P93" t="s">
        <v>30</v>
      </c>
      <c r="Q93">
        <f t="shared" si="2"/>
        <v>16</v>
      </c>
      <c r="R93">
        <f t="shared" si="3"/>
        <v>15</v>
      </c>
    </row>
    <row r="94" spans="1:18" x14ac:dyDescent="0.25">
      <c r="A94" s="3">
        <v>92</v>
      </c>
      <c r="B94" s="3" t="s">
        <v>2979</v>
      </c>
      <c r="C94" t="s">
        <v>528</v>
      </c>
      <c r="D94" t="s">
        <v>21</v>
      </c>
      <c r="E94"/>
      <c r="F94" s="9" t="s">
        <v>529</v>
      </c>
      <c r="G94" t="s">
        <v>523</v>
      </c>
      <c r="H94" t="s">
        <v>524</v>
      </c>
      <c r="I94" t="s">
        <v>24</v>
      </c>
      <c r="J94" t="s">
        <v>530</v>
      </c>
      <c r="K94" t="s">
        <v>25</v>
      </c>
      <c r="L94" t="s">
        <v>526</v>
      </c>
      <c r="M94" t="s">
        <v>27</v>
      </c>
      <c r="N94" t="s">
        <v>527</v>
      </c>
      <c r="O94" t="s">
        <v>29</v>
      </c>
      <c r="P94" t="s">
        <v>30</v>
      </c>
      <c r="Q94">
        <f t="shared" si="2"/>
        <v>16</v>
      </c>
      <c r="R94">
        <f t="shared" si="3"/>
        <v>15</v>
      </c>
    </row>
    <row r="95" spans="1:18" x14ac:dyDescent="0.25">
      <c r="A95" s="2">
        <v>93</v>
      </c>
      <c r="B95" s="3" t="s">
        <v>2979</v>
      </c>
      <c r="C95" t="s">
        <v>531</v>
      </c>
      <c r="D95" t="s">
        <v>21</v>
      </c>
      <c r="E95"/>
      <c r="F95" s="9" t="s">
        <v>522</v>
      </c>
      <c r="G95" t="s">
        <v>523</v>
      </c>
      <c r="H95" t="s">
        <v>524</v>
      </c>
      <c r="I95" t="s">
        <v>37</v>
      </c>
      <c r="J95" t="s">
        <v>532</v>
      </c>
      <c r="K95" t="s">
        <v>25</v>
      </c>
      <c r="L95" t="s">
        <v>526</v>
      </c>
      <c r="M95" t="s">
        <v>27</v>
      </c>
      <c r="N95" t="s">
        <v>527</v>
      </c>
      <c r="O95" t="s">
        <v>29</v>
      </c>
      <c r="P95" t="s">
        <v>30</v>
      </c>
      <c r="Q95">
        <f t="shared" si="2"/>
        <v>16</v>
      </c>
      <c r="R95">
        <f t="shared" si="3"/>
        <v>15</v>
      </c>
    </row>
    <row r="96" spans="1:18" x14ac:dyDescent="0.25">
      <c r="A96" s="3">
        <v>94</v>
      </c>
      <c r="B96" s="3" t="s">
        <v>2979</v>
      </c>
      <c r="C96" t="s">
        <v>533</v>
      </c>
      <c r="D96" t="s">
        <v>21</v>
      </c>
      <c r="E96"/>
      <c r="F96" s="9" t="s">
        <v>534</v>
      </c>
      <c r="G96" t="s">
        <v>511</v>
      </c>
      <c r="H96" t="s">
        <v>440</v>
      </c>
      <c r="I96" t="s">
        <v>32</v>
      </c>
      <c r="J96" t="s">
        <v>535</v>
      </c>
      <c r="K96" t="s">
        <v>25</v>
      </c>
      <c r="L96" t="s">
        <v>519</v>
      </c>
      <c r="M96" t="s">
        <v>27</v>
      </c>
      <c r="N96" t="s">
        <v>520</v>
      </c>
      <c r="O96" t="s">
        <v>29</v>
      </c>
      <c r="P96" t="s">
        <v>30</v>
      </c>
      <c r="Q96">
        <f t="shared" si="2"/>
        <v>16</v>
      </c>
      <c r="R96">
        <f t="shared" si="3"/>
        <v>13</v>
      </c>
    </row>
    <row r="97" spans="1:18" x14ac:dyDescent="0.25">
      <c r="A97" s="2">
        <v>95</v>
      </c>
      <c r="B97" s="3" t="s">
        <v>2979</v>
      </c>
      <c r="C97" t="s">
        <v>536</v>
      </c>
      <c r="D97" t="s">
        <v>21</v>
      </c>
      <c r="E97"/>
      <c r="F97" s="9" t="s">
        <v>537</v>
      </c>
      <c r="G97" t="s">
        <v>538</v>
      </c>
      <c r="H97" t="s">
        <v>120</v>
      </c>
      <c r="I97" t="s">
        <v>32</v>
      </c>
      <c r="J97" t="s">
        <v>539</v>
      </c>
      <c r="K97" t="s">
        <v>25</v>
      </c>
      <c r="L97" t="s">
        <v>540</v>
      </c>
      <c r="M97" t="s">
        <v>27</v>
      </c>
      <c r="N97" t="s">
        <v>541</v>
      </c>
      <c r="O97" t="s">
        <v>29</v>
      </c>
      <c r="P97" t="s">
        <v>30</v>
      </c>
      <c r="Q97">
        <f t="shared" si="2"/>
        <v>16</v>
      </c>
      <c r="R97">
        <f t="shared" si="3"/>
        <v>15</v>
      </c>
    </row>
    <row r="98" spans="1:18" x14ac:dyDescent="0.25">
      <c r="A98" s="3">
        <v>96</v>
      </c>
      <c r="B98" s="3" t="s">
        <v>2979</v>
      </c>
      <c r="C98" t="s">
        <v>542</v>
      </c>
      <c r="D98" t="s">
        <v>21</v>
      </c>
      <c r="E98"/>
      <c r="F98" s="9" t="s">
        <v>543</v>
      </c>
      <c r="G98" t="s">
        <v>544</v>
      </c>
      <c r="H98" t="s">
        <v>545</v>
      </c>
      <c r="I98" t="s">
        <v>32</v>
      </c>
      <c r="J98" t="s">
        <v>546</v>
      </c>
      <c r="K98" t="s">
        <v>25</v>
      </c>
      <c r="L98" t="s">
        <v>547</v>
      </c>
      <c r="M98" t="s">
        <v>27</v>
      </c>
      <c r="N98" t="s">
        <v>548</v>
      </c>
      <c r="O98" t="s">
        <v>29</v>
      </c>
      <c r="P98" t="s">
        <v>30</v>
      </c>
      <c r="Q98">
        <f t="shared" si="2"/>
        <v>16</v>
      </c>
      <c r="R98">
        <f t="shared" si="3"/>
        <v>13</v>
      </c>
    </row>
    <row r="99" spans="1:18" x14ac:dyDescent="0.25">
      <c r="A99" s="2">
        <v>97</v>
      </c>
      <c r="B99" s="3" t="s">
        <v>2979</v>
      </c>
      <c r="C99" t="s">
        <v>549</v>
      </c>
      <c r="D99" t="s">
        <v>21</v>
      </c>
      <c r="E99"/>
      <c r="F99" s="9">
        <v>0</v>
      </c>
      <c r="G99" t="s">
        <v>523</v>
      </c>
      <c r="H99" t="s">
        <v>550</v>
      </c>
      <c r="I99" t="s">
        <v>37</v>
      </c>
      <c r="J99" t="s">
        <v>551</v>
      </c>
      <c r="K99" t="s">
        <v>25</v>
      </c>
      <c r="L99" t="s">
        <v>552</v>
      </c>
      <c r="M99" t="s">
        <v>27</v>
      </c>
      <c r="N99" t="s">
        <v>553</v>
      </c>
      <c r="O99" t="s">
        <v>29</v>
      </c>
      <c r="P99" t="s">
        <v>30</v>
      </c>
      <c r="Q99">
        <f t="shared" si="2"/>
        <v>16</v>
      </c>
      <c r="R99">
        <f t="shared" si="3"/>
        <v>14</v>
      </c>
    </row>
    <row r="100" spans="1:18" x14ac:dyDescent="0.25">
      <c r="A100" s="3">
        <v>98</v>
      </c>
      <c r="B100" s="3" t="s">
        <v>2979</v>
      </c>
      <c r="C100" t="s">
        <v>554</v>
      </c>
      <c r="D100" t="s">
        <v>21</v>
      </c>
      <c r="E100"/>
      <c r="F100" s="9" t="s">
        <v>555</v>
      </c>
      <c r="G100" t="s">
        <v>544</v>
      </c>
      <c r="H100" t="s">
        <v>556</v>
      </c>
      <c r="I100" t="s">
        <v>32</v>
      </c>
      <c r="J100" t="s">
        <v>557</v>
      </c>
      <c r="K100" t="s">
        <v>25</v>
      </c>
      <c r="L100" t="s">
        <v>558</v>
      </c>
      <c r="M100" t="s">
        <v>27</v>
      </c>
      <c r="N100" t="s">
        <v>559</v>
      </c>
      <c r="O100" t="s">
        <v>29</v>
      </c>
      <c r="P100" t="s">
        <v>30</v>
      </c>
      <c r="Q100">
        <f t="shared" si="2"/>
        <v>16</v>
      </c>
      <c r="R100">
        <f t="shared" si="3"/>
        <v>15</v>
      </c>
    </row>
    <row r="101" spans="1:18" x14ac:dyDescent="0.25">
      <c r="A101" s="2">
        <v>99</v>
      </c>
      <c r="B101" s="3" t="s">
        <v>2979</v>
      </c>
      <c r="C101" t="s">
        <v>560</v>
      </c>
      <c r="D101" t="s">
        <v>21</v>
      </c>
      <c r="E101"/>
      <c r="F101" s="9" t="s">
        <v>561</v>
      </c>
      <c r="G101" t="s">
        <v>544</v>
      </c>
      <c r="H101" t="s">
        <v>562</v>
      </c>
      <c r="I101" t="s">
        <v>24</v>
      </c>
      <c r="J101" t="s">
        <v>563</v>
      </c>
      <c r="K101" t="s">
        <v>25</v>
      </c>
      <c r="L101" t="s">
        <v>564</v>
      </c>
      <c r="M101" t="s">
        <v>27</v>
      </c>
      <c r="N101" t="s">
        <v>565</v>
      </c>
      <c r="O101" t="s">
        <v>29</v>
      </c>
      <c r="P101" t="s">
        <v>30</v>
      </c>
      <c r="Q101">
        <f t="shared" si="2"/>
        <v>16</v>
      </c>
      <c r="R101">
        <f t="shared" si="3"/>
        <v>14</v>
      </c>
    </row>
    <row r="102" spans="1:18" x14ac:dyDescent="0.25">
      <c r="A102" s="3">
        <v>100</v>
      </c>
      <c r="B102" s="3" t="s">
        <v>2979</v>
      </c>
      <c r="C102" t="s">
        <v>566</v>
      </c>
      <c r="D102" t="s">
        <v>21</v>
      </c>
      <c r="E102"/>
      <c r="F102" s="9" t="s">
        <v>567</v>
      </c>
      <c r="G102" t="s">
        <v>544</v>
      </c>
      <c r="H102" t="s">
        <v>568</v>
      </c>
      <c r="I102" t="s">
        <v>32</v>
      </c>
      <c r="J102" t="s">
        <v>569</v>
      </c>
      <c r="K102" t="s">
        <v>25</v>
      </c>
      <c r="L102" t="s">
        <v>570</v>
      </c>
      <c r="M102" t="s">
        <v>27</v>
      </c>
      <c r="N102" t="s">
        <v>571</v>
      </c>
      <c r="O102" t="s">
        <v>29</v>
      </c>
      <c r="P102" t="s">
        <v>30</v>
      </c>
      <c r="Q102">
        <f t="shared" si="2"/>
        <v>16</v>
      </c>
      <c r="R102">
        <f t="shared" si="3"/>
        <v>14</v>
      </c>
    </row>
    <row r="103" spans="1:18" x14ac:dyDescent="0.25">
      <c r="A103" s="2">
        <v>101</v>
      </c>
      <c r="B103" s="3" t="s">
        <v>2979</v>
      </c>
      <c r="C103" t="s">
        <v>572</v>
      </c>
      <c r="D103" t="s">
        <v>21</v>
      </c>
      <c r="E103"/>
      <c r="F103" s="9" t="s">
        <v>573</v>
      </c>
      <c r="G103" t="s">
        <v>544</v>
      </c>
      <c r="H103" t="s">
        <v>574</v>
      </c>
      <c r="I103" t="s">
        <v>32</v>
      </c>
      <c r="J103" t="s">
        <v>575</v>
      </c>
      <c r="K103" t="s">
        <v>25</v>
      </c>
      <c r="L103" t="s">
        <v>576</v>
      </c>
      <c r="M103" t="s">
        <v>27</v>
      </c>
      <c r="N103" t="s">
        <v>577</v>
      </c>
      <c r="O103" t="s">
        <v>29</v>
      </c>
      <c r="P103" t="s">
        <v>30</v>
      </c>
      <c r="Q103">
        <f t="shared" si="2"/>
        <v>16</v>
      </c>
      <c r="R103">
        <f t="shared" si="3"/>
        <v>15</v>
      </c>
    </row>
    <row r="104" spans="1:18" x14ac:dyDescent="0.25">
      <c r="A104" s="3">
        <v>102</v>
      </c>
      <c r="B104" s="3" t="s">
        <v>2979</v>
      </c>
      <c r="C104" t="s">
        <v>578</v>
      </c>
      <c r="D104" t="s">
        <v>21</v>
      </c>
      <c r="E104"/>
      <c r="F104" s="9" t="s">
        <v>579</v>
      </c>
      <c r="G104" t="s">
        <v>544</v>
      </c>
      <c r="H104" t="s">
        <v>580</v>
      </c>
      <c r="I104" t="s">
        <v>32</v>
      </c>
      <c r="J104" t="s">
        <v>581</v>
      </c>
      <c r="K104" t="s">
        <v>25</v>
      </c>
      <c r="L104" t="s">
        <v>582</v>
      </c>
      <c r="M104" t="s">
        <v>27</v>
      </c>
      <c r="N104" t="s">
        <v>583</v>
      </c>
      <c r="O104" t="s">
        <v>29</v>
      </c>
      <c r="P104" t="s">
        <v>30</v>
      </c>
      <c r="Q104">
        <f t="shared" si="2"/>
        <v>16</v>
      </c>
      <c r="R104">
        <f t="shared" si="3"/>
        <v>13</v>
      </c>
    </row>
    <row r="105" spans="1:18" x14ac:dyDescent="0.25">
      <c r="A105" s="2">
        <v>103</v>
      </c>
      <c r="B105" s="3" t="s">
        <v>2979</v>
      </c>
      <c r="C105" t="s">
        <v>584</v>
      </c>
      <c r="D105" t="s">
        <v>21</v>
      </c>
      <c r="E105"/>
      <c r="F105" s="9" t="s">
        <v>585</v>
      </c>
      <c r="G105" t="s">
        <v>544</v>
      </c>
      <c r="H105" t="s">
        <v>586</v>
      </c>
      <c r="I105" t="s">
        <v>32</v>
      </c>
      <c r="J105" t="s">
        <v>587</v>
      </c>
      <c r="K105" t="s">
        <v>25</v>
      </c>
      <c r="L105" t="s">
        <v>588</v>
      </c>
      <c r="M105" t="s">
        <v>27</v>
      </c>
      <c r="N105" t="s">
        <v>589</v>
      </c>
      <c r="O105" t="s">
        <v>29</v>
      </c>
      <c r="P105" t="s">
        <v>30</v>
      </c>
      <c r="Q105">
        <f t="shared" si="2"/>
        <v>16</v>
      </c>
      <c r="R105">
        <f t="shared" si="3"/>
        <v>13</v>
      </c>
    </row>
    <row r="106" spans="1:18" x14ac:dyDescent="0.25">
      <c r="A106" s="3">
        <v>104</v>
      </c>
      <c r="B106" s="3" t="s">
        <v>2979</v>
      </c>
      <c r="C106" t="s">
        <v>590</v>
      </c>
      <c r="D106" t="s">
        <v>21</v>
      </c>
      <c r="E106"/>
      <c r="F106" s="9" t="s">
        <v>591</v>
      </c>
      <c r="G106" t="s">
        <v>544</v>
      </c>
      <c r="H106" t="s">
        <v>592</v>
      </c>
      <c r="I106" t="s">
        <v>32</v>
      </c>
      <c r="J106" t="s">
        <v>593</v>
      </c>
      <c r="K106" t="s">
        <v>25</v>
      </c>
      <c r="L106" t="s">
        <v>594</v>
      </c>
      <c r="M106" t="s">
        <v>27</v>
      </c>
      <c r="N106" t="s">
        <v>595</v>
      </c>
      <c r="O106" t="s">
        <v>29</v>
      </c>
      <c r="P106" t="s">
        <v>30</v>
      </c>
      <c r="Q106">
        <f t="shared" si="2"/>
        <v>16</v>
      </c>
      <c r="R106">
        <f t="shared" si="3"/>
        <v>13</v>
      </c>
    </row>
    <row r="107" spans="1:18" x14ac:dyDescent="0.25">
      <c r="A107" s="2">
        <v>105</v>
      </c>
      <c r="B107" s="3" t="s">
        <v>2979</v>
      </c>
      <c r="C107" t="s">
        <v>596</v>
      </c>
      <c r="D107" t="s">
        <v>21</v>
      </c>
      <c r="E107"/>
      <c r="F107" s="9" t="s">
        <v>597</v>
      </c>
      <c r="G107" t="s">
        <v>544</v>
      </c>
      <c r="H107" t="s">
        <v>598</v>
      </c>
      <c r="I107" t="s">
        <v>32</v>
      </c>
      <c r="J107" t="s">
        <v>599</v>
      </c>
      <c r="K107" t="s">
        <v>25</v>
      </c>
      <c r="L107" t="s">
        <v>600</v>
      </c>
      <c r="M107" t="s">
        <v>27</v>
      </c>
      <c r="N107" t="s">
        <v>601</v>
      </c>
      <c r="O107" t="s">
        <v>29</v>
      </c>
      <c r="P107" t="s">
        <v>30</v>
      </c>
      <c r="Q107">
        <f t="shared" si="2"/>
        <v>16</v>
      </c>
      <c r="R107">
        <f t="shared" si="3"/>
        <v>13</v>
      </c>
    </row>
    <row r="108" spans="1:18" x14ac:dyDescent="0.25">
      <c r="A108" s="3">
        <v>106</v>
      </c>
      <c r="B108" s="3" t="s">
        <v>2979</v>
      </c>
      <c r="C108" t="s">
        <v>602</v>
      </c>
      <c r="D108" t="s">
        <v>21</v>
      </c>
      <c r="E108"/>
      <c r="F108" s="9" t="s">
        <v>603</v>
      </c>
      <c r="G108" t="s">
        <v>544</v>
      </c>
      <c r="H108" t="s">
        <v>604</v>
      </c>
      <c r="I108" t="s">
        <v>32</v>
      </c>
      <c r="J108" t="s">
        <v>605</v>
      </c>
      <c r="K108" t="s">
        <v>25</v>
      </c>
      <c r="L108" t="s">
        <v>606</v>
      </c>
      <c r="M108" t="s">
        <v>27</v>
      </c>
      <c r="N108" t="s">
        <v>607</v>
      </c>
      <c r="O108" t="s">
        <v>29</v>
      </c>
      <c r="P108" t="s">
        <v>30</v>
      </c>
      <c r="Q108">
        <f t="shared" si="2"/>
        <v>16</v>
      </c>
      <c r="R108">
        <f t="shared" si="3"/>
        <v>13</v>
      </c>
    </row>
    <row r="109" spans="1:18" x14ac:dyDescent="0.25">
      <c r="A109" s="2">
        <v>107</v>
      </c>
      <c r="B109" s="3" t="s">
        <v>2979</v>
      </c>
      <c r="C109" t="s">
        <v>608</v>
      </c>
      <c r="D109" t="s">
        <v>21</v>
      </c>
      <c r="E109"/>
      <c r="F109" s="9" t="s">
        <v>609</v>
      </c>
      <c r="G109" t="s">
        <v>523</v>
      </c>
      <c r="H109" t="s">
        <v>610</v>
      </c>
      <c r="I109" t="s">
        <v>32</v>
      </c>
      <c r="J109" t="s">
        <v>611</v>
      </c>
      <c r="K109" t="s">
        <v>25</v>
      </c>
      <c r="L109" t="s">
        <v>612</v>
      </c>
      <c r="M109" t="s">
        <v>27</v>
      </c>
      <c r="N109" t="s">
        <v>613</v>
      </c>
      <c r="O109" t="s">
        <v>29</v>
      </c>
      <c r="P109" t="s">
        <v>30</v>
      </c>
      <c r="Q109">
        <f t="shared" si="2"/>
        <v>16</v>
      </c>
      <c r="R109">
        <f t="shared" si="3"/>
        <v>15</v>
      </c>
    </row>
    <row r="110" spans="1:18" x14ac:dyDescent="0.25">
      <c r="A110" s="3">
        <v>108</v>
      </c>
      <c r="B110" s="3" t="s">
        <v>2979</v>
      </c>
      <c r="C110" t="s">
        <v>614</v>
      </c>
      <c r="D110" t="s">
        <v>21</v>
      </c>
      <c r="E110"/>
      <c r="F110" s="9" t="s">
        <v>615</v>
      </c>
      <c r="G110" t="s">
        <v>523</v>
      </c>
      <c r="H110" t="s">
        <v>610</v>
      </c>
      <c r="I110" t="s">
        <v>24</v>
      </c>
      <c r="J110" t="s">
        <v>616</v>
      </c>
      <c r="K110" t="s">
        <v>25</v>
      </c>
      <c r="L110" t="s">
        <v>612</v>
      </c>
      <c r="M110" t="s">
        <v>27</v>
      </c>
      <c r="N110" t="s">
        <v>613</v>
      </c>
      <c r="O110" t="s">
        <v>29</v>
      </c>
      <c r="P110" t="s">
        <v>30</v>
      </c>
      <c r="Q110">
        <f t="shared" si="2"/>
        <v>16</v>
      </c>
      <c r="R110">
        <f t="shared" si="3"/>
        <v>15</v>
      </c>
    </row>
    <row r="111" spans="1:18" x14ac:dyDescent="0.25">
      <c r="A111" s="2">
        <v>109</v>
      </c>
      <c r="B111" s="3" t="s">
        <v>2979</v>
      </c>
      <c r="C111" t="s">
        <v>617</v>
      </c>
      <c r="D111" t="s">
        <v>21</v>
      </c>
      <c r="E111"/>
      <c r="F111" s="9" t="s">
        <v>618</v>
      </c>
      <c r="G111" t="s">
        <v>523</v>
      </c>
      <c r="H111" t="s">
        <v>619</v>
      </c>
      <c r="I111" t="s">
        <v>32</v>
      </c>
      <c r="J111" t="s">
        <v>620</v>
      </c>
      <c r="K111" t="s">
        <v>25</v>
      </c>
      <c r="L111" t="s">
        <v>621</v>
      </c>
      <c r="M111" t="s">
        <v>27</v>
      </c>
      <c r="N111" t="s">
        <v>622</v>
      </c>
      <c r="O111" t="s">
        <v>29</v>
      </c>
      <c r="P111" t="s">
        <v>30</v>
      </c>
      <c r="Q111">
        <f t="shared" si="2"/>
        <v>16</v>
      </c>
      <c r="R111">
        <f t="shared" si="3"/>
        <v>15</v>
      </c>
    </row>
    <row r="112" spans="1:18" x14ac:dyDescent="0.25">
      <c r="A112" s="3">
        <v>110</v>
      </c>
      <c r="B112" s="3" t="s">
        <v>2979</v>
      </c>
      <c r="C112" t="s">
        <v>623</v>
      </c>
      <c r="D112" t="s">
        <v>21</v>
      </c>
      <c r="E112"/>
      <c r="F112" s="9" t="s">
        <v>624</v>
      </c>
      <c r="G112" t="s">
        <v>523</v>
      </c>
      <c r="H112" t="s">
        <v>619</v>
      </c>
      <c r="I112" t="s">
        <v>24</v>
      </c>
      <c r="J112" t="s">
        <v>625</v>
      </c>
      <c r="K112" t="s">
        <v>25</v>
      </c>
      <c r="L112" t="s">
        <v>621</v>
      </c>
      <c r="M112" t="s">
        <v>27</v>
      </c>
      <c r="N112" t="s">
        <v>622</v>
      </c>
      <c r="O112" t="s">
        <v>29</v>
      </c>
      <c r="P112" t="s">
        <v>30</v>
      </c>
      <c r="Q112">
        <f t="shared" si="2"/>
        <v>16</v>
      </c>
      <c r="R112">
        <f t="shared" si="3"/>
        <v>15</v>
      </c>
    </row>
    <row r="113" spans="1:18" x14ac:dyDescent="0.25">
      <c r="A113" s="2">
        <v>111</v>
      </c>
      <c r="B113" s="3" t="s">
        <v>2979</v>
      </c>
      <c r="C113" t="s">
        <v>626</v>
      </c>
      <c r="D113" t="s">
        <v>21</v>
      </c>
      <c r="E113"/>
      <c r="F113" s="9" t="s">
        <v>627</v>
      </c>
      <c r="G113" t="s">
        <v>544</v>
      </c>
      <c r="H113" t="s">
        <v>628</v>
      </c>
      <c r="I113" t="s">
        <v>32</v>
      </c>
      <c r="J113" t="s">
        <v>629</v>
      </c>
      <c r="K113" t="s">
        <v>25</v>
      </c>
      <c r="L113" t="s">
        <v>630</v>
      </c>
      <c r="M113" t="s">
        <v>27</v>
      </c>
      <c r="N113" t="s">
        <v>631</v>
      </c>
      <c r="O113" t="s">
        <v>29</v>
      </c>
      <c r="P113" t="s">
        <v>30</v>
      </c>
      <c r="Q113">
        <f t="shared" si="2"/>
        <v>16</v>
      </c>
      <c r="R113">
        <f t="shared" si="3"/>
        <v>12</v>
      </c>
    </row>
    <row r="114" spans="1:18" x14ac:dyDescent="0.25">
      <c r="A114" s="3">
        <v>112</v>
      </c>
      <c r="B114" s="3" t="s">
        <v>2979</v>
      </c>
      <c r="C114" t="s">
        <v>632</v>
      </c>
      <c r="D114" t="s">
        <v>21</v>
      </c>
      <c r="E114"/>
      <c r="F114" s="9" t="s">
        <v>633</v>
      </c>
      <c r="G114" t="s">
        <v>523</v>
      </c>
      <c r="H114" t="s">
        <v>634</v>
      </c>
      <c r="I114" t="s">
        <v>32</v>
      </c>
      <c r="J114" t="s">
        <v>635</v>
      </c>
      <c r="K114" t="s">
        <v>25</v>
      </c>
      <c r="L114" t="s">
        <v>636</v>
      </c>
      <c r="M114" t="s">
        <v>27</v>
      </c>
      <c r="N114" t="s">
        <v>637</v>
      </c>
      <c r="O114" t="s">
        <v>29</v>
      </c>
      <c r="P114" t="s">
        <v>30</v>
      </c>
      <c r="Q114">
        <f t="shared" si="2"/>
        <v>16</v>
      </c>
      <c r="R114">
        <f t="shared" si="3"/>
        <v>15</v>
      </c>
    </row>
    <row r="115" spans="1:18" x14ac:dyDescent="0.25">
      <c r="A115" s="2">
        <v>113</v>
      </c>
      <c r="B115" s="3" t="s">
        <v>2979</v>
      </c>
      <c r="C115" t="s">
        <v>638</v>
      </c>
      <c r="D115" t="s">
        <v>21</v>
      </c>
      <c r="E115"/>
      <c r="F115" s="9" t="s">
        <v>639</v>
      </c>
      <c r="G115" t="s">
        <v>523</v>
      </c>
      <c r="H115" t="s">
        <v>634</v>
      </c>
      <c r="I115" t="s">
        <v>24</v>
      </c>
      <c r="J115" t="s">
        <v>640</v>
      </c>
      <c r="K115" t="s">
        <v>25</v>
      </c>
      <c r="L115" t="s">
        <v>636</v>
      </c>
      <c r="M115" t="s">
        <v>27</v>
      </c>
      <c r="N115" t="s">
        <v>637</v>
      </c>
      <c r="O115" t="s">
        <v>29</v>
      </c>
      <c r="P115" t="s">
        <v>30</v>
      </c>
      <c r="Q115">
        <f t="shared" si="2"/>
        <v>16</v>
      </c>
      <c r="R115">
        <f t="shared" si="3"/>
        <v>15</v>
      </c>
    </row>
    <row r="116" spans="1:18" x14ac:dyDescent="0.25">
      <c r="A116" s="3">
        <v>114</v>
      </c>
      <c r="B116" s="3" t="s">
        <v>2979</v>
      </c>
      <c r="C116" t="s">
        <v>641</v>
      </c>
      <c r="D116" t="s">
        <v>21</v>
      </c>
      <c r="E116"/>
      <c r="F116" s="9" t="s">
        <v>642</v>
      </c>
      <c r="G116" t="s">
        <v>523</v>
      </c>
      <c r="H116" t="s">
        <v>634</v>
      </c>
      <c r="I116" t="s">
        <v>37</v>
      </c>
      <c r="J116" t="s">
        <v>643</v>
      </c>
      <c r="K116" t="s">
        <v>25</v>
      </c>
      <c r="L116" t="s">
        <v>636</v>
      </c>
      <c r="M116" t="s">
        <v>27</v>
      </c>
      <c r="N116" t="s">
        <v>637</v>
      </c>
      <c r="O116" t="s">
        <v>29</v>
      </c>
      <c r="P116" t="s">
        <v>30</v>
      </c>
      <c r="Q116">
        <f t="shared" si="2"/>
        <v>16</v>
      </c>
      <c r="R116">
        <f t="shared" si="3"/>
        <v>15</v>
      </c>
    </row>
    <row r="117" spans="1:18" x14ac:dyDescent="0.25">
      <c r="A117" s="2">
        <v>115</v>
      </c>
      <c r="B117" s="3" t="s">
        <v>2979</v>
      </c>
      <c r="C117" t="s">
        <v>644</v>
      </c>
      <c r="D117" t="s">
        <v>21</v>
      </c>
      <c r="E117"/>
      <c r="F117" s="9" t="s">
        <v>645</v>
      </c>
      <c r="G117" t="s">
        <v>523</v>
      </c>
      <c r="H117" t="s">
        <v>634</v>
      </c>
      <c r="I117" t="s">
        <v>36</v>
      </c>
      <c r="J117" t="s">
        <v>646</v>
      </c>
      <c r="K117" t="s">
        <v>25</v>
      </c>
      <c r="L117" t="s">
        <v>636</v>
      </c>
      <c r="M117" t="s">
        <v>27</v>
      </c>
      <c r="N117" t="s">
        <v>637</v>
      </c>
      <c r="O117" t="s">
        <v>29</v>
      </c>
      <c r="P117" t="s">
        <v>30</v>
      </c>
      <c r="Q117">
        <f t="shared" si="2"/>
        <v>16</v>
      </c>
      <c r="R117">
        <f t="shared" si="3"/>
        <v>15</v>
      </c>
    </row>
    <row r="118" spans="1:18" x14ac:dyDescent="0.25">
      <c r="A118" s="3">
        <v>116</v>
      </c>
      <c r="B118" s="3" t="s">
        <v>2979</v>
      </c>
      <c r="C118" t="s">
        <v>647</v>
      </c>
      <c r="D118" t="s">
        <v>21</v>
      </c>
      <c r="E118"/>
      <c r="F118" s="9" t="s">
        <v>648</v>
      </c>
      <c r="G118" t="s">
        <v>523</v>
      </c>
      <c r="H118" t="s">
        <v>649</v>
      </c>
      <c r="I118" t="s">
        <v>32</v>
      </c>
      <c r="J118" t="s">
        <v>650</v>
      </c>
      <c r="K118" t="s">
        <v>25</v>
      </c>
      <c r="L118" t="s">
        <v>651</v>
      </c>
      <c r="M118" t="s">
        <v>27</v>
      </c>
      <c r="N118" t="s">
        <v>652</v>
      </c>
      <c r="O118" t="s">
        <v>29</v>
      </c>
      <c r="P118" t="s">
        <v>30</v>
      </c>
      <c r="Q118">
        <f t="shared" si="2"/>
        <v>16</v>
      </c>
      <c r="R118">
        <f t="shared" si="3"/>
        <v>15</v>
      </c>
    </row>
    <row r="119" spans="1:18" x14ac:dyDescent="0.25">
      <c r="A119" s="2">
        <v>117</v>
      </c>
      <c r="B119" s="3" t="s">
        <v>2979</v>
      </c>
      <c r="C119" t="s">
        <v>653</v>
      </c>
      <c r="D119" t="s">
        <v>21</v>
      </c>
      <c r="E119"/>
      <c r="F119" s="9" t="s">
        <v>654</v>
      </c>
      <c r="G119" t="s">
        <v>523</v>
      </c>
      <c r="H119" t="s">
        <v>649</v>
      </c>
      <c r="I119" t="s">
        <v>37</v>
      </c>
      <c r="J119" t="s">
        <v>655</v>
      </c>
      <c r="K119" t="s">
        <v>25</v>
      </c>
      <c r="L119" t="s">
        <v>651</v>
      </c>
      <c r="M119" t="s">
        <v>27</v>
      </c>
      <c r="N119" t="s">
        <v>652</v>
      </c>
      <c r="O119" t="s">
        <v>29</v>
      </c>
      <c r="P119" t="s">
        <v>30</v>
      </c>
      <c r="Q119">
        <f t="shared" si="2"/>
        <v>16</v>
      </c>
      <c r="R119">
        <f t="shared" si="3"/>
        <v>15</v>
      </c>
    </row>
    <row r="120" spans="1:18" x14ac:dyDescent="0.25">
      <c r="A120" s="3">
        <v>118</v>
      </c>
      <c r="B120" s="3" t="s">
        <v>2979</v>
      </c>
      <c r="C120" t="s">
        <v>656</v>
      </c>
      <c r="D120" t="s">
        <v>21</v>
      </c>
      <c r="E120"/>
      <c r="F120" s="9" t="s">
        <v>657</v>
      </c>
      <c r="G120" t="s">
        <v>544</v>
      </c>
      <c r="H120" t="s">
        <v>658</v>
      </c>
      <c r="I120" t="s">
        <v>32</v>
      </c>
      <c r="J120" t="s">
        <v>659</v>
      </c>
      <c r="K120" t="s">
        <v>25</v>
      </c>
      <c r="L120" t="s">
        <v>660</v>
      </c>
      <c r="M120" t="s">
        <v>27</v>
      </c>
      <c r="N120" t="s">
        <v>661</v>
      </c>
      <c r="O120" t="s">
        <v>29</v>
      </c>
      <c r="P120" t="s">
        <v>30</v>
      </c>
      <c r="Q120">
        <f t="shared" si="2"/>
        <v>16</v>
      </c>
      <c r="R120">
        <f t="shared" si="3"/>
        <v>15</v>
      </c>
    </row>
    <row r="121" spans="1:18" x14ac:dyDescent="0.25">
      <c r="A121" s="2">
        <v>119</v>
      </c>
      <c r="B121" s="3" t="s">
        <v>2979</v>
      </c>
      <c r="C121" t="s">
        <v>662</v>
      </c>
      <c r="D121" t="s">
        <v>21</v>
      </c>
      <c r="E121"/>
      <c r="F121" s="9">
        <v>0</v>
      </c>
      <c r="G121" t="s">
        <v>544</v>
      </c>
      <c r="H121" t="s">
        <v>663</v>
      </c>
      <c r="I121" t="s">
        <v>24</v>
      </c>
      <c r="J121" t="s">
        <v>664</v>
      </c>
      <c r="K121" t="s">
        <v>25</v>
      </c>
      <c r="L121" t="s">
        <v>665</v>
      </c>
      <c r="M121" t="s">
        <v>27</v>
      </c>
      <c r="N121" t="s">
        <v>666</v>
      </c>
      <c r="O121" t="s">
        <v>29</v>
      </c>
      <c r="P121" t="s">
        <v>30</v>
      </c>
      <c r="Q121">
        <f t="shared" si="2"/>
        <v>16</v>
      </c>
      <c r="R121">
        <f t="shared" si="3"/>
        <v>13</v>
      </c>
    </row>
    <row r="122" spans="1:18" x14ac:dyDescent="0.25">
      <c r="A122" s="3">
        <v>120</v>
      </c>
      <c r="B122" s="3" t="s">
        <v>2979</v>
      </c>
      <c r="C122" t="s">
        <v>667</v>
      </c>
      <c r="D122" t="s">
        <v>21</v>
      </c>
      <c r="E122"/>
      <c r="F122" s="9" t="s">
        <v>668</v>
      </c>
      <c r="G122" t="s">
        <v>669</v>
      </c>
      <c r="H122" t="s">
        <v>670</v>
      </c>
      <c r="I122" t="s">
        <v>32</v>
      </c>
      <c r="J122" t="s">
        <v>671</v>
      </c>
      <c r="K122" t="s">
        <v>25</v>
      </c>
      <c r="L122" t="s">
        <v>672</v>
      </c>
      <c r="M122" t="s">
        <v>27</v>
      </c>
      <c r="N122" t="s">
        <v>673</v>
      </c>
      <c r="O122" t="s">
        <v>29</v>
      </c>
      <c r="P122" t="s">
        <v>30</v>
      </c>
      <c r="Q122">
        <f t="shared" si="2"/>
        <v>16</v>
      </c>
      <c r="R122">
        <f t="shared" si="3"/>
        <v>15</v>
      </c>
    </row>
    <row r="123" spans="1:18" x14ac:dyDescent="0.25">
      <c r="A123" s="2">
        <v>121</v>
      </c>
      <c r="B123" s="3" t="s">
        <v>2979</v>
      </c>
      <c r="C123" t="s">
        <v>674</v>
      </c>
      <c r="D123" t="s">
        <v>21</v>
      </c>
      <c r="E123"/>
      <c r="F123" s="9" t="s">
        <v>675</v>
      </c>
      <c r="G123" t="s">
        <v>669</v>
      </c>
      <c r="H123" t="s">
        <v>670</v>
      </c>
      <c r="I123" t="s">
        <v>24</v>
      </c>
      <c r="J123" t="s">
        <v>676</v>
      </c>
      <c r="K123" t="s">
        <v>25</v>
      </c>
      <c r="L123" t="s">
        <v>672</v>
      </c>
      <c r="M123" t="s">
        <v>27</v>
      </c>
      <c r="N123" t="s">
        <v>673</v>
      </c>
      <c r="O123" t="s">
        <v>29</v>
      </c>
      <c r="P123" t="s">
        <v>30</v>
      </c>
      <c r="Q123">
        <f t="shared" si="2"/>
        <v>16</v>
      </c>
      <c r="R123">
        <f t="shared" si="3"/>
        <v>15</v>
      </c>
    </row>
    <row r="124" spans="1:18" x14ac:dyDescent="0.25">
      <c r="A124" s="3">
        <v>122</v>
      </c>
      <c r="B124" s="3" t="s">
        <v>2979</v>
      </c>
      <c r="C124" t="s">
        <v>677</v>
      </c>
      <c r="D124" t="s">
        <v>21</v>
      </c>
      <c r="E124"/>
      <c r="F124" s="9" t="s">
        <v>678</v>
      </c>
      <c r="G124" t="s">
        <v>544</v>
      </c>
      <c r="H124" t="s">
        <v>663</v>
      </c>
      <c r="I124" t="s">
        <v>32</v>
      </c>
      <c r="J124" t="s">
        <v>679</v>
      </c>
      <c r="K124" t="s">
        <v>25</v>
      </c>
      <c r="L124" t="s">
        <v>665</v>
      </c>
      <c r="M124" t="s">
        <v>27</v>
      </c>
      <c r="N124" t="s">
        <v>666</v>
      </c>
      <c r="O124" t="s">
        <v>29</v>
      </c>
      <c r="P124" t="s">
        <v>30</v>
      </c>
      <c r="Q124">
        <f t="shared" si="2"/>
        <v>16</v>
      </c>
      <c r="R124">
        <f t="shared" si="3"/>
        <v>13</v>
      </c>
    </row>
    <row r="125" spans="1:18" x14ac:dyDescent="0.25">
      <c r="A125" s="2">
        <v>123</v>
      </c>
      <c r="B125" s="3" t="s">
        <v>2979</v>
      </c>
      <c r="C125" t="s">
        <v>680</v>
      </c>
      <c r="D125" t="s">
        <v>21</v>
      </c>
      <c r="E125"/>
      <c r="F125" s="9" t="s">
        <v>681</v>
      </c>
      <c r="G125" t="s">
        <v>544</v>
      </c>
      <c r="H125" t="s">
        <v>682</v>
      </c>
      <c r="I125" t="s">
        <v>32</v>
      </c>
      <c r="J125" t="s">
        <v>683</v>
      </c>
      <c r="K125" t="s">
        <v>25</v>
      </c>
      <c r="L125" t="s">
        <v>684</v>
      </c>
      <c r="M125" t="s">
        <v>27</v>
      </c>
      <c r="N125" t="s">
        <v>685</v>
      </c>
      <c r="O125" t="s">
        <v>29</v>
      </c>
      <c r="P125" t="s">
        <v>30</v>
      </c>
      <c r="Q125">
        <f t="shared" si="2"/>
        <v>16</v>
      </c>
      <c r="R125">
        <f t="shared" si="3"/>
        <v>14</v>
      </c>
    </row>
    <row r="126" spans="1:18" x14ac:dyDescent="0.25">
      <c r="A126" s="3">
        <v>124</v>
      </c>
      <c r="B126" s="3" t="s">
        <v>2979</v>
      </c>
      <c r="C126" t="s">
        <v>686</v>
      </c>
      <c r="D126" t="s">
        <v>21</v>
      </c>
      <c r="E126"/>
      <c r="F126" s="9" t="s">
        <v>687</v>
      </c>
      <c r="G126" t="s">
        <v>544</v>
      </c>
      <c r="H126" t="s">
        <v>688</v>
      </c>
      <c r="I126" t="s">
        <v>32</v>
      </c>
      <c r="J126" t="s">
        <v>689</v>
      </c>
      <c r="K126" t="s">
        <v>25</v>
      </c>
      <c r="L126" t="s">
        <v>690</v>
      </c>
      <c r="M126" t="s">
        <v>27</v>
      </c>
      <c r="N126" t="s">
        <v>691</v>
      </c>
      <c r="O126" t="s">
        <v>29</v>
      </c>
      <c r="P126" t="s">
        <v>30</v>
      </c>
      <c r="Q126">
        <f t="shared" si="2"/>
        <v>16</v>
      </c>
      <c r="R126">
        <f t="shared" si="3"/>
        <v>12</v>
      </c>
    </row>
    <row r="127" spans="1:18" x14ac:dyDescent="0.25">
      <c r="A127" s="2">
        <v>125</v>
      </c>
      <c r="B127" s="3" t="s">
        <v>2979</v>
      </c>
      <c r="C127" t="s">
        <v>692</v>
      </c>
      <c r="D127" t="s">
        <v>21</v>
      </c>
      <c r="E127"/>
      <c r="F127" s="9" t="s">
        <v>693</v>
      </c>
      <c r="G127" t="s">
        <v>544</v>
      </c>
      <c r="H127" t="s">
        <v>694</v>
      </c>
      <c r="I127" t="s">
        <v>32</v>
      </c>
      <c r="J127" t="s">
        <v>695</v>
      </c>
      <c r="K127" t="s">
        <v>25</v>
      </c>
      <c r="L127" t="s">
        <v>696</v>
      </c>
      <c r="M127" t="s">
        <v>27</v>
      </c>
      <c r="N127" t="s">
        <v>697</v>
      </c>
      <c r="O127" t="s">
        <v>29</v>
      </c>
      <c r="P127" t="s">
        <v>30</v>
      </c>
      <c r="Q127">
        <f t="shared" si="2"/>
        <v>16</v>
      </c>
      <c r="R127">
        <f t="shared" si="3"/>
        <v>13</v>
      </c>
    </row>
    <row r="128" spans="1:18" x14ac:dyDescent="0.25">
      <c r="A128" s="3">
        <v>126</v>
      </c>
      <c r="B128" s="3" t="s">
        <v>2979</v>
      </c>
      <c r="C128" t="s">
        <v>698</v>
      </c>
      <c r="D128" t="s">
        <v>21</v>
      </c>
      <c r="E128"/>
      <c r="F128" s="9" t="s">
        <v>699</v>
      </c>
      <c r="G128" t="s">
        <v>544</v>
      </c>
      <c r="H128" t="s">
        <v>700</v>
      </c>
      <c r="I128" t="s">
        <v>32</v>
      </c>
      <c r="J128" t="s">
        <v>701</v>
      </c>
      <c r="K128" t="s">
        <v>25</v>
      </c>
      <c r="L128" t="s">
        <v>702</v>
      </c>
      <c r="M128" t="s">
        <v>27</v>
      </c>
      <c r="N128" t="s">
        <v>703</v>
      </c>
      <c r="O128" t="s">
        <v>29</v>
      </c>
      <c r="P128" t="s">
        <v>30</v>
      </c>
      <c r="Q128">
        <f t="shared" si="2"/>
        <v>16</v>
      </c>
      <c r="R128">
        <f t="shared" si="3"/>
        <v>13</v>
      </c>
    </row>
    <row r="129" spans="1:18" x14ac:dyDescent="0.25">
      <c r="A129" s="2">
        <v>127</v>
      </c>
      <c r="B129" s="3" t="s">
        <v>2979</v>
      </c>
      <c r="C129" t="s">
        <v>704</v>
      </c>
      <c r="D129" t="s">
        <v>21</v>
      </c>
      <c r="E129"/>
      <c r="F129" s="9" t="s">
        <v>705</v>
      </c>
      <c r="G129" t="s">
        <v>544</v>
      </c>
      <c r="H129" t="s">
        <v>706</v>
      </c>
      <c r="I129" t="s">
        <v>32</v>
      </c>
      <c r="J129" t="s">
        <v>707</v>
      </c>
      <c r="K129" t="s">
        <v>25</v>
      </c>
      <c r="L129" t="s">
        <v>708</v>
      </c>
      <c r="M129" t="s">
        <v>27</v>
      </c>
      <c r="N129" t="s">
        <v>709</v>
      </c>
      <c r="O129" t="s">
        <v>29</v>
      </c>
      <c r="P129" t="s">
        <v>30</v>
      </c>
      <c r="Q129">
        <f t="shared" si="2"/>
        <v>16</v>
      </c>
      <c r="R129">
        <f t="shared" si="3"/>
        <v>13</v>
      </c>
    </row>
    <row r="130" spans="1:18" x14ac:dyDescent="0.25">
      <c r="A130" s="3">
        <v>128</v>
      </c>
      <c r="B130" s="3" t="s">
        <v>2979</v>
      </c>
      <c r="C130" t="s">
        <v>710</v>
      </c>
      <c r="D130" t="s">
        <v>21</v>
      </c>
      <c r="E130"/>
      <c r="F130" s="9" t="s">
        <v>711</v>
      </c>
      <c r="G130" t="s">
        <v>544</v>
      </c>
      <c r="H130" t="s">
        <v>712</v>
      </c>
      <c r="I130" t="s">
        <v>32</v>
      </c>
      <c r="J130" t="s">
        <v>713</v>
      </c>
      <c r="K130" t="s">
        <v>25</v>
      </c>
      <c r="L130" t="s">
        <v>714</v>
      </c>
      <c r="M130" t="s">
        <v>27</v>
      </c>
      <c r="N130" t="s">
        <v>715</v>
      </c>
      <c r="O130" t="s">
        <v>29</v>
      </c>
      <c r="P130" t="s">
        <v>30</v>
      </c>
      <c r="Q130">
        <f t="shared" ref="Q130:Q193" si="4">LEN(L130)</f>
        <v>16</v>
      </c>
      <c r="R130">
        <f t="shared" si="3"/>
        <v>12</v>
      </c>
    </row>
    <row r="131" spans="1:18" x14ac:dyDescent="0.25">
      <c r="A131" s="2">
        <v>129</v>
      </c>
      <c r="B131" s="3" t="s">
        <v>2979</v>
      </c>
      <c r="C131" t="s">
        <v>716</v>
      </c>
      <c r="D131" t="s">
        <v>21</v>
      </c>
      <c r="E131"/>
      <c r="F131" s="9" t="s">
        <v>717</v>
      </c>
      <c r="G131" t="s">
        <v>718</v>
      </c>
      <c r="H131" t="s">
        <v>719</v>
      </c>
      <c r="I131" t="s">
        <v>32</v>
      </c>
      <c r="J131" t="s">
        <v>720</v>
      </c>
      <c r="K131" t="s">
        <v>25</v>
      </c>
      <c r="L131" t="s">
        <v>721</v>
      </c>
      <c r="M131" t="s">
        <v>27</v>
      </c>
      <c r="N131" t="s">
        <v>722</v>
      </c>
      <c r="O131" t="s">
        <v>29</v>
      </c>
      <c r="P131" t="s">
        <v>30</v>
      </c>
      <c r="Q131">
        <f t="shared" si="4"/>
        <v>16</v>
      </c>
      <c r="R131">
        <f t="shared" ref="R131:R194" si="5">LEN(N131)</f>
        <v>15</v>
      </c>
    </row>
    <row r="132" spans="1:18" x14ac:dyDescent="0.25">
      <c r="A132" s="3">
        <v>130</v>
      </c>
      <c r="B132" s="3" t="s">
        <v>2979</v>
      </c>
      <c r="C132" t="s">
        <v>723</v>
      </c>
      <c r="D132" t="s">
        <v>21</v>
      </c>
      <c r="E132"/>
      <c r="F132" s="9" t="s">
        <v>724</v>
      </c>
      <c r="G132" t="s">
        <v>544</v>
      </c>
      <c r="H132" t="s">
        <v>725</v>
      </c>
      <c r="I132" t="s">
        <v>32</v>
      </c>
      <c r="J132" t="s">
        <v>726</v>
      </c>
      <c r="K132" t="s">
        <v>25</v>
      </c>
      <c r="L132" t="s">
        <v>727</v>
      </c>
      <c r="M132" t="s">
        <v>27</v>
      </c>
      <c r="N132" t="s">
        <v>728</v>
      </c>
      <c r="O132" t="s">
        <v>29</v>
      </c>
      <c r="P132" t="s">
        <v>30</v>
      </c>
      <c r="Q132">
        <f t="shared" si="4"/>
        <v>16</v>
      </c>
      <c r="R132">
        <f t="shared" si="5"/>
        <v>13</v>
      </c>
    </row>
    <row r="133" spans="1:18" x14ac:dyDescent="0.25">
      <c r="A133" s="2">
        <v>131</v>
      </c>
      <c r="B133" s="3" t="s">
        <v>2979</v>
      </c>
      <c r="C133" t="s">
        <v>729</v>
      </c>
      <c r="D133" t="s">
        <v>21</v>
      </c>
      <c r="E133"/>
      <c r="F133" s="9" t="s">
        <v>730</v>
      </c>
      <c r="G133" t="s">
        <v>731</v>
      </c>
      <c r="H133" t="s">
        <v>732</v>
      </c>
      <c r="I133" t="s">
        <v>32</v>
      </c>
      <c r="J133" t="s">
        <v>733</v>
      </c>
      <c r="K133" t="s">
        <v>25</v>
      </c>
      <c r="L133" t="s">
        <v>734</v>
      </c>
      <c r="M133" t="s">
        <v>27</v>
      </c>
      <c r="N133" t="s">
        <v>735</v>
      </c>
      <c r="O133" t="s">
        <v>29</v>
      </c>
      <c r="P133" t="s">
        <v>30</v>
      </c>
      <c r="Q133">
        <f t="shared" si="4"/>
        <v>16</v>
      </c>
      <c r="R133">
        <f t="shared" si="5"/>
        <v>15</v>
      </c>
    </row>
    <row r="134" spans="1:18" x14ac:dyDescent="0.25">
      <c r="A134" s="3">
        <v>132</v>
      </c>
      <c r="B134" s="3" t="s">
        <v>2979</v>
      </c>
      <c r="C134" t="s">
        <v>736</v>
      </c>
      <c r="D134" t="s">
        <v>21</v>
      </c>
      <c r="E134"/>
      <c r="F134" s="9" t="s">
        <v>737</v>
      </c>
      <c r="G134" t="s">
        <v>731</v>
      </c>
      <c r="H134" t="s">
        <v>23</v>
      </c>
      <c r="I134" t="s">
        <v>32</v>
      </c>
      <c r="J134" t="s">
        <v>738</v>
      </c>
      <c r="K134" t="s">
        <v>25</v>
      </c>
      <c r="L134" t="s">
        <v>739</v>
      </c>
      <c r="M134" t="s">
        <v>27</v>
      </c>
      <c r="N134" t="s">
        <v>740</v>
      </c>
      <c r="O134" t="s">
        <v>29</v>
      </c>
      <c r="P134" t="s">
        <v>30</v>
      </c>
      <c r="Q134">
        <f t="shared" si="4"/>
        <v>16</v>
      </c>
      <c r="R134">
        <f t="shared" si="5"/>
        <v>15</v>
      </c>
    </row>
    <row r="135" spans="1:18" x14ac:dyDescent="0.25">
      <c r="A135" s="2">
        <v>133</v>
      </c>
      <c r="B135" s="3" t="s">
        <v>2979</v>
      </c>
      <c r="C135" t="s">
        <v>741</v>
      </c>
      <c r="D135" t="s">
        <v>21</v>
      </c>
      <c r="E135"/>
      <c r="F135" s="9" t="s">
        <v>742</v>
      </c>
      <c r="G135" t="s">
        <v>731</v>
      </c>
      <c r="H135" t="s">
        <v>743</v>
      </c>
      <c r="I135" t="s">
        <v>32</v>
      </c>
      <c r="J135" t="s">
        <v>744</v>
      </c>
      <c r="K135" t="s">
        <v>25</v>
      </c>
      <c r="L135" t="s">
        <v>745</v>
      </c>
      <c r="M135" t="s">
        <v>27</v>
      </c>
      <c r="N135" t="s">
        <v>746</v>
      </c>
      <c r="O135" t="s">
        <v>29</v>
      </c>
      <c r="P135" t="s">
        <v>30</v>
      </c>
      <c r="Q135">
        <f t="shared" si="4"/>
        <v>16</v>
      </c>
      <c r="R135">
        <f t="shared" si="5"/>
        <v>13</v>
      </c>
    </row>
    <row r="136" spans="1:18" x14ac:dyDescent="0.25">
      <c r="A136" s="3">
        <v>134</v>
      </c>
      <c r="B136" s="3" t="s">
        <v>2979</v>
      </c>
      <c r="C136" t="s">
        <v>747</v>
      </c>
      <c r="D136" t="s">
        <v>21</v>
      </c>
      <c r="E136"/>
      <c r="F136" s="9" t="s">
        <v>748</v>
      </c>
      <c r="G136" t="s">
        <v>731</v>
      </c>
      <c r="H136" t="s">
        <v>749</v>
      </c>
      <c r="I136" t="s">
        <v>32</v>
      </c>
      <c r="J136" t="s">
        <v>750</v>
      </c>
      <c r="K136" t="s">
        <v>25</v>
      </c>
      <c r="L136" t="s">
        <v>751</v>
      </c>
      <c r="M136" t="s">
        <v>27</v>
      </c>
      <c r="N136" t="s">
        <v>752</v>
      </c>
      <c r="O136" t="s">
        <v>29</v>
      </c>
      <c r="P136" t="s">
        <v>30</v>
      </c>
      <c r="Q136">
        <f t="shared" si="4"/>
        <v>16</v>
      </c>
      <c r="R136">
        <f t="shared" si="5"/>
        <v>15</v>
      </c>
    </row>
    <row r="137" spans="1:18" x14ac:dyDescent="0.25">
      <c r="A137" s="2">
        <v>135</v>
      </c>
      <c r="B137" s="3" t="s">
        <v>2979</v>
      </c>
      <c r="C137" t="s">
        <v>753</v>
      </c>
      <c r="D137" t="s">
        <v>21</v>
      </c>
      <c r="E137"/>
      <c r="F137" s="9" t="s">
        <v>754</v>
      </c>
      <c r="G137" t="s">
        <v>731</v>
      </c>
      <c r="H137" t="s">
        <v>32</v>
      </c>
      <c r="I137" t="s">
        <v>37</v>
      </c>
      <c r="J137" t="s">
        <v>755</v>
      </c>
      <c r="K137" t="s">
        <v>25</v>
      </c>
      <c r="L137" t="s">
        <v>756</v>
      </c>
      <c r="M137" t="s">
        <v>27</v>
      </c>
      <c r="N137" t="s">
        <v>757</v>
      </c>
      <c r="O137" t="s">
        <v>29</v>
      </c>
      <c r="P137" t="s">
        <v>30</v>
      </c>
      <c r="Q137">
        <f t="shared" si="4"/>
        <v>16</v>
      </c>
      <c r="R137">
        <f t="shared" si="5"/>
        <v>13</v>
      </c>
    </row>
    <row r="138" spans="1:18" x14ac:dyDescent="0.25">
      <c r="A138" s="3">
        <v>136</v>
      </c>
      <c r="B138" s="3" t="s">
        <v>2979</v>
      </c>
      <c r="C138" t="s">
        <v>758</v>
      </c>
      <c r="D138" t="s">
        <v>21</v>
      </c>
      <c r="E138"/>
      <c r="F138" s="9" t="s">
        <v>759</v>
      </c>
      <c r="G138" t="s">
        <v>731</v>
      </c>
      <c r="H138" t="s">
        <v>32</v>
      </c>
      <c r="I138" t="s">
        <v>24</v>
      </c>
      <c r="J138" t="s">
        <v>760</v>
      </c>
      <c r="K138" t="s">
        <v>25</v>
      </c>
      <c r="L138" t="s">
        <v>756</v>
      </c>
      <c r="M138" t="s">
        <v>27</v>
      </c>
      <c r="N138" t="s">
        <v>757</v>
      </c>
      <c r="O138" t="s">
        <v>29</v>
      </c>
      <c r="P138" t="s">
        <v>30</v>
      </c>
      <c r="Q138">
        <f t="shared" si="4"/>
        <v>16</v>
      </c>
      <c r="R138">
        <f t="shared" si="5"/>
        <v>13</v>
      </c>
    </row>
    <row r="139" spans="1:18" x14ac:dyDescent="0.25">
      <c r="A139" s="2">
        <v>137</v>
      </c>
      <c r="B139" s="3" t="s">
        <v>2979</v>
      </c>
      <c r="C139" t="s">
        <v>761</v>
      </c>
      <c r="D139" t="s">
        <v>21</v>
      </c>
      <c r="E139"/>
      <c r="F139" s="9" t="s">
        <v>762</v>
      </c>
      <c r="G139" t="s">
        <v>763</v>
      </c>
      <c r="H139" t="s">
        <v>764</v>
      </c>
      <c r="I139" t="s">
        <v>32</v>
      </c>
      <c r="J139" t="s">
        <v>765</v>
      </c>
      <c r="K139" t="s">
        <v>25</v>
      </c>
      <c r="L139" t="s">
        <v>766</v>
      </c>
      <c r="M139" t="s">
        <v>27</v>
      </c>
      <c r="N139" t="s">
        <v>767</v>
      </c>
      <c r="O139" t="s">
        <v>29</v>
      </c>
      <c r="P139" t="s">
        <v>30</v>
      </c>
      <c r="Q139">
        <f t="shared" si="4"/>
        <v>16</v>
      </c>
      <c r="R139">
        <f t="shared" si="5"/>
        <v>15</v>
      </c>
    </row>
    <row r="140" spans="1:18" x14ac:dyDescent="0.25">
      <c r="A140" s="3">
        <v>138</v>
      </c>
      <c r="B140" s="3" t="s">
        <v>2979</v>
      </c>
      <c r="C140" t="s">
        <v>768</v>
      </c>
      <c r="D140" t="s">
        <v>21</v>
      </c>
      <c r="E140"/>
      <c r="F140" s="9" t="s">
        <v>769</v>
      </c>
      <c r="G140" t="s">
        <v>763</v>
      </c>
      <c r="H140" t="s">
        <v>770</v>
      </c>
      <c r="I140" t="s">
        <v>32</v>
      </c>
      <c r="J140" t="s">
        <v>771</v>
      </c>
      <c r="K140" t="s">
        <v>25</v>
      </c>
      <c r="L140" t="s">
        <v>772</v>
      </c>
      <c r="M140" t="s">
        <v>27</v>
      </c>
      <c r="N140" t="s">
        <v>773</v>
      </c>
      <c r="O140" t="s">
        <v>29</v>
      </c>
      <c r="P140" t="s">
        <v>30</v>
      </c>
      <c r="Q140">
        <f t="shared" si="4"/>
        <v>16</v>
      </c>
      <c r="R140">
        <f t="shared" si="5"/>
        <v>13</v>
      </c>
    </row>
    <row r="141" spans="1:18" x14ac:dyDescent="0.25">
      <c r="A141" s="2">
        <v>139</v>
      </c>
      <c r="B141" s="3" t="s">
        <v>2979</v>
      </c>
      <c r="C141" t="s">
        <v>774</v>
      </c>
      <c r="D141" t="s">
        <v>21</v>
      </c>
      <c r="E141"/>
      <c r="F141" s="9" t="s">
        <v>775</v>
      </c>
      <c r="G141" t="s">
        <v>776</v>
      </c>
      <c r="H141" t="s">
        <v>32</v>
      </c>
      <c r="I141" t="s">
        <v>32</v>
      </c>
      <c r="J141" t="s">
        <v>777</v>
      </c>
      <c r="K141" t="s">
        <v>25</v>
      </c>
      <c r="L141" t="s">
        <v>778</v>
      </c>
      <c r="M141" t="s">
        <v>27</v>
      </c>
      <c r="N141" t="s">
        <v>779</v>
      </c>
      <c r="O141" t="s">
        <v>29</v>
      </c>
      <c r="P141" t="s">
        <v>30</v>
      </c>
      <c r="Q141">
        <f t="shared" si="4"/>
        <v>16</v>
      </c>
      <c r="R141">
        <f t="shared" si="5"/>
        <v>15</v>
      </c>
    </row>
    <row r="142" spans="1:18" x14ac:dyDescent="0.25">
      <c r="A142" s="3">
        <v>140</v>
      </c>
      <c r="B142" s="3" t="s">
        <v>2979</v>
      </c>
      <c r="C142" t="s">
        <v>780</v>
      </c>
      <c r="D142" t="s">
        <v>21</v>
      </c>
      <c r="E142"/>
      <c r="F142" s="9" t="s">
        <v>781</v>
      </c>
      <c r="G142" t="s">
        <v>782</v>
      </c>
      <c r="H142" t="s">
        <v>783</v>
      </c>
      <c r="I142" t="s">
        <v>32</v>
      </c>
      <c r="J142" t="s">
        <v>784</v>
      </c>
      <c r="K142" t="s">
        <v>25</v>
      </c>
      <c r="L142" t="s">
        <v>785</v>
      </c>
      <c r="M142" t="s">
        <v>27</v>
      </c>
      <c r="N142" t="s">
        <v>786</v>
      </c>
      <c r="O142" t="s">
        <v>29</v>
      </c>
      <c r="P142" t="s">
        <v>30</v>
      </c>
      <c r="Q142">
        <f t="shared" si="4"/>
        <v>16</v>
      </c>
      <c r="R142">
        <f t="shared" si="5"/>
        <v>15</v>
      </c>
    </row>
    <row r="143" spans="1:18" x14ac:dyDescent="0.25">
      <c r="A143" s="2">
        <v>141</v>
      </c>
      <c r="B143" s="3" t="s">
        <v>2979</v>
      </c>
      <c r="C143" t="s">
        <v>787</v>
      </c>
      <c r="D143" t="s">
        <v>21</v>
      </c>
      <c r="E143"/>
      <c r="F143" s="9" t="s">
        <v>788</v>
      </c>
      <c r="G143" t="s">
        <v>782</v>
      </c>
      <c r="H143" t="s">
        <v>229</v>
      </c>
      <c r="I143" t="s">
        <v>32</v>
      </c>
      <c r="J143" t="s">
        <v>789</v>
      </c>
      <c r="K143" t="s">
        <v>25</v>
      </c>
      <c r="L143" t="s">
        <v>790</v>
      </c>
      <c r="M143" t="s">
        <v>27</v>
      </c>
      <c r="N143" t="s">
        <v>791</v>
      </c>
      <c r="O143" t="s">
        <v>29</v>
      </c>
      <c r="P143" t="s">
        <v>30</v>
      </c>
      <c r="Q143">
        <f t="shared" si="4"/>
        <v>16</v>
      </c>
      <c r="R143">
        <f t="shared" si="5"/>
        <v>15</v>
      </c>
    </row>
    <row r="144" spans="1:18" x14ac:dyDescent="0.25">
      <c r="A144" s="3">
        <v>142</v>
      </c>
      <c r="B144" s="3" t="s">
        <v>2979</v>
      </c>
      <c r="C144" t="s">
        <v>792</v>
      </c>
      <c r="D144" t="s">
        <v>21</v>
      </c>
      <c r="E144"/>
      <c r="F144" s="9" t="s">
        <v>793</v>
      </c>
      <c r="G144" t="s">
        <v>794</v>
      </c>
      <c r="H144" t="s">
        <v>113</v>
      </c>
      <c r="I144" t="s">
        <v>32</v>
      </c>
      <c r="J144" t="s">
        <v>795</v>
      </c>
      <c r="K144" t="s">
        <v>25</v>
      </c>
      <c r="L144" t="s">
        <v>796</v>
      </c>
      <c r="M144" t="s">
        <v>27</v>
      </c>
      <c r="N144" t="s">
        <v>797</v>
      </c>
      <c r="O144" t="s">
        <v>29</v>
      </c>
      <c r="P144" t="s">
        <v>30</v>
      </c>
      <c r="Q144">
        <f t="shared" si="4"/>
        <v>16</v>
      </c>
      <c r="R144">
        <f t="shared" si="5"/>
        <v>13</v>
      </c>
    </row>
    <row r="145" spans="1:18" x14ac:dyDescent="0.25">
      <c r="A145" s="2">
        <v>143</v>
      </c>
      <c r="B145" s="3" t="s">
        <v>2979</v>
      </c>
      <c r="C145" t="s">
        <v>798</v>
      </c>
      <c r="D145" t="s">
        <v>21</v>
      </c>
      <c r="E145"/>
      <c r="F145" s="9" t="s">
        <v>799</v>
      </c>
      <c r="G145" t="s">
        <v>794</v>
      </c>
      <c r="H145" t="s">
        <v>37</v>
      </c>
      <c r="I145" t="s">
        <v>32</v>
      </c>
      <c r="J145" t="s">
        <v>800</v>
      </c>
      <c r="K145" t="s">
        <v>25</v>
      </c>
      <c r="L145" t="s">
        <v>801</v>
      </c>
      <c r="M145" t="s">
        <v>27</v>
      </c>
      <c r="N145" t="s">
        <v>802</v>
      </c>
      <c r="O145" t="s">
        <v>29</v>
      </c>
      <c r="P145" t="s">
        <v>30</v>
      </c>
      <c r="Q145">
        <f t="shared" si="4"/>
        <v>16</v>
      </c>
      <c r="R145">
        <f t="shared" si="5"/>
        <v>13</v>
      </c>
    </row>
    <row r="146" spans="1:18" x14ac:dyDescent="0.25">
      <c r="A146" s="3">
        <v>144</v>
      </c>
      <c r="B146" s="3" t="s">
        <v>2979</v>
      </c>
      <c r="C146" t="s">
        <v>803</v>
      </c>
      <c r="D146" t="s">
        <v>21</v>
      </c>
      <c r="E146"/>
      <c r="F146" s="9" t="s">
        <v>804</v>
      </c>
      <c r="G146" t="s">
        <v>805</v>
      </c>
      <c r="H146" t="s">
        <v>806</v>
      </c>
      <c r="I146" t="s">
        <v>32</v>
      </c>
      <c r="J146" t="s">
        <v>807</v>
      </c>
      <c r="K146" t="s">
        <v>25</v>
      </c>
      <c r="L146" t="s">
        <v>808</v>
      </c>
      <c r="M146" t="s">
        <v>27</v>
      </c>
      <c r="N146" t="s">
        <v>809</v>
      </c>
      <c r="O146" t="s">
        <v>29</v>
      </c>
      <c r="P146" t="s">
        <v>30</v>
      </c>
      <c r="Q146">
        <f t="shared" si="4"/>
        <v>16</v>
      </c>
      <c r="R146">
        <f t="shared" si="5"/>
        <v>13</v>
      </c>
    </row>
    <row r="147" spans="1:18" x14ac:dyDescent="0.25">
      <c r="A147" s="2">
        <v>145</v>
      </c>
      <c r="B147" s="3" t="s">
        <v>2979</v>
      </c>
      <c r="C147" t="s">
        <v>810</v>
      </c>
      <c r="D147" t="s">
        <v>21</v>
      </c>
      <c r="E147"/>
      <c r="F147" s="9" t="s">
        <v>811</v>
      </c>
      <c r="G147" t="s">
        <v>812</v>
      </c>
      <c r="H147" t="s">
        <v>813</v>
      </c>
      <c r="I147" t="s">
        <v>32</v>
      </c>
      <c r="J147" t="s">
        <v>814</v>
      </c>
      <c r="K147" t="s">
        <v>25</v>
      </c>
      <c r="L147" t="s">
        <v>815</v>
      </c>
      <c r="M147" t="s">
        <v>27</v>
      </c>
      <c r="N147" t="s">
        <v>816</v>
      </c>
      <c r="O147" t="s">
        <v>29</v>
      </c>
      <c r="P147" t="s">
        <v>30</v>
      </c>
      <c r="Q147">
        <f t="shared" si="4"/>
        <v>16</v>
      </c>
      <c r="R147">
        <f t="shared" si="5"/>
        <v>15</v>
      </c>
    </row>
    <row r="148" spans="1:18" x14ac:dyDescent="0.25">
      <c r="A148" s="3">
        <v>146</v>
      </c>
      <c r="B148" s="3" t="s">
        <v>2979</v>
      </c>
      <c r="C148" t="s">
        <v>817</v>
      </c>
      <c r="D148" t="s">
        <v>21</v>
      </c>
      <c r="E148"/>
      <c r="F148" s="9" t="s">
        <v>818</v>
      </c>
      <c r="G148" t="s">
        <v>819</v>
      </c>
      <c r="H148" t="s">
        <v>160</v>
      </c>
      <c r="I148" t="s">
        <v>32</v>
      </c>
      <c r="J148" t="s">
        <v>820</v>
      </c>
      <c r="K148" t="s">
        <v>25</v>
      </c>
      <c r="L148" t="s">
        <v>821</v>
      </c>
      <c r="M148" t="s">
        <v>27</v>
      </c>
      <c r="N148" t="s">
        <v>822</v>
      </c>
      <c r="O148" t="s">
        <v>29</v>
      </c>
      <c r="P148" t="s">
        <v>30</v>
      </c>
      <c r="Q148">
        <f t="shared" si="4"/>
        <v>16</v>
      </c>
      <c r="R148">
        <f t="shared" si="5"/>
        <v>15</v>
      </c>
    </row>
    <row r="149" spans="1:18" x14ac:dyDescent="0.25">
      <c r="A149" s="2">
        <v>147</v>
      </c>
      <c r="B149" s="3" t="s">
        <v>2979</v>
      </c>
      <c r="C149" t="s">
        <v>823</v>
      </c>
      <c r="D149" t="s">
        <v>21</v>
      </c>
      <c r="E149"/>
      <c r="F149" s="9" t="s">
        <v>824</v>
      </c>
      <c r="G149" t="s">
        <v>825</v>
      </c>
      <c r="H149" t="s">
        <v>783</v>
      </c>
      <c r="I149" t="s">
        <v>24</v>
      </c>
      <c r="J149" t="s">
        <v>826</v>
      </c>
      <c r="K149" t="s">
        <v>25</v>
      </c>
      <c r="L149" t="s">
        <v>827</v>
      </c>
      <c r="M149" t="s">
        <v>27</v>
      </c>
      <c r="N149" t="s">
        <v>828</v>
      </c>
      <c r="O149" t="s">
        <v>29</v>
      </c>
      <c r="P149" t="s">
        <v>30</v>
      </c>
      <c r="Q149">
        <f t="shared" si="4"/>
        <v>16</v>
      </c>
      <c r="R149">
        <f t="shared" si="5"/>
        <v>13</v>
      </c>
    </row>
    <row r="150" spans="1:18" x14ac:dyDescent="0.25">
      <c r="A150" s="3">
        <v>148</v>
      </c>
      <c r="B150" s="3" t="s">
        <v>2979</v>
      </c>
      <c r="C150" t="s">
        <v>829</v>
      </c>
      <c r="D150" t="s">
        <v>21</v>
      </c>
      <c r="E150"/>
      <c r="F150" s="9" t="s">
        <v>830</v>
      </c>
      <c r="G150" t="s">
        <v>825</v>
      </c>
      <c r="H150" t="s">
        <v>783</v>
      </c>
      <c r="I150" t="s">
        <v>32</v>
      </c>
      <c r="J150" t="s">
        <v>831</v>
      </c>
      <c r="K150" t="s">
        <v>25</v>
      </c>
      <c r="L150" t="s">
        <v>827</v>
      </c>
      <c r="M150" t="s">
        <v>27</v>
      </c>
      <c r="N150" t="s">
        <v>828</v>
      </c>
      <c r="O150" t="s">
        <v>29</v>
      </c>
      <c r="P150" t="s">
        <v>30</v>
      </c>
      <c r="Q150">
        <f t="shared" si="4"/>
        <v>16</v>
      </c>
      <c r="R150">
        <f t="shared" si="5"/>
        <v>13</v>
      </c>
    </row>
    <row r="151" spans="1:18" x14ac:dyDescent="0.25">
      <c r="A151" s="2">
        <v>149</v>
      </c>
      <c r="B151" s="3" t="s">
        <v>2979</v>
      </c>
      <c r="C151" t="s">
        <v>832</v>
      </c>
      <c r="D151" t="s">
        <v>21</v>
      </c>
      <c r="E151"/>
      <c r="F151" s="9" t="s">
        <v>833</v>
      </c>
      <c r="G151" t="s">
        <v>825</v>
      </c>
      <c r="H151" t="s">
        <v>806</v>
      </c>
      <c r="I151" t="s">
        <v>24</v>
      </c>
      <c r="J151" t="s">
        <v>834</v>
      </c>
      <c r="K151" t="s">
        <v>25</v>
      </c>
      <c r="L151" t="s">
        <v>835</v>
      </c>
      <c r="M151" t="s">
        <v>27</v>
      </c>
      <c r="N151" t="s">
        <v>836</v>
      </c>
      <c r="O151" t="s">
        <v>29</v>
      </c>
      <c r="P151" t="s">
        <v>30</v>
      </c>
      <c r="Q151">
        <f t="shared" si="4"/>
        <v>16</v>
      </c>
      <c r="R151">
        <f t="shared" si="5"/>
        <v>14</v>
      </c>
    </row>
    <row r="152" spans="1:18" x14ac:dyDescent="0.25">
      <c r="A152" s="3">
        <v>150</v>
      </c>
      <c r="B152" s="3" t="s">
        <v>2979</v>
      </c>
      <c r="C152" t="s">
        <v>837</v>
      </c>
      <c r="D152" t="s">
        <v>21</v>
      </c>
      <c r="E152"/>
      <c r="F152" s="9" t="s">
        <v>838</v>
      </c>
      <c r="G152" t="s">
        <v>825</v>
      </c>
      <c r="H152" t="s">
        <v>806</v>
      </c>
      <c r="I152" t="s">
        <v>32</v>
      </c>
      <c r="J152" t="s">
        <v>839</v>
      </c>
      <c r="K152" t="s">
        <v>25</v>
      </c>
      <c r="L152" t="s">
        <v>835</v>
      </c>
      <c r="M152" t="s">
        <v>27</v>
      </c>
      <c r="N152" t="s">
        <v>836</v>
      </c>
      <c r="O152" t="s">
        <v>29</v>
      </c>
      <c r="P152" t="s">
        <v>30</v>
      </c>
      <c r="Q152">
        <f t="shared" si="4"/>
        <v>16</v>
      </c>
      <c r="R152">
        <f t="shared" si="5"/>
        <v>14</v>
      </c>
    </row>
    <row r="153" spans="1:18" x14ac:dyDescent="0.25">
      <c r="A153" s="2">
        <v>151</v>
      </c>
      <c r="B153" s="3" t="s">
        <v>2979</v>
      </c>
      <c r="C153" t="s">
        <v>840</v>
      </c>
      <c r="D153" t="s">
        <v>21</v>
      </c>
      <c r="E153"/>
      <c r="F153" s="9" t="s">
        <v>841</v>
      </c>
      <c r="G153" t="s">
        <v>842</v>
      </c>
      <c r="H153" t="s">
        <v>843</v>
      </c>
      <c r="I153" t="s">
        <v>32</v>
      </c>
      <c r="J153" t="s">
        <v>844</v>
      </c>
      <c r="K153" t="s">
        <v>25</v>
      </c>
      <c r="L153" t="s">
        <v>845</v>
      </c>
      <c r="M153" t="s">
        <v>27</v>
      </c>
      <c r="N153" t="s">
        <v>846</v>
      </c>
      <c r="O153" t="s">
        <v>29</v>
      </c>
      <c r="P153" t="s">
        <v>30</v>
      </c>
      <c r="Q153">
        <f t="shared" si="4"/>
        <v>16</v>
      </c>
      <c r="R153">
        <f t="shared" si="5"/>
        <v>14</v>
      </c>
    </row>
    <row r="154" spans="1:18" x14ac:dyDescent="0.25">
      <c r="A154" s="3">
        <v>152</v>
      </c>
      <c r="B154" s="3" t="s">
        <v>2979</v>
      </c>
      <c r="C154" t="s">
        <v>847</v>
      </c>
      <c r="D154" t="s">
        <v>21</v>
      </c>
      <c r="E154"/>
      <c r="F154" s="9" t="s">
        <v>848</v>
      </c>
      <c r="G154" t="s">
        <v>849</v>
      </c>
      <c r="H154" t="s">
        <v>749</v>
      </c>
      <c r="I154" t="s">
        <v>24</v>
      </c>
      <c r="J154" t="s">
        <v>850</v>
      </c>
      <c r="K154" t="s">
        <v>25</v>
      </c>
      <c r="L154" t="s">
        <v>851</v>
      </c>
      <c r="M154" t="s">
        <v>27</v>
      </c>
      <c r="N154" t="s">
        <v>852</v>
      </c>
      <c r="O154" t="s">
        <v>29</v>
      </c>
      <c r="P154" t="s">
        <v>30</v>
      </c>
      <c r="Q154">
        <f t="shared" si="4"/>
        <v>16</v>
      </c>
      <c r="R154">
        <f t="shared" si="5"/>
        <v>13</v>
      </c>
    </row>
    <row r="155" spans="1:18" x14ac:dyDescent="0.25">
      <c r="A155" s="2">
        <v>153</v>
      </c>
      <c r="B155" s="3" t="s">
        <v>2979</v>
      </c>
      <c r="C155" t="s">
        <v>853</v>
      </c>
      <c r="D155" t="s">
        <v>21</v>
      </c>
      <c r="E155"/>
      <c r="F155" s="9">
        <v>0</v>
      </c>
      <c r="G155" t="s">
        <v>854</v>
      </c>
      <c r="H155" t="s">
        <v>36</v>
      </c>
      <c r="I155" t="s">
        <v>36</v>
      </c>
      <c r="J155" t="s">
        <v>855</v>
      </c>
      <c r="K155" t="s">
        <v>25</v>
      </c>
      <c r="L155" t="s">
        <v>856</v>
      </c>
      <c r="M155" t="s">
        <v>27</v>
      </c>
      <c r="N155" t="s">
        <v>857</v>
      </c>
      <c r="O155" t="s">
        <v>29</v>
      </c>
      <c r="P155" t="s">
        <v>30</v>
      </c>
      <c r="Q155">
        <f t="shared" si="4"/>
        <v>16</v>
      </c>
      <c r="R155">
        <f t="shared" si="5"/>
        <v>15</v>
      </c>
    </row>
    <row r="156" spans="1:18" x14ac:dyDescent="0.25">
      <c r="A156" s="3">
        <v>154</v>
      </c>
      <c r="B156" s="3" t="s">
        <v>2979</v>
      </c>
      <c r="C156" t="s">
        <v>858</v>
      </c>
      <c r="D156" t="s">
        <v>21</v>
      </c>
      <c r="E156"/>
      <c r="F156" s="9">
        <v>0</v>
      </c>
      <c r="G156" t="s">
        <v>854</v>
      </c>
      <c r="H156" t="s">
        <v>36</v>
      </c>
      <c r="I156" t="s">
        <v>37</v>
      </c>
      <c r="J156" t="s">
        <v>859</v>
      </c>
      <c r="K156" t="s">
        <v>25</v>
      </c>
      <c r="L156" t="s">
        <v>856</v>
      </c>
      <c r="M156" t="s">
        <v>27</v>
      </c>
      <c r="N156" t="s">
        <v>857</v>
      </c>
      <c r="O156" t="s">
        <v>29</v>
      </c>
      <c r="P156" t="s">
        <v>30</v>
      </c>
      <c r="Q156">
        <f t="shared" si="4"/>
        <v>16</v>
      </c>
      <c r="R156">
        <f t="shared" si="5"/>
        <v>15</v>
      </c>
    </row>
    <row r="157" spans="1:18" x14ac:dyDescent="0.25">
      <c r="A157" s="2">
        <v>155</v>
      </c>
      <c r="B157" s="3" t="s">
        <v>2979</v>
      </c>
      <c r="C157" t="s">
        <v>860</v>
      </c>
      <c r="D157" t="s">
        <v>21</v>
      </c>
      <c r="E157"/>
      <c r="F157" s="9" t="s">
        <v>861</v>
      </c>
      <c r="G157" t="s">
        <v>854</v>
      </c>
      <c r="H157" t="s">
        <v>36</v>
      </c>
      <c r="I157" t="s">
        <v>24</v>
      </c>
      <c r="J157" t="s">
        <v>862</v>
      </c>
      <c r="K157" t="s">
        <v>25</v>
      </c>
      <c r="L157" t="s">
        <v>856</v>
      </c>
      <c r="M157" t="s">
        <v>27</v>
      </c>
      <c r="N157" t="s">
        <v>857</v>
      </c>
      <c r="O157" t="s">
        <v>29</v>
      </c>
      <c r="P157" t="s">
        <v>30</v>
      </c>
      <c r="Q157">
        <f t="shared" si="4"/>
        <v>16</v>
      </c>
      <c r="R157">
        <f t="shared" si="5"/>
        <v>15</v>
      </c>
    </row>
    <row r="158" spans="1:18" x14ac:dyDescent="0.25">
      <c r="A158" s="3">
        <v>156</v>
      </c>
      <c r="B158" s="3" t="s">
        <v>2979</v>
      </c>
      <c r="C158" t="s">
        <v>863</v>
      </c>
      <c r="D158" t="s">
        <v>21</v>
      </c>
      <c r="E158"/>
      <c r="F158" s="9" t="s">
        <v>864</v>
      </c>
      <c r="G158" t="s">
        <v>854</v>
      </c>
      <c r="H158" t="s">
        <v>36</v>
      </c>
      <c r="I158" t="s">
        <v>32</v>
      </c>
      <c r="J158" t="s">
        <v>865</v>
      </c>
      <c r="K158" t="s">
        <v>25</v>
      </c>
      <c r="L158" t="s">
        <v>856</v>
      </c>
      <c r="M158" t="s">
        <v>27</v>
      </c>
      <c r="N158" t="s">
        <v>857</v>
      </c>
      <c r="O158" t="s">
        <v>29</v>
      </c>
      <c r="P158" t="s">
        <v>30</v>
      </c>
      <c r="Q158">
        <f t="shared" si="4"/>
        <v>16</v>
      </c>
      <c r="R158">
        <f t="shared" si="5"/>
        <v>15</v>
      </c>
    </row>
    <row r="159" spans="1:18" x14ac:dyDescent="0.25">
      <c r="A159" s="2">
        <v>157</v>
      </c>
      <c r="B159" s="3" t="s">
        <v>2979</v>
      </c>
      <c r="C159" t="s">
        <v>866</v>
      </c>
      <c r="D159" t="s">
        <v>21</v>
      </c>
      <c r="E159"/>
      <c r="F159" s="9" t="s">
        <v>867</v>
      </c>
      <c r="G159" t="s">
        <v>868</v>
      </c>
      <c r="H159" t="s">
        <v>413</v>
      </c>
      <c r="I159" t="s">
        <v>32</v>
      </c>
      <c r="J159" t="s">
        <v>869</v>
      </c>
      <c r="K159" t="s">
        <v>25</v>
      </c>
      <c r="L159" t="s">
        <v>870</v>
      </c>
      <c r="M159" t="s">
        <v>27</v>
      </c>
      <c r="N159" t="s">
        <v>871</v>
      </c>
      <c r="O159" t="s">
        <v>29</v>
      </c>
      <c r="P159" t="s">
        <v>30</v>
      </c>
      <c r="Q159">
        <f t="shared" si="4"/>
        <v>16</v>
      </c>
      <c r="R159">
        <f t="shared" si="5"/>
        <v>14</v>
      </c>
    </row>
    <row r="160" spans="1:18" x14ac:dyDescent="0.25">
      <c r="A160" s="3">
        <v>158</v>
      </c>
      <c r="B160" s="3" t="s">
        <v>2979</v>
      </c>
      <c r="C160" t="s">
        <v>872</v>
      </c>
      <c r="D160" t="s">
        <v>21</v>
      </c>
      <c r="E160"/>
      <c r="F160" s="9" t="s">
        <v>873</v>
      </c>
      <c r="G160" t="s">
        <v>874</v>
      </c>
      <c r="H160" t="s">
        <v>36</v>
      </c>
      <c r="I160" t="s">
        <v>120</v>
      </c>
      <c r="J160" t="s">
        <v>875</v>
      </c>
      <c r="K160" t="s">
        <v>25</v>
      </c>
      <c r="L160" t="s">
        <v>876</v>
      </c>
      <c r="M160" t="s">
        <v>27</v>
      </c>
      <c r="N160" t="s">
        <v>877</v>
      </c>
      <c r="O160" t="s">
        <v>29</v>
      </c>
      <c r="P160" t="s">
        <v>30</v>
      </c>
      <c r="Q160">
        <f t="shared" si="4"/>
        <v>16</v>
      </c>
      <c r="R160">
        <f t="shared" si="5"/>
        <v>15</v>
      </c>
    </row>
    <row r="161" spans="1:18" x14ac:dyDescent="0.25">
      <c r="A161" s="2">
        <v>159</v>
      </c>
      <c r="B161" s="3" t="s">
        <v>2979</v>
      </c>
      <c r="C161" t="s">
        <v>878</v>
      </c>
      <c r="D161" t="s">
        <v>21</v>
      </c>
      <c r="E161"/>
      <c r="F161" s="9">
        <v>16083157706</v>
      </c>
      <c r="G161" t="s">
        <v>879</v>
      </c>
      <c r="H161" t="s">
        <v>880</v>
      </c>
      <c r="I161" t="s">
        <v>32</v>
      </c>
      <c r="J161" t="s">
        <v>881</v>
      </c>
      <c r="K161" t="s">
        <v>25</v>
      </c>
      <c r="L161" t="s">
        <v>882</v>
      </c>
      <c r="M161" t="s">
        <v>27</v>
      </c>
      <c r="N161" t="s">
        <v>883</v>
      </c>
      <c r="O161" t="s">
        <v>29</v>
      </c>
      <c r="P161" t="s">
        <v>30</v>
      </c>
      <c r="Q161">
        <f t="shared" si="4"/>
        <v>16</v>
      </c>
      <c r="R161">
        <f t="shared" si="5"/>
        <v>11</v>
      </c>
    </row>
    <row r="162" spans="1:18" x14ac:dyDescent="0.25">
      <c r="A162" s="3">
        <v>160</v>
      </c>
      <c r="B162" s="3" t="s">
        <v>2979</v>
      </c>
      <c r="C162" t="s">
        <v>884</v>
      </c>
      <c r="D162" t="s">
        <v>21</v>
      </c>
      <c r="E162"/>
      <c r="F162" s="9" t="s">
        <v>885</v>
      </c>
      <c r="G162" t="s">
        <v>879</v>
      </c>
      <c r="H162" t="s">
        <v>886</v>
      </c>
      <c r="I162" t="s">
        <v>32</v>
      </c>
      <c r="J162" t="s">
        <v>887</v>
      </c>
      <c r="K162" t="s">
        <v>25</v>
      </c>
      <c r="L162" t="s">
        <v>888</v>
      </c>
      <c r="M162" t="s">
        <v>27</v>
      </c>
      <c r="N162" t="s">
        <v>889</v>
      </c>
      <c r="O162" t="s">
        <v>29</v>
      </c>
      <c r="P162" t="s">
        <v>30</v>
      </c>
      <c r="Q162">
        <f t="shared" si="4"/>
        <v>16</v>
      </c>
      <c r="R162">
        <f t="shared" si="5"/>
        <v>13</v>
      </c>
    </row>
    <row r="163" spans="1:18" x14ac:dyDescent="0.25">
      <c r="A163" s="2">
        <v>161</v>
      </c>
      <c r="B163" s="3" t="s">
        <v>2979</v>
      </c>
      <c r="C163" t="s">
        <v>890</v>
      </c>
      <c r="D163" t="s">
        <v>21</v>
      </c>
      <c r="E163"/>
      <c r="F163" s="9" t="s">
        <v>891</v>
      </c>
      <c r="G163" t="s">
        <v>879</v>
      </c>
      <c r="H163" t="s">
        <v>892</v>
      </c>
      <c r="I163" t="s">
        <v>32</v>
      </c>
      <c r="J163" t="s">
        <v>893</v>
      </c>
      <c r="K163" t="s">
        <v>25</v>
      </c>
      <c r="L163" t="s">
        <v>894</v>
      </c>
      <c r="M163" t="s">
        <v>27</v>
      </c>
      <c r="N163" t="s">
        <v>895</v>
      </c>
      <c r="O163" t="s">
        <v>29</v>
      </c>
      <c r="P163" t="s">
        <v>30</v>
      </c>
      <c r="Q163">
        <f t="shared" si="4"/>
        <v>16</v>
      </c>
      <c r="R163">
        <f t="shared" si="5"/>
        <v>13</v>
      </c>
    </row>
    <row r="164" spans="1:18" x14ac:dyDescent="0.25">
      <c r="A164" s="3">
        <v>162</v>
      </c>
      <c r="B164" s="3" t="s">
        <v>2979</v>
      </c>
      <c r="C164" t="s">
        <v>896</v>
      </c>
      <c r="D164" t="s">
        <v>21</v>
      </c>
      <c r="E164"/>
      <c r="F164" s="9">
        <v>0</v>
      </c>
      <c r="G164" t="s">
        <v>879</v>
      </c>
      <c r="H164" t="s">
        <v>897</v>
      </c>
      <c r="I164" t="s">
        <v>37</v>
      </c>
      <c r="J164" t="s">
        <v>898</v>
      </c>
      <c r="K164" t="s">
        <v>25</v>
      </c>
      <c r="L164" t="s">
        <v>899</v>
      </c>
      <c r="M164" t="s">
        <v>27</v>
      </c>
      <c r="N164" t="s">
        <v>900</v>
      </c>
      <c r="O164" t="s">
        <v>29</v>
      </c>
      <c r="P164" t="s">
        <v>30</v>
      </c>
      <c r="Q164">
        <f t="shared" si="4"/>
        <v>16</v>
      </c>
      <c r="R164">
        <f t="shared" si="5"/>
        <v>13</v>
      </c>
    </row>
    <row r="165" spans="1:18" x14ac:dyDescent="0.25">
      <c r="A165" s="2">
        <v>163</v>
      </c>
      <c r="B165" s="3" t="s">
        <v>2979</v>
      </c>
      <c r="C165" t="s">
        <v>901</v>
      </c>
      <c r="D165" t="s">
        <v>21</v>
      </c>
      <c r="E165"/>
      <c r="F165" s="9" t="s">
        <v>902</v>
      </c>
      <c r="G165" t="s">
        <v>879</v>
      </c>
      <c r="H165" t="s">
        <v>167</v>
      </c>
      <c r="I165" t="s">
        <v>37</v>
      </c>
      <c r="J165" t="s">
        <v>903</v>
      </c>
      <c r="K165" t="s">
        <v>25</v>
      </c>
      <c r="L165" t="s">
        <v>904</v>
      </c>
      <c r="M165" t="s">
        <v>27</v>
      </c>
      <c r="N165" t="s">
        <v>905</v>
      </c>
      <c r="O165" t="s">
        <v>29</v>
      </c>
      <c r="P165" t="s">
        <v>30</v>
      </c>
      <c r="Q165">
        <f t="shared" si="4"/>
        <v>16</v>
      </c>
      <c r="R165">
        <f t="shared" si="5"/>
        <v>15</v>
      </c>
    </row>
    <row r="166" spans="1:18" x14ac:dyDescent="0.25">
      <c r="A166" s="3">
        <v>164</v>
      </c>
      <c r="B166" s="3" t="s">
        <v>2979</v>
      </c>
      <c r="C166" t="s">
        <v>906</v>
      </c>
      <c r="D166" t="s">
        <v>21</v>
      </c>
      <c r="E166"/>
      <c r="F166" s="9" t="s">
        <v>907</v>
      </c>
      <c r="G166" t="s">
        <v>908</v>
      </c>
      <c r="H166" t="s">
        <v>909</v>
      </c>
      <c r="I166" t="s">
        <v>32</v>
      </c>
      <c r="J166" t="s">
        <v>910</v>
      </c>
      <c r="K166" t="s">
        <v>25</v>
      </c>
      <c r="L166" t="s">
        <v>911</v>
      </c>
      <c r="M166" t="s">
        <v>27</v>
      </c>
      <c r="N166" t="s">
        <v>912</v>
      </c>
      <c r="O166" t="s">
        <v>29</v>
      </c>
      <c r="P166" t="s">
        <v>30</v>
      </c>
      <c r="Q166">
        <f t="shared" si="4"/>
        <v>16</v>
      </c>
      <c r="R166">
        <f t="shared" si="5"/>
        <v>13</v>
      </c>
    </row>
    <row r="167" spans="1:18" x14ac:dyDescent="0.25">
      <c r="A167" s="2">
        <v>165</v>
      </c>
      <c r="B167" s="3" t="s">
        <v>2979</v>
      </c>
      <c r="C167" t="s">
        <v>913</v>
      </c>
      <c r="D167" t="s">
        <v>21</v>
      </c>
      <c r="E167"/>
      <c r="F167" s="9">
        <v>0</v>
      </c>
      <c r="G167" t="s">
        <v>908</v>
      </c>
      <c r="H167" t="s">
        <v>914</v>
      </c>
      <c r="I167" t="s">
        <v>36</v>
      </c>
      <c r="J167" t="s">
        <v>915</v>
      </c>
      <c r="K167" t="s">
        <v>25</v>
      </c>
      <c r="L167" t="s">
        <v>916</v>
      </c>
      <c r="M167" t="s">
        <v>27</v>
      </c>
      <c r="N167" t="s">
        <v>917</v>
      </c>
      <c r="O167" t="s">
        <v>29</v>
      </c>
      <c r="P167" t="s">
        <v>30</v>
      </c>
      <c r="Q167">
        <f t="shared" si="4"/>
        <v>16</v>
      </c>
      <c r="R167">
        <f t="shared" si="5"/>
        <v>13</v>
      </c>
    </row>
    <row r="168" spans="1:18" x14ac:dyDescent="0.25">
      <c r="A168" s="3">
        <v>166</v>
      </c>
      <c r="B168" s="3" t="s">
        <v>2979</v>
      </c>
      <c r="C168" t="s">
        <v>918</v>
      </c>
      <c r="D168" t="s">
        <v>21</v>
      </c>
      <c r="E168"/>
      <c r="F168" s="9" t="s">
        <v>919</v>
      </c>
      <c r="G168" t="s">
        <v>908</v>
      </c>
      <c r="H168" t="s">
        <v>920</v>
      </c>
      <c r="I168" t="s">
        <v>32</v>
      </c>
      <c r="J168" t="s">
        <v>921</v>
      </c>
      <c r="K168" t="s">
        <v>25</v>
      </c>
      <c r="L168" t="s">
        <v>922</v>
      </c>
      <c r="M168" t="s">
        <v>27</v>
      </c>
      <c r="N168" t="s">
        <v>923</v>
      </c>
      <c r="O168" t="s">
        <v>29</v>
      </c>
      <c r="P168" t="s">
        <v>30</v>
      </c>
      <c r="Q168">
        <f t="shared" si="4"/>
        <v>16</v>
      </c>
      <c r="R168">
        <f t="shared" si="5"/>
        <v>13</v>
      </c>
    </row>
    <row r="169" spans="1:18" x14ac:dyDescent="0.25">
      <c r="A169" s="2">
        <v>167</v>
      </c>
      <c r="B169" s="3" t="s">
        <v>2979</v>
      </c>
      <c r="C169" t="s">
        <v>924</v>
      </c>
      <c r="D169" t="s">
        <v>21</v>
      </c>
      <c r="E169"/>
      <c r="F169" s="9" t="s">
        <v>925</v>
      </c>
      <c r="G169" t="s">
        <v>926</v>
      </c>
      <c r="H169" t="s">
        <v>927</v>
      </c>
      <c r="I169" t="s">
        <v>32</v>
      </c>
      <c r="J169" t="s">
        <v>928</v>
      </c>
      <c r="K169" t="s">
        <v>25</v>
      </c>
      <c r="L169" t="s">
        <v>929</v>
      </c>
      <c r="M169" t="s">
        <v>27</v>
      </c>
      <c r="N169" t="s">
        <v>930</v>
      </c>
      <c r="O169" t="s">
        <v>29</v>
      </c>
      <c r="P169" t="s">
        <v>30</v>
      </c>
      <c r="Q169">
        <f t="shared" si="4"/>
        <v>16</v>
      </c>
      <c r="R169">
        <f t="shared" si="5"/>
        <v>13</v>
      </c>
    </row>
    <row r="170" spans="1:18" x14ac:dyDescent="0.25">
      <c r="A170" s="3">
        <v>168</v>
      </c>
      <c r="B170" s="3" t="s">
        <v>2979</v>
      </c>
      <c r="C170" t="s">
        <v>931</v>
      </c>
      <c r="D170" t="s">
        <v>21</v>
      </c>
      <c r="E170"/>
      <c r="F170" s="9">
        <v>0</v>
      </c>
      <c r="G170" t="s">
        <v>932</v>
      </c>
      <c r="H170" t="s">
        <v>933</v>
      </c>
      <c r="I170" t="s">
        <v>36</v>
      </c>
      <c r="J170" t="s">
        <v>934</v>
      </c>
      <c r="K170" t="s">
        <v>25</v>
      </c>
      <c r="L170" t="s">
        <v>935</v>
      </c>
      <c r="M170" t="s">
        <v>27</v>
      </c>
      <c r="N170" t="s">
        <v>936</v>
      </c>
      <c r="O170" t="s">
        <v>29</v>
      </c>
      <c r="P170" t="s">
        <v>30</v>
      </c>
      <c r="Q170">
        <f t="shared" si="4"/>
        <v>16</v>
      </c>
      <c r="R170">
        <f t="shared" si="5"/>
        <v>15</v>
      </c>
    </row>
    <row r="171" spans="1:18" x14ac:dyDescent="0.25">
      <c r="A171" s="2">
        <v>169</v>
      </c>
      <c r="B171" s="3" t="s">
        <v>2979</v>
      </c>
      <c r="C171" t="s">
        <v>937</v>
      </c>
      <c r="D171" t="s">
        <v>21</v>
      </c>
      <c r="E171"/>
      <c r="F171" s="9">
        <v>0</v>
      </c>
      <c r="G171" t="s">
        <v>932</v>
      </c>
      <c r="H171" t="s">
        <v>933</v>
      </c>
      <c r="I171" t="s">
        <v>37</v>
      </c>
      <c r="J171" t="s">
        <v>938</v>
      </c>
      <c r="K171" t="s">
        <v>25</v>
      </c>
      <c r="L171" t="s">
        <v>935</v>
      </c>
      <c r="M171" t="s">
        <v>27</v>
      </c>
      <c r="N171" t="s">
        <v>936</v>
      </c>
      <c r="O171" t="s">
        <v>29</v>
      </c>
      <c r="P171" t="s">
        <v>30</v>
      </c>
      <c r="Q171">
        <f t="shared" si="4"/>
        <v>16</v>
      </c>
      <c r="R171">
        <f t="shared" si="5"/>
        <v>15</v>
      </c>
    </row>
    <row r="172" spans="1:18" x14ac:dyDescent="0.25">
      <c r="A172" s="3">
        <v>170</v>
      </c>
      <c r="B172" s="3" t="s">
        <v>2979</v>
      </c>
      <c r="C172" t="s">
        <v>939</v>
      </c>
      <c r="D172" t="s">
        <v>21</v>
      </c>
      <c r="E172"/>
      <c r="F172" s="9" t="s">
        <v>940</v>
      </c>
      <c r="G172" t="s">
        <v>932</v>
      </c>
      <c r="H172" t="s">
        <v>933</v>
      </c>
      <c r="I172" t="s">
        <v>24</v>
      </c>
      <c r="J172" t="s">
        <v>941</v>
      </c>
      <c r="K172" t="s">
        <v>25</v>
      </c>
      <c r="L172" t="s">
        <v>935</v>
      </c>
      <c r="M172" t="s">
        <v>27</v>
      </c>
      <c r="N172" t="s">
        <v>936</v>
      </c>
      <c r="O172" t="s">
        <v>29</v>
      </c>
      <c r="P172" t="s">
        <v>30</v>
      </c>
      <c r="Q172">
        <f t="shared" si="4"/>
        <v>16</v>
      </c>
      <c r="R172">
        <f t="shared" si="5"/>
        <v>15</v>
      </c>
    </row>
    <row r="173" spans="1:18" x14ac:dyDescent="0.25">
      <c r="A173" s="2">
        <v>171</v>
      </c>
      <c r="B173" s="3" t="s">
        <v>2979</v>
      </c>
      <c r="C173" t="s">
        <v>942</v>
      </c>
      <c r="D173" t="s">
        <v>21</v>
      </c>
      <c r="E173"/>
      <c r="F173" s="9" t="s">
        <v>943</v>
      </c>
      <c r="G173" t="s">
        <v>932</v>
      </c>
      <c r="H173" t="s">
        <v>933</v>
      </c>
      <c r="I173" t="s">
        <v>32</v>
      </c>
      <c r="J173" t="s">
        <v>944</v>
      </c>
      <c r="K173" t="s">
        <v>25</v>
      </c>
      <c r="L173" t="s">
        <v>935</v>
      </c>
      <c r="M173" t="s">
        <v>27</v>
      </c>
      <c r="N173" t="s">
        <v>936</v>
      </c>
      <c r="O173" t="s">
        <v>29</v>
      </c>
      <c r="P173" t="s">
        <v>30</v>
      </c>
      <c r="Q173">
        <f t="shared" si="4"/>
        <v>16</v>
      </c>
      <c r="R173">
        <f t="shared" si="5"/>
        <v>15</v>
      </c>
    </row>
    <row r="174" spans="1:18" x14ac:dyDescent="0.25">
      <c r="A174" s="3">
        <v>172</v>
      </c>
      <c r="B174" s="3" t="s">
        <v>2979</v>
      </c>
      <c r="C174" t="s">
        <v>945</v>
      </c>
      <c r="D174" t="s">
        <v>21</v>
      </c>
      <c r="E174"/>
      <c r="F174" s="9" t="s">
        <v>946</v>
      </c>
      <c r="G174" t="s">
        <v>932</v>
      </c>
      <c r="H174" t="s">
        <v>947</v>
      </c>
      <c r="I174" t="s">
        <v>36</v>
      </c>
      <c r="J174" t="s">
        <v>948</v>
      </c>
      <c r="K174" t="s">
        <v>25</v>
      </c>
      <c r="L174" t="s">
        <v>949</v>
      </c>
      <c r="M174" t="s">
        <v>27</v>
      </c>
      <c r="N174" t="s">
        <v>950</v>
      </c>
      <c r="O174" t="s">
        <v>29</v>
      </c>
      <c r="P174" t="s">
        <v>30</v>
      </c>
      <c r="Q174">
        <f t="shared" si="4"/>
        <v>16</v>
      </c>
      <c r="R174">
        <f t="shared" si="5"/>
        <v>15</v>
      </c>
    </row>
    <row r="175" spans="1:18" x14ac:dyDescent="0.25">
      <c r="A175" s="2">
        <v>173</v>
      </c>
      <c r="B175" s="3" t="s">
        <v>2979</v>
      </c>
      <c r="C175" t="s">
        <v>951</v>
      </c>
      <c r="D175" t="s">
        <v>21</v>
      </c>
      <c r="E175"/>
      <c r="F175" s="9">
        <v>0</v>
      </c>
      <c r="G175" t="s">
        <v>932</v>
      </c>
      <c r="H175" t="s">
        <v>947</v>
      </c>
      <c r="I175" t="s">
        <v>37</v>
      </c>
      <c r="J175" t="s">
        <v>952</v>
      </c>
      <c r="K175" t="s">
        <v>25</v>
      </c>
      <c r="L175" t="s">
        <v>949</v>
      </c>
      <c r="M175" t="s">
        <v>27</v>
      </c>
      <c r="N175" t="s">
        <v>950</v>
      </c>
      <c r="O175" t="s">
        <v>29</v>
      </c>
      <c r="P175" t="s">
        <v>30</v>
      </c>
      <c r="Q175">
        <f t="shared" si="4"/>
        <v>16</v>
      </c>
      <c r="R175">
        <f t="shared" si="5"/>
        <v>15</v>
      </c>
    </row>
    <row r="176" spans="1:18" x14ac:dyDescent="0.25">
      <c r="A176" s="3">
        <v>174</v>
      </c>
      <c r="B176" s="3" t="s">
        <v>2979</v>
      </c>
      <c r="C176" t="s">
        <v>953</v>
      </c>
      <c r="D176" t="s">
        <v>21</v>
      </c>
      <c r="E176"/>
      <c r="F176" s="9" t="s">
        <v>954</v>
      </c>
      <c r="G176" t="s">
        <v>932</v>
      </c>
      <c r="H176" t="s">
        <v>947</v>
      </c>
      <c r="I176" t="s">
        <v>32</v>
      </c>
      <c r="J176" t="s">
        <v>955</v>
      </c>
      <c r="K176" t="s">
        <v>25</v>
      </c>
      <c r="L176" t="s">
        <v>949</v>
      </c>
      <c r="M176" t="s">
        <v>27</v>
      </c>
      <c r="N176" t="s">
        <v>950</v>
      </c>
      <c r="O176" t="s">
        <v>29</v>
      </c>
      <c r="P176" t="s">
        <v>30</v>
      </c>
      <c r="Q176">
        <f t="shared" si="4"/>
        <v>16</v>
      </c>
      <c r="R176">
        <f t="shared" si="5"/>
        <v>15</v>
      </c>
    </row>
    <row r="177" spans="1:18" x14ac:dyDescent="0.25">
      <c r="A177" s="2">
        <v>175</v>
      </c>
      <c r="B177" s="3" t="s">
        <v>2979</v>
      </c>
      <c r="C177" t="s">
        <v>956</v>
      </c>
      <c r="D177" t="s">
        <v>21</v>
      </c>
      <c r="E177"/>
      <c r="F177" s="9" t="s">
        <v>957</v>
      </c>
      <c r="G177" t="s">
        <v>932</v>
      </c>
      <c r="H177" t="s">
        <v>958</v>
      </c>
      <c r="I177" t="s">
        <v>32</v>
      </c>
      <c r="J177" t="s">
        <v>959</v>
      </c>
      <c r="K177" t="s">
        <v>25</v>
      </c>
      <c r="L177" t="s">
        <v>960</v>
      </c>
      <c r="M177" t="s">
        <v>27</v>
      </c>
      <c r="N177" t="s">
        <v>961</v>
      </c>
      <c r="O177" t="s">
        <v>29</v>
      </c>
      <c r="P177" t="s">
        <v>30</v>
      </c>
      <c r="Q177">
        <f t="shared" si="4"/>
        <v>16</v>
      </c>
      <c r="R177">
        <f t="shared" si="5"/>
        <v>13</v>
      </c>
    </row>
    <row r="178" spans="1:18" x14ac:dyDescent="0.25">
      <c r="A178" s="3">
        <v>176</v>
      </c>
      <c r="B178" s="3" t="s">
        <v>2979</v>
      </c>
      <c r="C178" t="s">
        <v>962</v>
      </c>
      <c r="D178" t="s">
        <v>21</v>
      </c>
      <c r="E178"/>
      <c r="F178" s="9" t="s">
        <v>963</v>
      </c>
      <c r="G178" t="s">
        <v>932</v>
      </c>
      <c r="H178" t="s">
        <v>964</v>
      </c>
      <c r="I178" t="s">
        <v>32</v>
      </c>
      <c r="J178" t="s">
        <v>965</v>
      </c>
      <c r="K178" t="s">
        <v>25</v>
      </c>
      <c r="L178" t="s">
        <v>966</v>
      </c>
      <c r="M178" t="s">
        <v>27</v>
      </c>
      <c r="N178" t="s">
        <v>967</v>
      </c>
      <c r="O178" t="s">
        <v>29</v>
      </c>
      <c r="P178" t="s">
        <v>30</v>
      </c>
      <c r="Q178">
        <f t="shared" si="4"/>
        <v>16</v>
      </c>
      <c r="R178">
        <f t="shared" si="5"/>
        <v>13</v>
      </c>
    </row>
    <row r="179" spans="1:18" x14ac:dyDescent="0.25">
      <c r="A179" s="2">
        <v>177</v>
      </c>
      <c r="B179" s="3" t="s">
        <v>2979</v>
      </c>
      <c r="C179" t="s">
        <v>968</v>
      </c>
      <c r="D179" t="s">
        <v>21</v>
      </c>
      <c r="E179"/>
      <c r="F179" s="9" t="s">
        <v>969</v>
      </c>
      <c r="G179" t="s">
        <v>932</v>
      </c>
      <c r="H179" t="s">
        <v>970</v>
      </c>
      <c r="I179" t="s">
        <v>32</v>
      </c>
      <c r="J179" t="s">
        <v>971</v>
      </c>
      <c r="K179" t="s">
        <v>25</v>
      </c>
      <c r="L179" t="s">
        <v>972</v>
      </c>
      <c r="M179" t="s">
        <v>27</v>
      </c>
      <c r="N179" t="s">
        <v>973</v>
      </c>
      <c r="O179" t="s">
        <v>29</v>
      </c>
      <c r="P179" t="s">
        <v>30</v>
      </c>
      <c r="Q179">
        <f t="shared" si="4"/>
        <v>16</v>
      </c>
      <c r="R179">
        <f t="shared" si="5"/>
        <v>15</v>
      </c>
    </row>
    <row r="180" spans="1:18" x14ac:dyDescent="0.25">
      <c r="A180" s="3">
        <v>178</v>
      </c>
      <c r="B180" s="3" t="s">
        <v>2979</v>
      </c>
      <c r="C180" t="s">
        <v>974</v>
      </c>
      <c r="D180" t="s">
        <v>21</v>
      </c>
      <c r="E180"/>
      <c r="F180" s="9" t="s">
        <v>975</v>
      </c>
      <c r="G180" t="s">
        <v>932</v>
      </c>
      <c r="H180" t="s">
        <v>976</v>
      </c>
      <c r="I180" t="s">
        <v>24</v>
      </c>
      <c r="J180" t="s">
        <v>977</v>
      </c>
      <c r="K180" t="s">
        <v>25</v>
      </c>
      <c r="L180" t="s">
        <v>978</v>
      </c>
      <c r="M180" t="s">
        <v>27</v>
      </c>
      <c r="N180" t="s">
        <v>979</v>
      </c>
      <c r="O180" t="s">
        <v>29</v>
      </c>
      <c r="P180" t="s">
        <v>30</v>
      </c>
      <c r="Q180">
        <f t="shared" si="4"/>
        <v>16</v>
      </c>
      <c r="R180">
        <f t="shared" si="5"/>
        <v>13</v>
      </c>
    </row>
    <row r="181" spans="1:18" x14ac:dyDescent="0.25">
      <c r="A181" s="2">
        <v>179</v>
      </c>
      <c r="B181" s="3" t="s">
        <v>2979</v>
      </c>
      <c r="C181" t="s">
        <v>980</v>
      </c>
      <c r="D181" t="s">
        <v>21</v>
      </c>
      <c r="E181"/>
      <c r="F181" s="9" t="s">
        <v>981</v>
      </c>
      <c r="G181" t="s">
        <v>932</v>
      </c>
      <c r="H181" t="s">
        <v>982</v>
      </c>
      <c r="I181" t="s">
        <v>36</v>
      </c>
      <c r="J181" t="s">
        <v>983</v>
      </c>
      <c r="K181" t="s">
        <v>25</v>
      </c>
      <c r="L181" t="s">
        <v>984</v>
      </c>
      <c r="M181" t="s">
        <v>27</v>
      </c>
      <c r="N181" t="s">
        <v>985</v>
      </c>
      <c r="O181" t="s">
        <v>29</v>
      </c>
      <c r="P181" t="s">
        <v>30</v>
      </c>
      <c r="Q181">
        <f t="shared" si="4"/>
        <v>16</v>
      </c>
      <c r="R181">
        <f t="shared" si="5"/>
        <v>13</v>
      </c>
    </row>
    <row r="182" spans="1:18" x14ac:dyDescent="0.25">
      <c r="A182" s="3">
        <v>180</v>
      </c>
      <c r="B182" s="3" t="s">
        <v>2979</v>
      </c>
      <c r="C182" t="s">
        <v>986</v>
      </c>
      <c r="D182" t="s">
        <v>21</v>
      </c>
      <c r="E182"/>
      <c r="F182" s="9" t="s">
        <v>987</v>
      </c>
      <c r="G182" t="s">
        <v>932</v>
      </c>
      <c r="H182" t="s">
        <v>982</v>
      </c>
      <c r="I182" t="s">
        <v>37</v>
      </c>
      <c r="J182" t="s">
        <v>988</v>
      </c>
      <c r="K182" t="s">
        <v>25</v>
      </c>
      <c r="L182" t="s">
        <v>984</v>
      </c>
      <c r="M182" t="s">
        <v>27</v>
      </c>
      <c r="N182" t="s">
        <v>985</v>
      </c>
      <c r="O182" t="s">
        <v>29</v>
      </c>
      <c r="P182" t="s">
        <v>30</v>
      </c>
      <c r="Q182">
        <f t="shared" si="4"/>
        <v>16</v>
      </c>
      <c r="R182">
        <f t="shared" si="5"/>
        <v>13</v>
      </c>
    </row>
    <row r="183" spans="1:18" x14ac:dyDescent="0.25">
      <c r="A183" s="2">
        <v>181</v>
      </c>
      <c r="B183" s="3" t="s">
        <v>2979</v>
      </c>
      <c r="C183" t="s">
        <v>989</v>
      </c>
      <c r="D183" t="s">
        <v>21</v>
      </c>
      <c r="E183"/>
      <c r="F183" s="9" t="s">
        <v>990</v>
      </c>
      <c r="G183" t="s">
        <v>932</v>
      </c>
      <c r="H183" t="s">
        <v>982</v>
      </c>
      <c r="I183" t="s">
        <v>24</v>
      </c>
      <c r="J183" t="s">
        <v>991</v>
      </c>
      <c r="K183" t="s">
        <v>25</v>
      </c>
      <c r="L183" t="s">
        <v>984</v>
      </c>
      <c r="M183" t="s">
        <v>27</v>
      </c>
      <c r="N183" t="s">
        <v>985</v>
      </c>
      <c r="O183" t="s">
        <v>29</v>
      </c>
      <c r="P183" t="s">
        <v>30</v>
      </c>
      <c r="Q183">
        <f t="shared" si="4"/>
        <v>16</v>
      </c>
      <c r="R183">
        <f t="shared" si="5"/>
        <v>13</v>
      </c>
    </row>
    <row r="184" spans="1:18" x14ac:dyDescent="0.25">
      <c r="A184" s="3">
        <v>182</v>
      </c>
      <c r="B184" s="3" t="s">
        <v>2979</v>
      </c>
      <c r="C184" t="s">
        <v>992</v>
      </c>
      <c r="D184" t="s">
        <v>21</v>
      </c>
      <c r="E184"/>
      <c r="F184" s="9" t="s">
        <v>993</v>
      </c>
      <c r="G184" t="s">
        <v>932</v>
      </c>
      <c r="H184" t="s">
        <v>982</v>
      </c>
      <c r="I184" t="s">
        <v>32</v>
      </c>
      <c r="J184" t="s">
        <v>994</v>
      </c>
      <c r="K184" t="s">
        <v>25</v>
      </c>
      <c r="L184" t="s">
        <v>984</v>
      </c>
      <c r="M184" t="s">
        <v>27</v>
      </c>
      <c r="N184" t="s">
        <v>985</v>
      </c>
      <c r="O184" t="s">
        <v>29</v>
      </c>
      <c r="P184" t="s">
        <v>30</v>
      </c>
      <c r="Q184">
        <f t="shared" si="4"/>
        <v>16</v>
      </c>
      <c r="R184">
        <f t="shared" si="5"/>
        <v>13</v>
      </c>
    </row>
    <row r="185" spans="1:18" x14ac:dyDescent="0.25">
      <c r="A185" s="2">
        <v>183</v>
      </c>
      <c r="B185" s="3" t="s">
        <v>2979</v>
      </c>
      <c r="C185" t="s">
        <v>995</v>
      </c>
      <c r="D185" t="s">
        <v>21</v>
      </c>
      <c r="E185"/>
      <c r="F185" s="9" t="s">
        <v>996</v>
      </c>
      <c r="G185" t="s">
        <v>997</v>
      </c>
      <c r="H185" t="s">
        <v>998</v>
      </c>
      <c r="I185" t="s">
        <v>32</v>
      </c>
      <c r="J185" t="s">
        <v>999</v>
      </c>
      <c r="K185" t="s">
        <v>25</v>
      </c>
      <c r="L185" t="s">
        <v>1000</v>
      </c>
      <c r="M185" t="s">
        <v>27</v>
      </c>
      <c r="N185" t="s">
        <v>1001</v>
      </c>
      <c r="O185" t="s">
        <v>29</v>
      </c>
      <c r="P185" t="s">
        <v>30</v>
      </c>
      <c r="Q185">
        <f t="shared" si="4"/>
        <v>16</v>
      </c>
      <c r="R185">
        <f t="shared" si="5"/>
        <v>15</v>
      </c>
    </row>
    <row r="186" spans="1:18" x14ac:dyDescent="0.25">
      <c r="A186" s="3">
        <v>184</v>
      </c>
      <c r="B186" s="3" t="s">
        <v>2979</v>
      </c>
      <c r="C186" t="s">
        <v>1002</v>
      </c>
      <c r="D186" t="s">
        <v>21</v>
      </c>
      <c r="E186"/>
      <c r="F186" s="9" t="s">
        <v>1003</v>
      </c>
      <c r="G186" t="s">
        <v>1004</v>
      </c>
      <c r="H186" t="s">
        <v>213</v>
      </c>
      <c r="I186" t="s">
        <v>32</v>
      </c>
      <c r="J186" t="s">
        <v>1005</v>
      </c>
      <c r="K186" t="s">
        <v>25</v>
      </c>
      <c r="L186" t="s">
        <v>1006</v>
      </c>
      <c r="M186" t="s">
        <v>27</v>
      </c>
      <c r="N186" t="s">
        <v>1007</v>
      </c>
      <c r="O186" t="s">
        <v>29</v>
      </c>
      <c r="P186" t="s">
        <v>30</v>
      </c>
      <c r="Q186">
        <f t="shared" si="4"/>
        <v>16</v>
      </c>
      <c r="R186">
        <f t="shared" si="5"/>
        <v>15</v>
      </c>
    </row>
    <row r="187" spans="1:18" x14ac:dyDescent="0.25">
      <c r="A187" s="2">
        <v>185</v>
      </c>
      <c r="B187" s="3" t="s">
        <v>2979</v>
      </c>
      <c r="C187" t="s">
        <v>1008</v>
      </c>
      <c r="D187" t="s">
        <v>21</v>
      </c>
      <c r="E187"/>
      <c r="F187" s="9" t="s">
        <v>1009</v>
      </c>
      <c r="G187" t="s">
        <v>932</v>
      </c>
      <c r="H187" t="s">
        <v>1010</v>
      </c>
      <c r="I187" t="s">
        <v>24</v>
      </c>
      <c r="J187" t="s">
        <v>1011</v>
      </c>
      <c r="K187" t="s">
        <v>25</v>
      </c>
      <c r="L187" t="s">
        <v>1012</v>
      </c>
      <c r="M187" t="s">
        <v>27</v>
      </c>
      <c r="N187" t="s">
        <v>1013</v>
      </c>
      <c r="O187" t="s">
        <v>29</v>
      </c>
      <c r="P187" t="s">
        <v>30</v>
      </c>
      <c r="Q187">
        <f t="shared" si="4"/>
        <v>16</v>
      </c>
      <c r="R187">
        <f t="shared" si="5"/>
        <v>15</v>
      </c>
    </row>
    <row r="188" spans="1:18" x14ac:dyDescent="0.25">
      <c r="A188" s="3">
        <v>186</v>
      </c>
      <c r="B188" s="3" t="s">
        <v>2979</v>
      </c>
      <c r="C188" t="s">
        <v>1014</v>
      </c>
      <c r="D188" t="s">
        <v>21</v>
      </c>
      <c r="E188"/>
      <c r="F188" s="9" t="s">
        <v>1015</v>
      </c>
      <c r="G188" t="s">
        <v>1016</v>
      </c>
      <c r="H188" t="s">
        <v>37</v>
      </c>
      <c r="I188" t="s">
        <v>32</v>
      </c>
      <c r="J188" t="s">
        <v>1017</v>
      </c>
      <c r="K188" t="s">
        <v>25</v>
      </c>
      <c r="L188" t="s">
        <v>1018</v>
      </c>
      <c r="M188" t="s">
        <v>27</v>
      </c>
      <c r="N188" t="s">
        <v>1019</v>
      </c>
      <c r="O188" t="s">
        <v>29</v>
      </c>
      <c r="P188" t="s">
        <v>30</v>
      </c>
      <c r="Q188">
        <f t="shared" si="4"/>
        <v>16</v>
      </c>
      <c r="R188">
        <f t="shared" si="5"/>
        <v>15</v>
      </c>
    </row>
    <row r="189" spans="1:18" x14ac:dyDescent="0.25">
      <c r="A189" s="2">
        <v>187</v>
      </c>
      <c r="B189" s="3" t="s">
        <v>2979</v>
      </c>
      <c r="C189" t="s">
        <v>1020</v>
      </c>
      <c r="D189" t="s">
        <v>21</v>
      </c>
      <c r="E189"/>
      <c r="F189" s="9" t="s">
        <v>1021</v>
      </c>
      <c r="G189" t="s">
        <v>932</v>
      </c>
      <c r="H189" t="s">
        <v>1010</v>
      </c>
      <c r="I189" t="s">
        <v>32</v>
      </c>
      <c r="J189" t="s">
        <v>1022</v>
      </c>
      <c r="K189" t="s">
        <v>25</v>
      </c>
      <c r="L189" t="s">
        <v>1012</v>
      </c>
      <c r="M189" t="s">
        <v>27</v>
      </c>
      <c r="N189" t="s">
        <v>1013</v>
      </c>
      <c r="O189" t="s">
        <v>29</v>
      </c>
      <c r="P189" t="s">
        <v>30</v>
      </c>
      <c r="Q189">
        <f t="shared" si="4"/>
        <v>16</v>
      </c>
      <c r="R189">
        <f t="shared" si="5"/>
        <v>15</v>
      </c>
    </row>
    <row r="190" spans="1:18" x14ac:dyDescent="0.25">
      <c r="A190" s="3">
        <v>188</v>
      </c>
      <c r="B190" s="3" t="s">
        <v>2979</v>
      </c>
      <c r="C190" t="s">
        <v>1023</v>
      </c>
      <c r="D190" t="s">
        <v>21</v>
      </c>
      <c r="E190"/>
      <c r="F190" s="9" t="s">
        <v>1024</v>
      </c>
      <c r="G190" t="s">
        <v>932</v>
      </c>
      <c r="H190" t="s">
        <v>1025</v>
      </c>
      <c r="I190" t="s">
        <v>36</v>
      </c>
      <c r="J190" t="s">
        <v>1026</v>
      </c>
      <c r="K190" t="s">
        <v>25</v>
      </c>
      <c r="L190" t="s">
        <v>1027</v>
      </c>
      <c r="M190" t="s">
        <v>27</v>
      </c>
      <c r="N190" t="s">
        <v>1028</v>
      </c>
      <c r="O190" t="s">
        <v>29</v>
      </c>
      <c r="P190" t="s">
        <v>30</v>
      </c>
      <c r="Q190">
        <f t="shared" si="4"/>
        <v>16</v>
      </c>
      <c r="R190">
        <f t="shared" si="5"/>
        <v>13</v>
      </c>
    </row>
    <row r="191" spans="1:18" x14ac:dyDescent="0.25">
      <c r="A191" s="2">
        <v>189</v>
      </c>
      <c r="B191" s="3" t="s">
        <v>2979</v>
      </c>
      <c r="C191" t="s">
        <v>1029</v>
      </c>
      <c r="D191" t="s">
        <v>21</v>
      </c>
      <c r="E191"/>
      <c r="F191" s="9" t="s">
        <v>1030</v>
      </c>
      <c r="G191" t="s">
        <v>932</v>
      </c>
      <c r="H191" t="s">
        <v>1025</v>
      </c>
      <c r="I191" t="s">
        <v>37</v>
      </c>
      <c r="J191" t="s">
        <v>1031</v>
      </c>
      <c r="K191" t="s">
        <v>25</v>
      </c>
      <c r="L191" t="s">
        <v>1027</v>
      </c>
      <c r="M191" t="s">
        <v>27</v>
      </c>
      <c r="N191" t="s">
        <v>1028</v>
      </c>
      <c r="O191" t="s">
        <v>29</v>
      </c>
      <c r="P191" t="s">
        <v>30</v>
      </c>
      <c r="Q191">
        <f t="shared" si="4"/>
        <v>16</v>
      </c>
      <c r="R191">
        <f t="shared" si="5"/>
        <v>13</v>
      </c>
    </row>
    <row r="192" spans="1:18" x14ac:dyDescent="0.25">
      <c r="A192" s="3">
        <v>190</v>
      </c>
      <c r="B192" s="3" t="s">
        <v>2979</v>
      </c>
      <c r="C192" t="s">
        <v>1032</v>
      </c>
      <c r="D192" t="s">
        <v>21</v>
      </c>
      <c r="E192"/>
      <c r="F192" s="9" t="s">
        <v>1033</v>
      </c>
      <c r="G192" t="s">
        <v>1034</v>
      </c>
      <c r="H192" t="s">
        <v>36</v>
      </c>
      <c r="I192" t="s">
        <v>32</v>
      </c>
      <c r="J192" t="s">
        <v>1035</v>
      </c>
      <c r="K192" t="s">
        <v>25</v>
      </c>
      <c r="L192" t="s">
        <v>1036</v>
      </c>
      <c r="M192" t="s">
        <v>27</v>
      </c>
      <c r="N192" t="s">
        <v>1037</v>
      </c>
      <c r="O192" t="s">
        <v>29</v>
      </c>
      <c r="P192" t="s">
        <v>30</v>
      </c>
      <c r="Q192">
        <f t="shared" si="4"/>
        <v>16</v>
      </c>
      <c r="R192">
        <f t="shared" si="5"/>
        <v>15</v>
      </c>
    </row>
    <row r="193" spans="1:18" x14ac:dyDescent="0.25">
      <c r="A193" s="2">
        <v>191</v>
      </c>
      <c r="B193" s="3" t="s">
        <v>2979</v>
      </c>
      <c r="C193" t="s">
        <v>1038</v>
      </c>
      <c r="D193" t="s">
        <v>21</v>
      </c>
      <c r="E193"/>
      <c r="F193" s="9" t="s">
        <v>1039</v>
      </c>
      <c r="G193" t="s">
        <v>1034</v>
      </c>
      <c r="H193" t="s">
        <v>36</v>
      </c>
      <c r="I193" t="s">
        <v>36</v>
      </c>
      <c r="J193" t="s">
        <v>1040</v>
      </c>
      <c r="K193" t="s">
        <v>25</v>
      </c>
      <c r="L193" t="s">
        <v>1036</v>
      </c>
      <c r="M193" t="s">
        <v>27</v>
      </c>
      <c r="N193" t="s">
        <v>1037</v>
      </c>
      <c r="O193" t="s">
        <v>29</v>
      </c>
      <c r="P193" t="s">
        <v>30</v>
      </c>
      <c r="Q193">
        <f t="shared" si="4"/>
        <v>16</v>
      </c>
      <c r="R193">
        <f t="shared" si="5"/>
        <v>15</v>
      </c>
    </row>
    <row r="194" spans="1:18" x14ac:dyDescent="0.25">
      <c r="A194" s="3">
        <v>192</v>
      </c>
      <c r="B194" s="3" t="s">
        <v>2979</v>
      </c>
      <c r="C194" t="s">
        <v>1041</v>
      </c>
      <c r="D194" t="s">
        <v>21</v>
      </c>
      <c r="E194"/>
      <c r="F194" s="9" t="s">
        <v>1042</v>
      </c>
      <c r="G194" t="s">
        <v>932</v>
      </c>
      <c r="H194" t="s">
        <v>1025</v>
      </c>
      <c r="I194" t="s">
        <v>24</v>
      </c>
      <c r="J194" t="s">
        <v>1043</v>
      </c>
      <c r="K194" t="s">
        <v>25</v>
      </c>
      <c r="L194" t="s">
        <v>1027</v>
      </c>
      <c r="M194" t="s">
        <v>27</v>
      </c>
      <c r="N194" t="s">
        <v>1028</v>
      </c>
      <c r="O194" t="s">
        <v>29</v>
      </c>
      <c r="P194" t="s">
        <v>30</v>
      </c>
      <c r="Q194">
        <f t="shared" ref="Q194:Q257" si="6">LEN(L194)</f>
        <v>16</v>
      </c>
      <c r="R194">
        <f t="shared" si="5"/>
        <v>13</v>
      </c>
    </row>
    <row r="195" spans="1:18" x14ac:dyDescent="0.25">
      <c r="A195" s="2">
        <v>193</v>
      </c>
      <c r="B195" s="3" t="s">
        <v>2979</v>
      </c>
      <c r="C195" t="s">
        <v>1044</v>
      </c>
      <c r="D195" t="s">
        <v>21</v>
      </c>
      <c r="E195"/>
      <c r="F195" s="9" t="s">
        <v>1045</v>
      </c>
      <c r="G195" t="s">
        <v>932</v>
      </c>
      <c r="H195" t="s">
        <v>1025</v>
      </c>
      <c r="I195" t="s">
        <v>32</v>
      </c>
      <c r="J195" t="s">
        <v>1046</v>
      </c>
      <c r="K195" t="s">
        <v>25</v>
      </c>
      <c r="L195" t="s">
        <v>1027</v>
      </c>
      <c r="M195" t="s">
        <v>27</v>
      </c>
      <c r="N195" t="s">
        <v>1028</v>
      </c>
      <c r="O195" t="s">
        <v>29</v>
      </c>
      <c r="P195" t="s">
        <v>30</v>
      </c>
      <c r="Q195">
        <f t="shared" si="6"/>
        <v>16</v>
      </c>
      <c r="R195">
        <f t="shared" ref="R195:R258" si="7">LEN(N195)</f>
        <v>13</v>
      </c>
    </row>
    <row r="196" spans="1:18" x14ac:dyDescent="0.25">
      <c r="A196" s="3">
        <v>194</v>
      </c>
      <c r="B196" s="3" t="s">
        <v>2979</v>
      </c>
      <c r="C196" t="s">
        <v>1047</v>
      </c>
      <c r="D196" t="s">
        <v>21</v>
      </c>
      <c r="E196"/>
      <c r="F196" s="9" t="s">
        <v>1048</v>
      </c>
      <c r="G196" t="s">
        <v>932</v>
      </c>
      <c r="H196" t="s">
        <v>1049</v>
      </c>
      <c r="I196" t="s">
        <v>32</v>
      </c>
      <c r="J196" t="s">
        <v>1050</v>
      </c>
      <c r="K196" t="s">
        <v>25</v>
      </c>
      <c r="L196" t="s">
        <v>1051</v>
      </c>
      <c r="M196" t="s">
        <v>27</v>
      </c>
      <c r="N196" t="s">
        <v>1052</v>
      </c>
      <c r="O196" t="s">
        <v>29</v>
      </c>
      <c r="P196" t="s">
        <v>30</v>
      </c>
      <c r="Q196">
        <f t="shared" si="6"/>
        <v>16</v>
      </c>
      <c r="R196">
        <f t="shared" si="7"/>
        <v>15</v>
      </c>
    </row>
    <row r="197" spans="1:18" x14ac:dyDescent="0.25">
      <c r="A197" s="2">
        <v>195</v>
      </c>
      <c r="B197" s="3" t="s">
        <v>2979</v>
      </c>
      <c r="C197" t="s">
        <v>1053</v>
      </c>
      <c r="D197" t="s">
        <v>21</v>
      </c>
      <c r="E197"/>
      <c r="F197" s="9" t="s">
        <v>1054</v>
      </c>
      <c r="G197" t="s">
        <v>932</v>
      </c>
      <c r="H197" t="s">
        <v>1055</v>
      </c>
      <c r="I197" t="s">
        <v>24</v>
      </c>
      <c r="J197" t="s">
        <v>1056</v>
      </c>
      <c r="K197" t="s">
        <v>25</v>
      </c>
      <c r="L197" t="s">
        <v>1057</v>
      </c>
      <c r="M197" t="s">
        <v>27</v>
      </c>
      <c r="N197" t="s">
        <v>1058</v>
      </c>
      <c r="O197" t="s">
        <v>29</v>
      </c>
      <c r="P197" t="s">
        <v>30</v>
      </c>
      <c r="Q197">
        <f t="shared" si="6"/>
        <v>16</v>
      </c>
      <c r="R197">
        <f t="shared" si="7"/>
        <v>14</v>
      </c>
    </row>
    <row r="198" spans="1:18" x14ac:dyDescent="0.25">
      <c r="A198" s="3">
        <v>196</v>
      </c>
      <c r="B198" s="3" t="s">
        <v>2979</v>
      </c>
      <c r="C198" t="s">
        <v>1059</v>
      </c>
      <c r="D198" t="s">
        <v>21</v>
      </c>
      <c r="E198"/>
      <c r="F198" s="9" t="s">
        <v>1060</v>
      </c>
      <c r="G198" t="s">
        <v>932</v>
      </c>
      <c r="H198" t="s">
        <v>1055</v>
      </c>
      <c r="I198" t="s">
        <v>32</v>
      </c>
      <c r="J198" t="s">
        <v>1061</v>
      </c>
      <c r="K198" t="s">
        <v>25</v>
      </c>
      <c r="L198" t="s">
        <v>1057</v>
      </c>
      <c r="M198" t="s">
        <v>27</v>
      </c>
      <c r="N198" t="s">
        <v>1058</v>
      </c>
      <c r="O198" t="s">
        <v>29</v>
      </c>
      <c r="P198" t="s">
        <v>30</v>
      </c>
      <c r="Q198">
        <f t="shared" si="6"/>
        <v>16</v>
      </c>
      <c r="R198">
        <f t="shared" si="7"/>
        <v>14</v>
      </c>
    </row>
    <row r="199" spans="1:18" x14ac:dyDescent="0.25">
      <c r="A199" s="2">
        <v>197</v>
      </c>
      <c r="B199" s="3" t="s">
        <v>2979</v>
      </c>
      <c r="C199" t="s">
        <v>1062</v>
      </c>
      <c r="D199" t="s">
        <v>21</v>
      </c>
      <c r="E199"/>
      <c r="F199" s="9" t="s">
        <v>1063</v>
      </c>
      <c r="G199" t="s">
        <v>932</v>
      </c>
      <c r="H199" t="s">
        <v>1064</v>
      </c>
      <c r="I199" t="s">
        <v>36</v>
      </c>
      <c r="J199" t="s">
        <v>1065</v>
      </c>
      <c r="K199" t="s">
        <v>25</v>
      </c>
      <c r="L199" t="s">
        <v>1066</v>
      </c>
      <c r="M199" t="s">
        <v>27</v>
      </c>
      <c r="N199" t="s">
        <v>1067</v>
      </c>
      <c r="O199" t="s">
        <v>29</v>
      </c>
      <c r="P199" t="s">
        <v>30</v>
      </c>
      <c r="Q199">
        <f t="shared" si="6"/>
        <v>16</v>
      </c>
      <c r="R199">
        <f t="shared" si="7"/>
        <v>13</v>
      </c>
    </row>
    <row r="200" spans="1:18" x14ac:dyDescent="0.25">
      <c r="A200" s="3">
        <v>198</v>
      </c>
      <c r="B200" s="3" t="s">
        <v>2979</v>
      </c>
      <c r="C200" t="s">
        <v>1068</v>
      </c>
      <c r="D200" t="s">
        <v>21</v>
      </c>
      <c r="E200"/>
      <c r="F200" s="9" t="s">
        <v>1069</v>
      </c>
      <c r="G200" t="s">
        <v>932</v>
      </c>
      <c r="H200" t="s">
        <v>1064</v>
      </c>
      <c r="I200" t="s">
        <v>37</v>
      </c>
      <c r="J200" t="s">
        <v>1070</v>
      </c>
      <c r="K200" t="s">
        <v>25</v>
      </c>
      <c r="L200" t="s">
        <v>1066</v>
      </c>
      <c r="M200" t="s">
        <v>27</v>
      </c>
      <c r="N200" t="s">
        <v>1067</v>
      </c>
      <c r="O200" t="s">
        <v>29</v>
      </c>
      <c r="P200" t="s">
        <v>30</v>
      </c>
      <c r="Q200">
        <f t="shared" si="6"/>
        <v>16</v>
      </c>
      <c r="R200">
        <f t="shared" si="7"/>
        <v>13</v>
      </c>
    </row>
    <row r="201" spans="1:18" x14ac:dyDescent="0.25">
      <c r="A201" s="2">
        <v>199</v>
      </c>
      <c r="B201" s="3" t="s">
        <v>2979</v>
      </c>
      <c r="C201" t="s">
        <v>1071</v>
      </c>
      <c r="D201" t="s">
        <v>21</v>
      </c>
      <c r="E201"/>
      <c r="F201" s="9" t="s">
        <v>1072</v>
      </c>
      <c r="G201" t="s">
        <v>932</v>
      </c>
      <c r="H201" t="s">
        <v>1064</v>
      </c>
      <c r="I201" t="s">
        <v>24</v>
      </c>
      <c r="J201" t="s">
        <v>1073</v>
      </c>
      <c r="K201" t="s">
        <v>25</v>
      </c>
      <c r="L201" t="s">
        <v>1066</v>
      </c>
      <c r="M201" t="s">
        <v>27</v>
      </c>
      <c r="N201" t="s">
        <v>1067</v>
      </c>
      <c r="O201" t="s">
        <v>29</v>
      </c>
      <c r="P201" t="s">
        <v>30</v>
      </c>
      <c r="Q201">
        <f t="shared" si="6"/>
        <v>16</v>
      </c>
      <c r="R201">
        <f t="shared" si="7"/>
        <v>13</v>
      </c>
    </row>
    <row r="202" spans="1:18" x14ac:dyDescent="0.25">
      <c r="A202" s="3">
        <v>200</v>
      </c>
      <c r="B202" s="3" t="s">
        <v>2979</v>
      </c>
      <c r="C202" t="s">
        <v>1074</v>
      </c>
      <c r="D202" t="s">
        <v>21</v>
      </c>
      <c r="E202"/>
      <c r="F202" s="9" t="s">
        <v>1075</v>
      </c>
      <c r="G202" t="s">
        <v>932</v>
      </c>
      <c r="H202" t="s">
        <v>1064</v>
      </c>
      <c r="I202" t="s">
        <v>32</v>
      </c>
      <c r="J202" t="s">
        <v>1076</v>
      </c>
      <c r="K202" t="s">
        <v>25</v>
      </c>
      <c r="L202" t="s">
        <v>1066</v>
      </c>
      <c r="M202" t="s">
        <v>27</v>
      </c>
      <c r="N202" t="s">
        <v>1067</v>
      </c>
      <c r="O202" t="s">
        <v>29</v>
      </c>
      <c r="P202" t="s">
        <v>30</v>
      </c>
      <c r="Q202">
        <f t="shared" si="6"/>
        <v>16</v>
      </c>
      <c r="R202">
        <f t="shared" si="7"/>
        <v>13</v>
      </c>
    </row>
    <row r="203" spans="1:18" x14ac:dyDescent="0.25">
      <c r="A203" s="2">
        <v>201</v>
      </c>
      <c r="B203" s="3" t="s">
        <v>2979</v>
      </c>
      <c r="C203" t="s">
        <v>1077</v>
      </c>
      <c r="D203" t="s">
        <v>21</v>
      </c>
      <c r="E203"/>
      <c r="F203" s="9">
        <v>0</v>
      </c>
      <c r="G203" t="s">
        <v>932</v>
      </c>
      <c r="H203" t="s">
        <v>1078</v>
      </c>
      <c r="I203" t="s">
        <v>37</v>
      </c>
      <c r="J203" t="s">
        <v>1079</v>
      </c>
      <c r="K203" t="s">
        <v>25</v>
      </c>
      <c r="L203" t="s">
        <v>1080</v>
      </c>
      <c r="M203" t="s">
        <v>27</v>
      </c>
      <c r="N203" t="s">
        <v>1081</v>
      </c>
      <c r="O203" t="s">
        <v>29</v>
      </c>
      <c r="P203" t="s">
        <v>30</v>
      </c>
      <c r="Q203">
        <f t="shared" si="6"/>
        <v>16</v>
      </c>
      <c r="R203">
        <f t="shared" si="7"/>
        <v>15</v>
      </c>
    </row>
    <row r="204" spans="1:18" x14ac:dyDescent="0.25">
      <c r="A204" s="3">
        <v>202</v>
      </c>
      <c r="B204" s="3" t="s">
        <v>2979</v>
      </c>
      <c r="C204" t="s">
        <v>1082</v>
      </c>
      <c r="D204" t="s">
        <v>21</v>
      </c>
      <c r="E204"/>
      <c r="F204" s="9" t="s">
        <v>1083</v>
      </c>
      <c r="G204" t="s">
        <v>932</v>
      </c>
      <c r="H204" t="s">
        <v>1078</v>
      </c>
      <c r="I204" t="s">
        <v>24</v>
      </c>
      <c r="J204" t="s">
        <v>1084</v>
      </c>
      <c r="K204" t="s">
        <v>25</v>
      </c>
      <c r="L204" t="s">
        <v>1080</v>
      </c>
      <c r="M204" t="s">
        <v>27</v>
      </c>
      <c r="N204" t="s">
        <v>1081</v>
      </c>
      <c r="O204" t="s">
        <v>29</v>
      </c>
      <c r="P204" t="s">
        <v>30</v>
      </c>
      <c r="Q204">
        <f t="shared" si="6"/>
        <v>16</v>
      </c>
      <c r="R204">
        <f t="shared" si="7"/>
        <v>15</v>
      </c>
    </row>
    <row r="205" spans="1:18" x14ac:dyDescent="0.25">
      <c r="A205" s="2">
        <v>203</v>
      </c>
      <c r="B205" s="3" t="s">
        <v>2979</v>
      </c>
      <c r="C205" t="s">
        <v>1085</v>
      </c>
      <c r="D205" t="s">
        <v>21</v>
      </c>
      <c r="E205"/>
      <c r="F205" s="9" t="s">
        <v>1086</v>
      </c>
      <c r="G205" t="s">
        <v>932</v>
      </c>
      <c r="H205" t="s">
        <v>1087</v>
      </c>
      <c r="I205" t="s">
        <v>32</v>
      </c>
      <c r="J205" t="s">
        <v>1088</v>
      </c>
      <c r="K205" t="s">
        <v>25</v>
      </c>
      <c r="L205" t="s">
        <v>1089</v>
      </c>
      <c r="M205" t="s">
        <v>27</v>
      </c>
      <c r="N205" t="s">
        <v>1090</v>
      </c>
      <c r="O205" t="s">
        <v>29</v>
      </c>
      <c r="P205" t="s">
        <v>30</v>
      </c>
      <c r="Q205">
        <f t="shared" si="6"/>
        <v>16</v>
      </c>
      <c r="R205">
        <f t="shared" si="7"/>
        <v>13</v>
      </c>
    </row>
    <row r="206" spans="1:18" x14ac:dyDescent="0.25">
      <c r="A206" s="3">
        <v>204</v>
      </c>
      <c r="B206" s="3" t="s">
        <v>2979</v>
      </c>
      <c r="C206" t="s">
        <v>1091</v>
      </c>
      <c r="D206" t="s">
        <v>21</v>
      </c>
      <c r="E206"/>
      <c r="F206" s="9">
        <v>0</v>
      </c>
      <c r="G206" t="s">
        <v>932</v>
      </c>
      <c r="H206" t="s">
        <v>1092</v>
      </c>
      <c r="I206" t="s">
        <v>37</v>
      </c>
      <c r="J206" t="s">
        <v>1093</v>
      </c>
      <c r="K206" t="s">
        <v>25</v>
      </c>
      <c r="L206" t="s">
        <v>1094</v>
      </c>
      <c r="M206" t="s">
        <v>27</v>
      </c>
      <c r="N206" t="s">
        <v>1095</v>
      </c>
      <c r="O206" t="s">
        <v>29</v>
      </c>
      <c r="P206" t="s">
        <v>30</v>
      </c>
      <c r="Q206">
        <f t="shared" si="6"/>
        <v>16</v>
      </c>
      <c r="R206">
        <f t="shared" si="7"/>
        <v>15</v>
      </c>
    </row>
    <row r="207" spans="1:18" x14ac:dyDescent="0.25">
      <c r="A207" s="2">
        <v>205</v>
      </c>
      <c r="B207" s="3" t="s">
        <v>2979</v>
      </c>
      <c r="C207" t="s">
        <v>1096</v>
      </c>
      <c r="D207" t="s">
        <v>21</v>
      </c>
      <c r="E207"/>
      <c r="F207" s="9" t="s">
        <v>1097</v>
      </c>
      <c r="G207" t="s">
        <v>932</v>
      </c>
      <c r="H207" t="s">
        <v>1092</v>
      </c>
      <c r="I207" t="s">
        <v>24</v>
      </c>
      <c r="J207" t="s">
        <v>1098</v>
      </c>
      <c r="K207" t="s">
        <v>25</v>
      </c>
      <c r="L207" t="s">
        <v>1094</v>
      </c>
      <c r="M207" t="s">
        <v>27</v>
      </c>
      <c r="N207" t="s">
        <v>1095</v>
      </c>
      <c r="O207" t="s">
        <v>29</v>
      </c>
      <c r="P207" t="s">
        <v>30</v>
      </c>
      <c r="Q207">
        <f t="shared" si="6"/>
        <v>16</v>
      </c>
      <c r="R207">
        <f t="shared" si="7"/>
        <v>15</v>
      </c>
    </row>
    <row r="208" spans="1:18" x14ac:dyDescent="0.25">
      <c r="A208" s="3">
        <v>206</v>
      </c>
      <c r="B208" s="3" t="s">
        <v>2979</v>
      </c>
      <c r="C208" t="s">
        <v>1099</v>
      </c>
      <c r="D208" t="s">
        <v>21</v>
      </c>
      <c r="E208"/>
      <c r="F208" s="9" t="s">
        <v>1100</v>
      </c>
      <c r="G208" t="s">
        <v>932</v>
      </c>
      <c r="H208" t="s">
        <v>1101</v>
      </c>
      <c r="I208" t="s">
        <v>24</v>
      </c>
      <c r="J208" t="s">
        <v>1102</v>
      </c>
      <c r="K208" t="s">
        <v>25</v>
      </c>
      <c r="L208" t="s">
        <v>1103</v>
      </c>
      <c r="M208" t="s">
        <v>27</v>
      </c>
      <c r="N208" t="s">
        <v>1104</v>
      </c>
      <c r="O208" t="s">
        <v>29</v>
      </c>
      <c r="P208" t="s">
        <v>30</v>
      </c>
      <c r="Q208">
        <f t="shared" si="6"/>
        <v>16</v>
      </c>
      <c r="R208">
        <f t="shared" si="7"/>
        <v>15</v>
      </c>
    </row>
    <row r="209" spans="1:18" x14ac:dyDescent="0.25">
      <c r="A209" s="2">
        <v>207</v>
      </c>
      <c r="B209" s="3" t="s">
        <v>2979</v>
      </c>
      <c r="C209" t="s">
        <v>1105</v>
      </c>
      <c r="D209" t="s">
        <v>21</v>
      </c>
      <c r="E209"/>
      <c r="F209" s="9" t="s">
        <v>1106</v>
      </c>
      <c r="G209" t="s">
        <v>932</v>
      </c>
      <c r="H209" t="s">
        <v>1107</v>
      </c>
      <c r="I209" t="s">
        <v>32</v>
      </c>
      <c r="J209" t="s">
        <v>1108</v>
      </c>
      <c r="K209" t="s">
        <v>25</v>
      </c>
      <c r="L209" t="s">
        <v>1109</v>
      </c>
      <c r="M209" t="s">
        <v>27</v>
      </c>
      <c r="N209" t="s">
        <v>1110</v>
      </c>
      <c r="O209" t="s">
        <v>29</v>
      </c>
      <c r="P209" t="s">
        <v>30</v>
      </c>
      <c r="Q209">
        <f t="shared" si="6"/>
        <v>16</v>
      </c>
      <c r="R209">
        <f t="shared" si="7"/>
        <v>15</v>
      </c>
    </row>
    <row r="210" spans="1:18" x14ac:dyDescent="0.25">
      <c r="A210" s="3">
        <v>208</v>
      </c>
      <c r="B210" s="3" t="s">
        <v>2979</v>
      </c>
      <c r="C210" t="s">
        <v>1111</v>
      </c>
      <c r="D210" t="s">
        <v>21</v>
      </c>
      <c r="E210"/>
      <c r="F210" s="9" t="s">
        <v>1112</v>
      </c>
      <c r="G210" t="s">
        <v>932</v>
      </c>
      <c r="H210" t="s">
        <v>1113</v>
      </c>
      <c r="I210" t="s">
        <v>24</v>
      </c>
      <c r="J210" t="s">
        <v>1114</v>
      </c>
      <c r="K210" t="s">
        <v>25</v>
      </c>
      <c r="L210" t="s">
        <v>1115</v>
      </c>
      <c r="M210" t="s">
        <v>27</v>
      </c>
      <c r="N210" t="s">
        <v>1116</v>
      </c>
      <c r="O210" t="s">
        <v>29</v>
      </c>
      <c r="P210" t="s">
        <v>30</v>
      </c>
      <c r="Q210">
        <f t="shared" si="6"/>
        <v>16</v>
      </c>
      <c r="R210">
        <f t="shared" si="7"/>
        <v>13</v>
      </c>
    </row>
    <row r="211" spans="1:18" x14ac:dyDescent="0.25">
      <c r="A211" s="2">
        <v>209</v>
      </c>
      <c r="B211" s="3" t="s">
        <v>2979</v>
      </c>
      <c r="C211" t="s">
        <v>1117</v>
      </c>
      <c r="D211" t="s">
        <v>21</v>
      </c>
      <c r="E211"/>
      <c r="F211" s="9" t="s">
        <v>1118</v>
      </c>
      <c r="G211" t="s">
        <v>932</v>
      </c>
      <c r="H211" t="s">
        <v>1119</v>
      </c>
      <c r="I211" t="s">
        <v>32</v>
      </c>
      <c r="J211" t="s">
        <v>1120</v>
      </c>
      <c r="K211" t="s">
        <v>25</v>
      </c>
      <c r="L211" t="s">
        <v>1121</v>
      </c>
      <c r="M211" t="s">
        <v>27</v>
      </c>
      <c r="N211" t="s">
        <v>1122</v>
      </c>
      <c r="O211" t="s">
        <v>29</v>
      </c>
      <c r="P211" t="s">
        <v>30</v>
      </c>
      <c r="Q211">
        <f t="shared" si="6"/>
        <v>16</v>
      </c>
      <c r="R211">
        <f t="shared" si="7"/>
        <v>15</v>
      </c>
    </row>
    <row r="212" spans="1:18" x14ac:dyDescent="0.25">
      <c r="A212" s="3">
        <v>210</v>
      </c>
      <c r="B212" s="3" t="s">
        <v>2979</v>
      </c>
      <c r="C212" t="s">
        <v>1123</v>
      </c>
      <c r="D212" t="s">
        <v>21</v>
      </c>
      <c r="E212"/>
      <c r="F212" s="9" t="s">
        <v>1124</v>
      </c>
      <c r="G212" t="s">
        <v>1125</v>
      </c>
      <c r="H212" t="s">
        <v>1126</v>
      </c>
      <c r="I212" t="s">
        <v>32</v>
      </c>
      <c r="J212" t="s">
        <v>1127</v>
      </c>
      <c r="K212" t="s">
        <v>25</v>
      </c>
      <c r="L212" t="s">
        <v>1128</v>
      </c>
      <c r="M212" t="s">
        <v>27</v>
      </c>
      <c r="N212" t="s">
        <v>1129</v>
      </c>
      <c r="O212" t="s">
        <v>29</v>
      </c>
      <c r="P212" t="s">
        <v>30</v>
      </c>
      <c r="Q212">
        <f t="shared" si="6"/>
        <v>16</v>
      </c>
      <c r="R212">
        <f t="shared" si="7"/>
        <v>13</v>
      </c>
    </row>
    <row r="213" spans="1:18" x14ac:dyDescent="0.25">
      <c r="A213" s="2">
        <v>211</v>
      </c>
      <c r="B213" s="3" t="s">
        <v>2979</v>
      </c>
      <c r="C213" t="s">
        <v>1130</v>
      </c>
      <c r="D213" t="s">
        <v>21</v>
      </c>
      <c r="E213"/>
      <c r="F213" s="9" t="s">
        <v>1131</v>
      </c>
      <c r="G213" t="s">
        <v>932</v>
      </c>
      <c r="H213" t="s">
        <v>1132</v>
      </c>
      <c r="I213" t="s">
        <v>24</v>
      </c>
      <c r="J213" t="s">
        <v>1133</v>
      </c>
      <c r="K213" t="s">
        <v>25</v>
      </c>
      <c r="L213" t="s">
        <v>1134</v>
      </c>
      <c r="M213" t="s">
        <v>27</v>
      </c>
      <c r="N213" t="s">
        <v>1135</v>
      </c>
      <c r="O213" t="s">
        <v>29</v>
      </c>
      <c r="P213" t="s">
        <v>30</v>
      </c>
      <c r="Q213">
        <f t="shared" si="6"/>
        <v>16</v>
      </c>
      <c r="R213">
        <f t="shared" si="7"/>
        <v>13</v>
      </c>
    </row>
    <row r="214" spans="1:18" x14ac:dyDescent="0.25">
      <c r="A214" s="3">
        <v>212</v>
      </c>
      <c r="B214" s="3" t="s">
        <v>2979</v>
      </c>
      <c r="C214" t="s">
        <v>1136</v>
      </c>
      <c r="D214" t="s">
        <v>21</v>
      </c>
      <c r="E214"/>
      <c r="F214" s="9">
        <v>0</v>
      </c>
      <c r="G214" t="s">
        <v>932</v>
      </c>
      <c r="H214" t="s">
        <v>1137</v>
      </c>
      <c r="I214" t="s">
        <v>36</v>
      </c>
      <c r="J214" t="s">
        <v>1138</v>
      </c>
      <c r="K214" t="s">
        <v>25</v>
      </c>
      <c r="L214" t="s">
        <v>1139</v>
      </c>
      <c r="M214" t="s">
        <v>27</v>
      </c>
      <c r="N214" t="s">
        <v>1140</v>
      </c>
      <c r="O214" t="s">
        <v>29</v>
      </c>
      <c r="P214" t="s">
        <v>30</v>
      </c>
      <c r="Q214">
        <f t="shared" si="6"/>
        <v>16</v>
      </c>
      <c r="R214">
        <f t="shared" si="7"/>
        <v>15</v>
      </c>
    </row>
    <row r="215" spans="1:18" x14ac:dyDescent="0.25">
      <c r="A215" s="2">
        <v>213</v>
      </c>
      <c r="B215" s="3" t="s">
        <v>2979</v>
      </c>
      <c r="C215" t="s">
        <v>1141</v>
      </c>
      <c r="D215" t="s">
        <v>21</v>
      </c>
      <c r="E215"/>
      <c r="F215" s="9">
        <v>0</v>
      </c>
      <c r="G215" t="s">
        <v>932</v>
      </c>
      <c r="H215" t="s">
        <v>1137</v>
      </c>
      <c r="I215" t="s">
        <v>37</v>
      </c>
      <c r="J215" t="s">
        <v>1142</v>
      </c>
      <c r="K215" t="s">
        <v>25</v>
      </c>
      <c r="L215" t="s">
        <v>1139</v>
      </c>
      <c r="M215" t="s">
        <v>27</v>
      </c>
      <c r="N215" t="s">
        <v>1140</v>
      </c>
      <c r="O215" t="s">
        <v>29</v>
      </c>
      <c r="P215" t="s">
        <v>30</v>
      </c>
      <c r="Q215">
        <f t="shared" si="6"/>
        <v>16</v>
      </c>
      <c r="R215">
        <f t="shared" si="7"/>
        <v>15</v>
      </c>
    </row>
    <row r="216" spans="1:18" x14ac:dyDescent="0.25">
      <c r="A216" s="3">
        <v>214</v>
      </c>
      <c r="B216" s="3" t="s">
        <v>2979</v>
      </c>
      <c r="C216" t="s">
        <v>1143</v>
      </c>
      <c r="D216" t="s">
        <v>21</v>
      </c>
      <c r="E216"/>
      <c r="F216" s="9" t="s">
        <v>1144</v>
      </c>
      <c r="G216" t="s">
        <v>932</v>
      </c>
      <c r="H216" t="s">
        <v>1137</v>
      </c>
      <c r="I216" t="s">
        <v>24</v>
      </c>
      <c r="J216" t="s">
        <v>1145</v>
      </c>
      <c r="K216" t="s">
        <v>25</v>
      </c>
      <c r="L216" t="s">
        <v>1139</v>
      </c>
      <c r="M216" t="s">
        <v>27</v>
      </c>
      <c r="N216" t="s">
        <v>1140</v>
      </c>
      <c r="O216" t="s">
        <v>29</v>
      </c>
      <c r="P216" t="s">
        <v>30</v>
      </c>
      <c r="Q216">
        <f t="shared" si="6"/>
        <v>16</v>
      </c>
      <c r="R216">
        <f t="shared" si="7"/>
        <v>15</v>
      </c>
    </row>
    <row r="217" spans="1:18" x14ac:dyDescent="0.25">
      <c r="A217" s="2">
        <v>215</v>
      </c>
      <c r="B217" s="3" t="s">
        <v>2979</v>
      </c>
      <c r="C217" t="s">
        <v>1146</v>
      </c>
      <c r="D217" t="s">
        <v>21</v>
      </c>
      <c r="E217"/>
      <c r="F217" s="9" t="s">
        <v>1147</v>
      </c>
      <c r="G217" t="s">
        <v>932</v>
      </c>
      <c r="H217" t="s">
        <v>1148</v>
      </c>
      <c r="I217" t="s">
        <v>37</v>
      </c>
      <c r="J217" t="s">
        <v>1149</v>
      </c>
      <c r="K217" t="s">
        <v>25</v>
      </c>
      <c r="L217" t="s">
        <v>1150</v>
      </c>
      <c r="M217" t="s">
        <v>27</v>
      </c>
      <c r="N217" t="s">
        <v>1151</v>
      </c>
      <c r="O217" t="s">
        <v>29</v>
      </c>
      <c r="P217" t="s">
        <v>30</v>
      </c>
      <c r="Q217">
        <f t="shared" si="6"/>
        <v>16</v>
      </c>
      <c r="R217">
        <f t="shared" si="7"/>
        <v>15</v>
      </c>
    </row>
    <row r="218" spans="1:18" x14ac:dyDescent="0.25">
      <c r="A218" s="3">
        <v>216</v>
      </c>
      <c r="B218" s="3" t="s">
        <v>2979</v>
      </c>
      <c r="C218" t="s">
        <v>1152</v>
      </c>
      <c r="D218" t="s">
        <v>21</v>
      </c>
      <c r="E218"/>
      <c r="F218" s="9" t="s">
        <v>1153</v>
      </c>
      <c r="G218" t="s">
        <v>932</v>
      </c>
      <c r="H218" t="s">
        <v>1154</v>
      </c>
      <c r="I218" t="s">
        <v>37</v>
      </c>
      <c r="J218" t="s">
        <v>1155</v>
      </c>
      <c r="K218" t="s">
        <v>25</v>
      </c>
      <c r="L218" t="s">
        <v>1156</v>
      </c>
      <c r="M218" t="s">
        <v>27</v>
      </c>
      <c r="N218" t="s">
        <v>1157</v>
      </c>
      <c r="O218" t="s">
        <v>29</v>
      </c>
      <c r="P218" t="s">
        <v>30</v>
      </c>
      <c r="Q218">
        <f t="shared" si="6"/>
        <v>16</v>
      </c>
      <c r="R218">
        <f t="shared" si="7"/>
        <v>15</v>
      </c>
    </row>
    <row r="219" spans="1:18" x14ac:dyDescent="0.25">
      <c r="A219" s="2">
        <v>217</v>
      </c>
      <c r="B219" s="3" t="s">
        <v>2979</v>
      </c>
      <c r="C219" t="s">
        <v>1158</v>
      </c>
      <c r="D219" t="s">
        <v>21</v>
      </c>
      <c r="E219"/>
      <c r="F219" s="9">
        <v>0</v>
      </c>
      <c r="G219" t="s">
        <v>932</v>
      </c>
      <c r="H219" t="s">
        <v>1159</v>
      </c>
      <c r="I219" t="s">
        <v>36</v>
      </c>
      <c r="J219" t="s">
        <v>1160</v>
      </c>
      <c r="K219" t="s">
        <v>25</v>
      </c>
      <c r="L219" t="s">
        <v>1161</v>
      </c>
      <c r="M219" t="s">
        <v>27</v>
      </c>
      <c r="N219" t="s">
        <v>1162</v>
      </c>
      <c r="O219" t="s">
        <v>29</v>
      </c>
      <c r="P219" t="s">
        <v>30</v>
      </c>
      <c r="Q219">
        <f t="shared" si="6"/>
        <v>16</v>
      </c>
      <c r="R219">
        <f t="shared" si="7"/>
        <v>15</v>
      </c>
    </row>
    <row r="220" spans="1:18" x14ac:dyDescent="0.25">
      <c r="A220" s="3">
        <v>218</v>
      </c>
      <c r="B220" s="3" t="s">
        <v>2979</v>
      </c>
      <c r="C220" t="s">
        <v>1163</v>
      </c>
      <c r="D220" t="s">
        <v>21</v>
      </c>
      <c r="E220"/>
      <c r="F220" s="9">
        <v>0</v>
      </c>
      <c r="G220" t="s">
        <v>932</v>
      </c>
      <c r="H220" t="s">
        <v>1159</v>
      </c>
      <c r="I220" t="s">
        <v>37</v>
      </c>
      <c r="J220" t="s">
        <v>1164</v>
      </c>
      <c r="K220" t="s">
        <v>25</v>
      </c>
      <c r="L220" t="s">
        <v>1161</v>
      </c>
      <c r="M220" t="s">
        <v>27</v>
      </c>
      <c r="N220" t="s">
        <v>1162</v>
      </c>
      <c r="O220" t="s">
        <v>29</v>
      </c>
      <c r="P220" t="s">
        <v>30</v>
      </c>
      <c r="Q220">
        <f t="shared" si="6"/>
        <v>16</v>
      </c>
      <c r="R220">
        <f t="shared" si="7"/>
        <v>15</v>
      </c>
    </row>
    <row r="221" spans="1:18" x14ac:dyDescent="0.25">
      <c r="A221" s="2">
        <v>219</v>
      </c>
      <c r="B221" s="3" t="s">
        <v>2979</v>
      </c>
      <c r="C221" t="s">
        <v>1165</v>
      </c>
      <c r="D221" t="s">
        <v>21</v>
      </c>
      <c r="E221"/>
      <c r="F221" s="9" t="s">
        <v>1166</v>
      </c>
      <c r="G221" t="s">
        <v>932</v>
      </c>
      <c r="H221" t="s">
        <v>1159</v>
      </c>
      <c r="I221" t="s">
        <v>24</v>
      </c>
      <c r="J221" t="s">
        <v>1167</v>
      </c>
      <c r="K221" t="s">
        <v>25</v>
      </c>
      <c r="L221" t="s">
        <v>1161</v>
      </c>
      <c r="M221" t="s">
        <v>27</v>
      </c>
      <c r="N221" t="s">
        <v>1162</v>
      </c>
      <c r="O221" t="s">
        <v>29</v>
      </c>
      <c r="P221" t="s">
        <v>30</v>
      </c>
      <c r="Q221">
        <f t="shared" si="6"/>
        <v>16</v>
      </c>
      <c r="R221">
        <f t="shared" si="7"/>
        <v>15</v>
      </c>
    </row>
    <row r="222" spans="1:18" x14ac:dyDescent="0.25">
      <c r="A222" s="3">
        <v>220</v>
      </c>
      <c r="B222" s="3" t="s">
        <v>2979</v>
      </c>
      <c r="C222" t="s">
        <v>1168</v>
      </c>
      <c r="D222" t="s">
        <v>21</v>
      </c>
      <c r="E222"/>
      <c r="F222" s="9" t="s">
        <v>1169</v>
      </c>
      <c r="G222" t="s">
        <v>932</v>
      </c>
      <c r="H222" t="s">
        <v>1170</v>
      </c>
      <c r="I222" t="s">
        <v>32</v>
      </c>
      <c r="J222" t="s">
        <v>1171</v>
      </c>
      <c r="K222" t="s">
        <v>25</v>
      </c>
      <c r="L222" t="s">
        <v>1172</v>
      </c>
      <c r="M222" t="s">
        <v>27</v>
      </c>
      <c r="N222" t="s">
        <v>1173</v>
      </c>
      <c r="O222" t="s">
        <v>29</v>
      </c>
      <c r="P222" t="s">
        <v>30</v>
      </c>
      <c r="Q222">
        <f t="shared" si="6"/>
        <v>16</v>
      </c>
      <c r="R222">
        <f t="shared" si="7"/>
        <v>15</v>
      </c>
    </row>
    <row r="223" spans="1:18" x14ac:dyDescent="0.25">
      <c r="A223" s="2">
        <v>221</v>
      </c>
      <c r="B223" s="3" t="s">
        <v>2979</v>
      </c>
      <c r="C223" t="s">
        <v>1174</v>
      </c>
      <c r="D223" t="s">
        <v>21</v>
      </c>
      <c r="E223"/>
      <c r="F223" s="9" t="s">
        <v>1175</v>
      </c>
      <c r="G223" t="s">
        <v>932</v>
      </c>
      <c r="H223" t="s">
        <v>1176</v>
      </c>
      <c r="I223" t="s">
        <v>24</v>
      </c>
      <c r="J223" t="s">
        <v>1177</v>
      </c>
      <c r="K223" t="s">
        <v>25</v>
      </c>
      <c r="L223" t="s">
        <v>1178</v>
      </c>
      <c r="M223" t="s">
        <v>27</v>
      </c>
      <c r="N223" t="s">
        <v>1179</v>
      </c>
      <c r="O223" t="s">
        <v>29</v>
      </c>
      <c r="P223" t="s">
        <v>30</v>
      </c>
      <c r="Q223">
        <f t="shared" si="6"/>
        <v>16</v>
      </c>
      <c r="R223">
        <f t="shared" si="7"/>
        <v>15</v>
      </c>
    </row>
    <row r="224" spans="1:18" x14ac:dyDescent="0.25">
      <c r="A224" s="3">
        <v>222</v>
      </c>
      <c r="B224" s="3" t="s">
        <v>2979</v>
      </c>
      <c r="C224" t="s">
        <v>1180</v>
      </c>
      <c r="D224" t="s">
        <v>21</v>
      </c>
      <c r="E224"/>
      <c r="F224" s="9" t="s">
        <v>1181</v>
      </c>
      <c r="G224" t="s">
        <v>932</v>
      </c>
      <c r="H224" t="s">
        <v>1176</v>
      </c>
      <c r="I224" t="s">
        <v>32</v>
      </c>
      <c r="J224" t="s">
        <v>1182</v>
      </c>
      <c r="K224" t="s">
        <v>25</v>
      </c>
      <c r="L224" t="s">
        <v>1178</v>
      </c>
      <c r="M224" t="s">
        <v>27</v>
      </c>
      <c r="N224" t="s">
        <v>1179</v>
      </c>
      <c r="O224" t="s">
        <v>29</v>
      </c>
      <c r="P224" t="s">
        <v>30</v>
      </c>
      <c r="Q224">
        <f t="shared" si="6"/>
        <v>16</v>
      </c>
      <c r="R224">
        <f t="shared" si="7"/>
        <v>15</v>
      </c>
    </row>
    <row r="225" spans="1:18" x14ac:dyDescent="0.25">
      <c r="A225" s="2">
        <v>223</v>
      </c>
      <c r="B225" s="3" t="s">
        <v>2979</v>
      </c>
      <c r="C225" t="s">
        <v>1183</v>
      </c>
      <c r="D225" t="s">
        <v>21</v>
      </c>
      <c r="E225"/>
      <c r="F225" s="9" t="s">
        <v>1184</v>
      </c>
      <c r="G225" t="s">
        <v>1185</v>
      </c>
      <c r="H225" t="s">
        <v>32</v>
      </c>
      <c r="I225" t="s">
        <v>32</v>
      </c>
      <c r="J225" t="s">
        <v>1186</v>
      </c>
      <c r="K225" t="s">
        <v>25</v>
      </c>
      <c r="L225" t="s">
        <v>1187</v>
      </c>
      <c r="M225" t="s">
        <v>27</v>
      </c>
      <c r="N225" t="s">
        <v>1188</v>
      </c>
      <c r="O225" t="s">
        <v>29</v>
      </c>
      <c r="P225" t="s">
        <v>30</v>
      </c>
      <c r="Q225">
        <f t="shared" si="6"/>
        <v>16</v>
      </c>
      <c r="R225">
        <f t="shared" si="7"/>
        <v>14</v>
      </c>
    </row>
    <row r="226" spans="1:18" x14ac:dyDescent="0.25">
      <c r="A226" s="3">
        <v>224</v>
      </c>
      <c r="B226" s="3" t="s">
        <v>2979</v>
      </c>
      <c r="C226" t="s">
        <v>1189</v>
      </c>
      <c r="D226" t="s">
        <v>21</v>
      </c>
      <c r="E226"/>
      <c r="F226" s="9" t="s">
        <v>1190</v>
      </c>
      <c r="G226" t="s">
        <v>932</v>
      </c>
      <c r="H226" t="s">
        <v>1191</v>
      </c>
      <c r="I226" t="s">
        <v>24</v>
      </c>
      <c r="J226" t="s">
        <v>1192</v>
      </c>
      <c r="K226" t="s">
        <v>25</v>
      </c>
      <c r="L226" t="s">
        <v>1193</v>
      </c>
      <c r="M226" t="s">
        <v>27</v>
      </c>
      <c r="N226" t="s">
        <v>1194</v>
      </c>
      <c r="O226" t="s">
        <v>29</v>
      </c>
      <c r="P226" t="s">
        <v>30</v>
      </c>
      <c r="Q226">
        <f t="shared" si="6"/>
        <v>16</v>
      </c>
      <c r="R226">
        <f t="shared" si="7"/>
        <v>15</v>
      </c>
    </row>
    <row r="227" spans="1:18" x14ac:dyDescent="0.25">
      <c r="A227" s="2">
        <v>225</v>
      </c>
      <c r="B227" s="3" t="s">
        <v>2979</v>
      </c>
      <c r="C227" t="s">
        <v>1195</v>
      </c>
      <c r="D227" t="s">
        <v>21</v>
      </c>
      <c r="E227"/>
      <c r="F227" s="9" t="s">
        <v>1196</v>
      </c>
      <c r="G227" t="s">
        <v>932</v>
      </c>
      <c r="H227" t="s">
        <v>1191</v>
      </c>
      <c r="I227" t="s">
        <v>32</v>
      </c>
      <c r="J227" t="s">
        <v>1197</v>
      </c>
      <c r="K227" t="s">
        <v>25</v>
      </c>
      <c r="L227" t="s">
        <v>1198</v>
      </c>
      <c r="M227" t="s">
        <v>27</v>
      </c>
      <c r="N227" t="s">
        <v>1194</v>
      </c>
      <c r="O227" t="s">
        <v>29</v>
      </c>
      <c r="P227" t="s">
        <v>30</v>
      </c>
      <c r="Q227">
        <f t="shared" si="6"/>
        <v>16</v>
      </c>
      <c r="R227">
        <f t="shared" si="7"/>
        <v>15</v>
      </c>
    </row>
    <row r="228" spans="1:18" x14ac:dyDescent="0.25">
      <c r="A228" s="3">
        <v>226</v>
      </c>
      <c r="B228" s="3" t="s">
        <v>2979</v>
      </c>
      <c r="C228" t="s">
        <v>1199</v>
      </c>
      <c r="D228" t="s">
        <v>21</v>
      </c>
      <c r="E228"/>
      <c r="F228" s="9" t="s">
        <v>1200</v>
      </c>
      <c r="G228" t="s">
        <v>932</v>
      </c>
      <c r="H228" t="s">
        <v>1201</v>
      </c>
      <c r="I228" t="s">
        <v>24</v>
      </c>
      <c r="J228" t="s">
        <v>1202</v>
      </c>
      <c r="K228" t="s">
        <v>25</v>
      </c>
      <c r="L228" t="s">
        <v>1203</v>
      </c>
      <c r="M228" t="s">
        <v>27</v>
      </c>
      <c r="N228" t="s">
        <v>1204</v>
      </c>
      <c r="O228" t="s">
        <v>29</v>
      </c>
      <c r="P228" t="s">
        <v>30</v>
      </c>
      <c r="Q228">
        <f t="shared" si="6"/>
        <v>16</v>
      </c>
      <c r="R228">
        <f t="shared" si="7"/>
        <v>15</v>
      </c>
    </row>
    <row r="229" spans="1:18" x14ac:dyDescent="0.25">
      <c r="A229" s="2">
        <v>227</v>
      </c>
      <c r="B229" s="3" t="s">
        <v>2979</v>
      </c>
      <c r="C229" t="s">
        <v>1205</v>
      </c>
      <c r="D229" t="s">
        <v>21</v>
      </c>
      <c r="E229"/>
      <c r="F229" s="9">
        <v>0</v>
      </c>
      <c r="G229" t="s">
        <v>932</v>
      </c>
      <c r="H229" t="s">
        <v>1206</v>
      </c>
      <c r="I229" t="s">
        <v>37</v>
      </c>
      <c r="J229" t="s">
        <v>1207</v>
      </c>
      <c r="K229" t="s">
        <v>25</v>
      </c>
      <c r="L229" t="s">
        <v>1208</v>
      </c>
      <c r="M229" t="s">
        <v>27</v>
      </c>
      <c r="N229" t="s">
        <v>1209</v>
      </c>
      <c r="O229" t="s">
        <v>29</v>
      </c>
      <c r="P229" t="s">
        <v>30</v>
      </c>
      <c r="Q229">
        <f t="shared" si="6"/>
        <v>16</v>
      </c>
      <c r="R229">
        <f t="shared" si="7"/>
        <v>7</v>
      </c>
    </row>
    <row r="230" spans="1:18" x14ac:dyDescent="0.25">
      <c r="A230" s="3">
        <v>228</v>
      </c>
      <c r="B230" s="3" t="s">
        <v>2979</v>
      </c>
      <c r="C230" t="s">
        <v>1210</v>
      </c>
      <c r="D230" t="s">
        <v>21</v>
      </c>
      <c r="E230"/>
      <c r="F230" s="9" t="s">
        <v>1211</v>
      </c>
      <c r="G230" t="s">
        <v>932</v>
      </c>
      <c r="H230" t="s">
        <v>1212</v>
      </c>
      <c r="I230" t="s">
        <v>24</v>
      </c>
      <c r="J230" t="s">
        <v>1213</v>
      </c>
      <c r="K230" t="s">
        <v>25</v>
      </c>
      <c r="L230" t="s">
        <v>1214</v>
      </c>
      <c r="M230" t="s">
        <v>27</v>
      </c>
      <c r="N230" t="s">
        <v>1215</v>
      </c>
      <c r="O230" t="s">
        <v>29</v>
      </c>
      <c r="P230" t="s">
        <v>30</v>
      </c>
      <c r="Q230">
        <f t="shared" si="6"/>
        <v>16</v>
      </c>
      <c r="R230">
        <f t="shared" si="7"/>
        <v>15</v>
      </c>
    </row>
    <row r="231" spans="1:18" x14ac:dyDescent="0.25">
      <c r="A231" s="2">
        <v>229</v>
      </c>
      <c r="B231" s="3" t="s">
        <v>2979</v>
      </c>
      <c r="C231" t="s">
        <v>1216</v>
      </c>
      <c r="D231" t="s">
        <v>21</v>
      </c>
      <c r="E231"/>
      <c r="F231" s="9" t="s">
        <v>1217</v>
      </c>
      <c r="G231" t="s">
        <v>932</v>
      </c>
      <c r="H231" t="s">
        <v>1212</v>
      </c>
      <c r="I231" t="s">
        <v>32</v>
      </c>
      <c r="J231" t="s">
        <v>1218</v>
      </c>
      <c r="K231" t="s">
        <v>25</v>
      </c>
      <c r="L231" t="s">
        <v>1214</v>
      </c>
      <c r="M231" t="s">
        <v>27</v>
      </c>
      <c r="N231" t="s">
        <v>1215</v>
      </c>
      <c r="O231" t="s">
        <v>29</v>
      </c>
      <c r="P231" t="s">
        <v>30</v>
      </c>
      <c r="Q231">
        <f t="shared" si="6"/>
        <v>16</v>
      </c>
      <c r="R231">
        <f t="shared" si="7"/>
        <v>15</v>
      </c>
    </row>
    <row r="232" spans="1:18" x14ac:dyDescent="0.25">
      <c r="A232" s="3">
        <v>230</v>
      </c>
      <c r="B232" s="3" t="s">
        <v>2979</v>
      </c>
      <c r="C232" t="s">
        <v>1219</v>
      </c>
      <c r="D232" t="s">
        <v>21</v>
      </c>
      <c r="E232"/>
      <c r="F232" s="9">
        <v>0</v>
      </c>
      <c r="G232" t="s">
        <v>932</v>
      </c>
      <c r="H232" t="s">
        <v>1220</v>
      </c>
      <c r="I232" t="s">
        <v>36</v>
      </c>
      <c r="J232" t="s">
        <v>1221</v>
      </c>
      <c r="K232" t="s">
        <v>25</v>
      </c>
      <c r="L232" t="s">
        <v>1222</v>
      </c>
      <c r="M232" t="s">
        <v>27</v>
      </c>
      <c r="N232" t="s">
        <v>1223</v>
      </c>
      <c r="O232" t="s">
        <v>29</v>
      </c>
      <c r="P232" t="s">
        <v>30</v>
      </c>
      <c r="Q232">
        <f t="shared" si="6"/>
        <v>16</v>
      </c>
      <c r="R232">
        <f t="shared" si="7"/>
        <v>15</v>
      </c>
    </row>
    <row r="233" spans="1:18" x14ac:dyDescent="0.25">
      <c r="A233" s="2">
        <v>231</v>
      </c>
      <c r="B233" s="3" t="s">
        <v>2979</v>
      </c>
      <c r="C233" t="s">
        <v>1224</v>
      </c>
      <c r="D233" t="s">
        <v>21</v>
      </c>
      <c r="E233"/>
      <c r="F233" s="9">
        <v>0</v>
      </c>
      <c r="G233" t="s">
        <v>932</v>
      </c>
      <c r="H233" t="s">
        <v>1220</v>
      </c>
      <c r="I233" t="s">
        <v>37</v>
      </c>
      <c r="J233" t="s">
        <v>1225</v>
      </c>
      <c r="K233" t="s">
        <v>25</v>
      </c>
      <c r="L233" t="s">
        <v>1222</v>
      </c>
      <c r="M233" t="s">
        <v>27</v>
      </c>
      <c r="N233" t="s">
        <v>1223</v>
      </c>
      <c r="O233" t="s">
        <v>29</v>
      </c>
      <c r="P233" t="s">
        <v>30</v>
      </c>
      <c r="Q233">
        <f t="shared" si="6"/>
        <v>16</v>
      </c>
      <c r="R233">
        <f t="shared" si="7"/>
        <v>15</v>
      </c>
    </row>
    <row r="234" spans="1:18" x14ac:dyDescent="0.25">
      <c r="A234" s="3">
        <v>232</v>
      </c>
      <c r="B234" s="3" t="s">
        <v>2979</v>
      </c>
      <c r="C234" t="s">
        <v>1226</v>
      </c>
      <c r="D234" t="s">
        <v>21</v>
      </c>
      <c r="E234"/>
      <c r="F234" s="9" t="s">
        <v>1227</v>
      </c>
      <c r="G234" t="s">
        <v>932</v>
      </c>
      <c r="H234" t="s">
        <v>1220</v>
      </c>
      <c r="I234" t="s">
        <v>24</v>
      </c>
      <c r="J234" t="s">
        <v>1228</v>
      </c>
      <c r="K234" t="s">
        <v>25</v>
      </c>
      <c r="L234" t="s">
        <v>1222</v>
      </c>
      <c r="M234" t="s">
        <v>27</v>
      </c>
      <c r="N234" t="s">
        <v>1223</v>
      </c>
      <c r="O234" t="s">
        <v>29</v>
      </c>
      <c r="P234" t="s">
        <v>30</v>
      </c>
      <c r="Q234">
        <f t="shared" si="6"/>
        <v>16</v>
      </c>
      <c r="R234">
        <f t="shared" si="7"/>
        <v>15</v>
      </c>
    </row>
    <row r="235" spans="1:18" x14ac:dyDescent="0.25">
      <c r="A235" s="2">
        <v>233</v>
      </c>
      <c r="B235" s="3" t="s">
        <v>2979</v>
      </c>
      <c r="C235" t="s">
        <v>1229</v>
      </c>
      <c r="D235" t="s">
        <v>21</v>
      </c>
      <c r="E235"/>
      <c r="F235" s="9" t="s">
        <v>1230</v>
      </c>
      <c r="G235" t="s">
        <v>932</v>
      </c>
      <c r="H235" t="s">
        <v>1220</v>
      </c>
      <c r="I235" t="s">
        <v>32</v>
      </c>
      <c r="J235" t="s">
        <v>1231</v>
      </c>
      <c r="K235" t="s">
        <v>25</v>
      </c>
      <c r="L235" t="s">
        <v>1222</v>
      </c>
      <c r="M235" t="s">
        <v>27</v>
      </c>
      <c r="N235" t="s">
        <v>1223</v>
      </c>
      <c r="O235" t="s">
        <v>29</v>
      </c>
      <c r="P235" t="s">
        <v>30</v>
      </c>
      <c r="Q235">
        <f t="shared" si="6"/>
        <v>16</v>
      </c>
      <c r="R235">
        <f t="shared" si="7"/>
        <v>15</v>
      </c>
    </row>
    <row r="236" spans="1:18" x14ac:dyDescent="0.25">
      <c r="A236" s="3">
        <v>234</v>
      </c>
      <c r="B236" s="3" t="s">
        <v>2979</v>
      </c>
      <c r="C236" t="s">
        <v>1232</v>
      </c>
      <c r="D236" t="s">
        <v>21</v>
      </c>
      <c r="E236"/>
      <c r="F236" s="9" t="s">
        <v>1233</v>
      </c>
      <c r="G236" t="s">
        <v>932</v>
      </c>
      <c r="H236" t="s">
        <v>1234</v>
      </c>
      <c r="I236" t="s">
        <v>36</v>
      </c>
      <c r="J236" t="s">
        <v>1235</v>
      </c>
      <c r="K236" t="s">
        <v>25</v>
      </c>
      <c r="L236" t="s">
        <v>1236</v>
      </c>
      <c r="M236" t="s">
        <v>27</v>
      </c>
      <c r="N236" t="s">
        <v>1237</v>
      </c>
      <c r="O236" t="s">
        <v>29</v>
      </c>
      <c r="P236" t="s">
        <v>30</v>
      </c>
      <c r="Q236">
        <f t="shared" si="6"/>
        <v>16</v>
      </c>
      <c r="R236">
        <f t="shared" si="7"/>
        <v>13</v>
      </c>
    </row>
    <row r="237" spans="1:18" x14ac:dyDescent="0.25">
      <c r="A237" s="2">
        <v>235</v>
      </c>
      <c r="B237" s="3" t="s">
        <v>2979</v>
      </c>
      <c r="C237" t="s">
        <v>1238</v>
      </c>
      <c r="D237" t="s">
        <v>21</v>
      </c>
      <c r="E237"/>
      <c r="F237" s="9">
        <v>0</v>
      </c>
      <c r="G237" t="s">
        <v>932</v>
      </c>
      <c r="H237" t="s">
        <v>1234</v>
      </c>
      <c r="I237" t="s">
        <v>37</v>
      </c>
      <c r="J237" t="s">
        <v>1239</v>
      </c>
      <c r="K237" t="s">
        <v>25</v>
      </c>
      <c r="L237" t="s">
        <v>1236</v>
      </c>
      <c r="M237" t="s">
        <v>27</v>
      </c>
      <c r="N237" t="s">
        <v>1237</v>
      </c>
      <c r="O237" t="s">
        <v>29</v>
      </c>
      <c r="P237" t="s">
        <v>30</v>
      </c>
      <c r="Q237">
        <f t="shared" si="6"/>
        <v>16</v>
      </c>
      <c r="R237">
        <f t="shared" si="7"/>
        <v>13</v>
      </c>
    </row>
    <row r="238" spans="1:18" x14ac:dyDescent="0.25">
      <c r="A238" s="3">
        <v>236</v>
      </c>
      <c r="B238" s="3" t="s">
        <v>2979</v>
      </c>
      <c r="C238" t="s">
        <v>1240</v>
      </c>
      <c r="D238" t="s">
        <v>21</v>
      </c>
      <c r="E238"/>
      <c r="F238" s="9" t="s">
        <v>1241</v>
      </c>
      <c r="G238" t="s">
        <v>932</v>
      </c>
      <c r="H238" t="s">
        <v>1234</v>
      </c>
      <c r="I238" t="s">
        <v>24</v>
      </c>
      <c r="J238" t="s">
        <v>1242</v>
      </c>
      <c r="K238" t="s">
        <v>25</v>
      </c>
      <c r="L238" t="s">
        <v>1236</v>
      </c>
      <c r="M238" t="s">
        <v>27</v>
      </c>
      <c r="N238" t="s">
        <v>1237</v>
      </c>
      <c r="O238" t="s">
        <v>29</v>
      </c>
      <c r="P238" t="s">
        <v>30</v>
      </c>
      <c r="Q238">
        <f t="shared" si="6"/>
        <v>16</v>
      </c>
      <c r="R238">
        <f t="shared" si="7"/>
        <v>13</v>
      </c>
    </row>
    <row r="239" spans="1:18" x14ac:dyDescent="0.25">
      <c r="A239" s="2">
        <v>237</v>
      </c>
      <c r="B239" s="3" t="s">
        <v>2979</v>
      </c>
      <c r="C239" t="s">
        <v>1243</v>
      </c>
      <c r="D239" t="s">
        <v>21</v>
      </c>
      <c r="E239"/>
      <c r="F239" s="9" t="s">
        <v>1244</v>
      </c>
      <c r="G239" t="s">
        <v>932</v>
      </c>
      <c r="H239" t="s">
        <v>1234</v>
      </c>
      <c r="I239" t="s">
        <v>32</v>
      </c>
      <c r="J239" t="s">
        <v>1245</v>
      </c>
      <c r="K239" t="s">
        <v>25</v>
      </c>
      <c r="L239" t="s">
        <v>1246</v>
      </c>
      <c r="M239" t="s">
        <v>27</v>
      </c>
      <c r="N239" t="s">
        <v>1247</v>
      </c>
      <c r="O239" t="s">
        <v>29</v>
      </c>
      <c r="P239" t="s">
        <v>30</v>
      </c>
      <c r="Q239">
        <f t="shared" si="6"/>
        <v>16</v>
      </c>
      <c r="R239">
        <f t="shared" si="7"/>
        <v>13</v>
      </c>
    </row>
    <row r="240" spans="1:18" x14ac:dyDescent="0.25">
      <c r="A240" s="3">
        <v>238</v>
      </c>
      <c r="B240" s="3" t="s">
        <v>2979</v>
      </c>
      <c r="C240" t="s">
        <v>1248</v>
      </c>
      <c r="D240" t="s">
        <v>21</v>
      </c>
      <c r="E240"/>
      <c r="F240" s="9" t="s">
        <v>1249</v>
      </c>
      <c r="G240" t="s">
        <v>932</v>
      </c>
      <c r="H240" t="s">
        <v>1250</v>
      </c>
      <c r="I240" t="s">
        <v>32</v>
      </c>
      <c r="J240" t="s">
        <v>1251</v>
      </c>
      <c r="K240" t="s">
        <v>25</v>
      </c>
      <c r="L240" t="s">
        <v>1252</v>
      </c>
      <c r="M240" t="s">
        <v>27</v>
      </c>
      <c r="N240" t="s">
        <v>1253</v>
      </c>
      <c r="O240" t="s">
        <v>29</v>
      </c>
      <c r="P240" t="s">
        <v>30</v>
      </c>
      <c r="Q240">
        <f t="shared" si="6"/>
        <v>16</v>
      </c>
      <c r="R240">
        <f t="shared" si="7"/>
        <v>13</v>
      </c>
    </row>
    <row r="241" spans="1:18" x14ac:dyDescent="0.25">
      <c r="A241" s="2">
        <v>239</v>
      </c>
      <c r="B241" s="3" t="s">
        <v>2979</v>
      </c>
      <c r="C241" t="s">
        <v>1254</v>
      </c>
      <c r="D241" t="s">
        <v>21</v>
      </c>
      <c r="E241"/>
      <c r="F241" s="9" t="s">
        <v>1255</v>
      </c>
      <c r="G241" t="s">
        <v>932</v>
      </c>
      <c r="H241" t="s">
        <v>1256</v>
      </c>
      <c r="I241" t="s">
        <v>24</v>
      </c>
      <c r="J241" t="s">
        <v>1257</v>
      </c>
      <c r="K241" t="s">
        <v>25</v>
      </c>
      <c r="L241" t="s">
        <v>1258</v>
      </c>
      <c r="M241" t="s">
        <v>27</v>
      </c>
      <c r="N241" t="s">
        <v>1259</v>
      </c>
      <c r="O241" t="s">
        <v>29</v>
      </c>
      <c r="P241" t="s">
        <v>30</v>
      </c>
      <c r="Q241">
        <f t="shared" si="6"/>
        <v>16</v>
      </c>
      <c r="R241">
        <f t="shared" si="7"/>
        <v>13</v>
      </c>
    </row>
    <row r="242" spans="1:18" x14ac:dyDescent="0.25">
      <c r="A242" s="3">
        <v>240</v>
      </c>
      <c r="B242" s="3" t="s">
        <v>2979</v>
      </c>
      <c r="C242" t="s">
        <v>1260</v>
      </c>
      <c r="D242" t="s">
        <v>21</v>
      </c>
      <c r="E242"/>
      <c r="F242" s="9">
        <v>0</v>
      </c>
      <c r="G242" t="s">
        <v>932</v>
      </c>
      <c r="H242" t="s">
        <v>1261</v>
      </c>
      <c r="I242" t="s">
        <v>24</v>
      </c>
      <c r="J242" t="s">
        <v>1262</v>
      </c>
      <c r="K242" t="s">
        <v>25</v>
      </c>
      <c r="L242" t="s">
        <v>1263</v>
      </c>
      <c r="M242" t="s">
        <v>27</v>
      </c>
      <c r="N242" t="s">
        <v>1264</v>
      </c>
      <c r="O242" t="s">
        <v>29</v>
      </c>
      <c r="P242" t="s">
        <v>30</v>
      </c>
      <c r="Q242">
        <f t="shared" si="6"/>
        <v>16</v>
      </c>
      <c r="R242">
        <f t="shared" si="7"/>
        <v>15</v>
      </c>
    </row>
    <row r="243" spans="1:18" x14ac:dyDescent="0.25">
      <c r="A243" s="2">
        <v>241</v>
      </c>
      <c r="B243" s="3" t="s">
        <v>2979</v>
      </c>
      <c r="C243" t="s">
        <v>1265</v>
      </c>
      <c r="D243" t="s">
        <v>21</v>
      </c>
      <c r="E243"/>
      <c r="F243" s="9">
        <v>0</v>
      </c>
      <c r="G243" t="s">
        <v>932</v>
      </c>
      <c r="H243" t="s">
        <v>1266</v>
      </c>
      <c r="I243" t="s">
        <v>24</v>
      </c>
      <c r="J243" t="s">
        <v>1267</v>
      </c>
      <c r="K243" t="s">
        <v>25</v>
      </c>
      <c r="L243" t="s">
        <v>1268</v>
      </c>
      <c r="M243" t="s">
        <v>27</v>
      </c>
      <c r="N243" t="s">
        <v>1269</v>
      </c>
      <c r="O243" t="s">
        <v>29</v>
      </c>
      <c r="P243" t="s">
        <v>30</v>
      </c>
      <c r="Q243">
        <f t="shared" si="6"/>
        <v>16</v>
      </c>
      <c r="R243">
        <f t="shared" si="7"/>
        <v>15</v>
      </c>
    </row>
    <row r="244" spans="1:18" x14ac:dyDescent="0.25">
      <c r="A244" s="3">
        <v>242</v>
      </c>
      <c r="B244" s="3" t="s">
        <v>2979</v>
      </c>
      <c r="C244" t="s">
        <v>1270</v>
      </c>
      <c r="D244" t="s">
        <v>21</v>
      </c>
      <c r="E244"/>
      <c r="F244" s="9" t="s">
        <v>1271</v>
      </c>
      <c r="G244" t="s">
        <v>932</v>
      </c>
      <c r="H244" t="s">
        <v>1266</v>
      </c>
      <c r="I244" t="s">
        <v>32</v>
      </c>
      <c r="J244" t="s">
        <v>1272</v>
      </c>
      <c r="K244" t="s">
        <v>25</v>
      </c>
      <c r="L244" t="s">
        <v>1268</v>
      </c>
      <c r="M244" t="s">
        <v>27</v>
      </c>
      <c r="N244" t="s">
        <v>1269</v>
      </c>
      <c r="O244" t="s">
        <v>29</v>
      </c>
      <c r="P244" t="s">
        <v>30</v>
      </c>
      <c r="Q244">
        <f t="shared" si="6"/>
        <v>16</v>
      </c>
      <c r="R244">
        <f t="shared" si="7"/>
        <v>15</v>
      </c>
    </row>
    <row r="245" spans="1:18" x14ac:dyDescent="0.25">
      <c r="A245" s="2">
        <v>243</v>
      </c>
      <c r="B245" s="3" t="s">
        <v>2979</v>
      </c>
      <c r="C245" t="s">
        <v>1273</v>
      </c>
      <c r="D245" t="s">
        <v>21</v>
      </c>
      <c r="E245"/>
      <c r="F245" s="9">
        <v>0</v>
      </c>
      <c r="G245" t="s">
        <v>932</v>
      </c>
      <c r="H245" t="s">
        <v>1274</v>
      </c>
      <c r="I245" t="s">
        <v>37</v>
      </c>
      <c r="J245" t="s">
        <v>1275</v>
      </c>
      <c r="K245" t="s">
        <v>25</v>
      </c>
      <c r="L245" t="s">
        <v>1276</v>
      </c>
      <c r="M245" t="s">
        <v>27</v>
      </c>
      <c r="N245" t="s">
        <v>1277</v>
      </c>
      <c r="O245" t="s">
        <v>29</v>
      </c>
      <c r="P245" t="s">
        <v>30</v>
      </c>
      <c r="Q245">
        <f t="shared" si="6"/>
        <v>16</v>
      </c>
      <c r="R245">
        <f t="shared" si="7"/>
        <v>13</v>
      </c>
    </row>
    <row r="246" spans="1:18" x14ac:dyDescent="0.25">
      <c r="A246" s="3">
        <v>244</v>
      </c>
      <c r="B246" s="3" t="s">
        <v>2979</v>
      </c>
      <c r="C246" t="s">
        <v>1278</v>
      </c>
      <c r="D246" t="s">
        <v>21</v>
      </c>
      <c r="E246"/>
      <c r="F246" s="9" t="s">
        <v>1279</v>
      </c>
      <c r="G246" t="s">
        <v>932</v>
      </c>
      <c r="H246" t="s">
        <v>1274</v>
      </c>
      <c r="I246" t="s">
        <v>24</v>
      </c>
      <c r="J246" t="s">
        <v>1280</v>
      </c>
      <c r="K246" t="s">
        <v>25</v>
      </c>
      <c r="L246" t="s">
        <v>1276</v>
      </c>
      <c r="M246" t="s">
        <v>27</v>
      </c>
      <c r="N246" t="s">
        <v>1277</v>
      </c>
      <c r="O246" t="s">
        <v>29</v>
      </c>
      <c r="P246" t="s">
        <v>30</v>
      </c>
      <c r="Q246">
        <f t="shared" si="6"/>
        <v>16</v>
      </c>
      <c r="R246">
        <f t="shared" si="7"/>
        <v>13</v>
      </c>
    </row>
    <row r="247" spans="1:18" x14ac:dyDescent="0.25">
      <c r="A247" s="2">
        <v>245</v>
      </c>
      <c r="B247" s="3" t="s">
        <v>2979</v>
      </c>
      <c r="C247" t="s">
        <v>1281</v>
      </c>
      <c r="D247" t="s">
        <v>21</v>
      </c>
      <c r="E247"/>
      <c r="F247" s="9" t="s">
        <v>1282</v>
      </c>
      <c r="G247" t="s">
        <v>932</v>
      </c>
      <c r="H247" t="s">
        <v>1283</v>
      </c>
      <c r="I247" t="s">
        <v>24</v>
      </c>
      <c r="J247" t="s">
        <v>1284</v>
      </c>
      <c r="K247" t="s">
        <v>25</v>
      </c>
      <c r="L247" t="s">
        <v>1285</v>
      </c>
      <c r="M247" t="s">
        <v>27</v>
      </c>
      <c r="N247" t="s">
        <v>1286</v>
      </c>
      <c r="O247" t="s">
        <v>29</v>
      </c>
      <c r="P247" t="s">
        <v>30</v>
      </c>
      <c r="Q247">
        <f t="shared" si="6"/>
        <v>16</v>
      </c>
      <c r="R247">
        <f t="shared" si="7"/>
        <v>7</v>
      </c>
    </row>
    <row r="248" spans="1:18" x14ac:dyDescent="0.25">
      <c r="A248" s="3">
        <v>246</v>
      </c>
      <c r="B248" s="3" t="s">
        <v>2979</v>
      </c>
      <c r="C248" t="s">
        <v>1287</v>
      </c>
      <c r="D248" t="s">
        <v>21</v>
      </c>
      <c r="E248"/>
      <c r="F248" s="9" t="s">
        <v>1288</v>
      </c>
      <c r="G248" t="s">
        <v>1289</v>
      </c>
      <c r="H248" t="s">
        <v>1290</v>
      </c>
      <c r="I248" t="s">
        <v>32</v>
      </c>
      <c r="J248" t="s">
        <v>1291</v>
      </c>
      <c r="K248" t="s">
        <v>25</v>
      </c>
      <c r="L248" t="s">
        <v>1292</v>
      </c>
      <c r="M248" t="s">
        <v>27</v>
      </c>
      <c r="N248" t="s">
        <v>1293</v>
      </c>
      <c r="O248" t="s">
        <v>29</v>
      </c>
      <c r="P248" t="s">
        <v>30</v>
      </c>
      <c r="Q248">
        <f t="shared" si="6"/>
        <v>16</v>
      </c>
      <c r="R248">
        <f t="shared" si="7"/>
        <v>15</v>
      </c>
    </row>
    <row r="249" spans="1:18" x14ac:dyDescent="0.25">
      <c r="A249" s="2">
        <v>247</v>
      </c>
      <c r="B249" s="3" t="s">
        <v>2979</v>
      </c>
      <c r="C249" t="s">
        <v>1294</v>
      </c>
      <c r="D249" t="s">
        <v>21</v>
      </c>
      <c r="E249"/>
      <c r="F249" s="9" t="s">
        <v>1295</v>
      </c>
      <c r="G249" t="s">
        <v>1289</v>
      </c>
      <c r="H249" t="s">
        <v>1290</v>
      </c>
      <c r="I249" t="s">
        <v>24</v>
      </c>
      <c r="J249" t="s">
        <v>1296</v>
      </c>
      <c r="K249" t="s">
        <v>25</v>
      </c>
      <c r="L249" t="s">
        <v>1297</v>
      </c>
      <c r="M249" t="s">
        <v>27</v>
      </c>
      <c r="N249" t="s">
        <v>1298</v>
      </c>
      <c r="O249" t="s">
        <v>29</v>
      </c>
      <c r="P249" t="s">
        <v>30</v>
      </c>
      <c r="Q249">
        <f t="shared" si="6"/>
        <v>16</v>
      </c>
      <c r="R249">
        <f t="shared" si="7"/>
        <v>15</v>
      </c>
    </row>
    <row r="250" spans="1:18" x14ac:dyDescent="0.25">
      <c r="A250" s="3">
        <v>248</v>
      </c>
      <c r="B250" s="3" t="s">
        <v>2979</v>
      </c>
      <c r="C250" t="s">
        <v>1299</v>
      </c>
      <c r="D250" t="s">
        <v>21</v>
      </c>
      <c r="E250"/>
      <c r="F250" s="9" t="s">
        <v>1300</v>
      </c>
      <c r="G250" t="s">
        <v>932</v>
      </c>
      <c r="H250" t="s">
        <v>1283</v>
      </c>
      <c r="I250" t="s">
        <v>32</v>
      </c>
      <c r="J250" t="s">
        <v>1301</v>
      </c>
      <c r="K250" t="s">
        <v>25</v>
      </c>
      <c r="L250" t="s">
        <v>1285</v>
      </c>
      <c r="M250" t="s">
        <v>27</v>
      </c>
      <c r="N250" t="s">
        <v>1286</v>
      </c>
      <c r="O250" t="s">
        <v>29</v>
      </c>
      <c r="P250" t="s">
        <v>30</v>
      </c>
      <c r="Q250">
        <f t="shared" si="6"/>
        <v>16</v>
      </c>
      <c r="R250">
        <f t="shared" si="7"/>
        <v>7</v>
      </c>
    </row>
    <row r="251" spans="1:18" x14ac:dyDescent="0.25">
      <c r="A251" s="2">
        <v>249</v>
      </c>
      <c r="B251" s="3" t="s">
        <v>2979</v>
      </c>
      <c r="C251" t="s">
        <v>1302</v>
      </c>
      <c r="D251" t="s">
        <v>21</v>
      </c>
      <c r="E251"/>
      <c r="F251" s="9" t="s">
        <v>1303</v>
      </c>
      <c r="G251" t="s">
        <v>932</v>
      </c>
      <c r="H251" t="s">
        <v>1304</v>
      </c>
      <c r="I251" t="s">
        <v>24</v>
      </c>
      <c r="J251" t="s">
        <v>1305</v>
      </c>
      <c r="K251" t="s">
        <v>25</v>
      </c>
      <c r="L251" t="s">
        <v>1306</v>
      </c>
      <c r="M251" t="s">
        <v>27</v>
      </c>
      <c r="N251" t="s">
        <v>1307</v>
      </c>
      <c r="O251" t="s">
        <v>29</v>
      </c>
      <c r="P251" t="s">
        <v>30</v>
      </c>
      <c r="Q251">
        <f t="shared" si="6"/>
        <v>16</v>
      </c>
      <c r="R251">
        <f t="shared" si="7"/>
        <v>14</v>
      </c>
    </row>
    <row r="252" spans="1:18" x14ac:dyDescent="0.25">
      <c r="A252" s="3">
        <v>250</v>
      </c>
      <c r="B252" s="3" t="s">
        <v>2979</v>
      </c>
      <c r="C252" t="s">
        <v>1308</v>
      </c>
      <c r="D252" t="s">
        <v>21</v>
      </c>
      <c r="E252"/>
      <c r="F252" s="9">
        <v>0</v>
      </c>
      <c r="G252" t="s">
        <v>932</v>
      </c>
      <c r="H252" t="s">
        <v>1309</v>
      </c>
      <c r="I252" t="s">
        <v>36</v>
      </c>
      <c r="J252" t="s">
        <v>1310</v>
      </c>
      <c r="K252" t="s">
        <v>25</v>
      </c>
      <c r="L252" t="s">
        <v>1311</v>
      </c>
      <c r="M252" t="s">
        <v>27</v>
      </c>
      <c r="N252" t="s">
        <v>1312</v>
      </c>
      <c r="O252" t="s">
        <v>29</v>
      </c>
      <c r="P252" t="s">
        <v>30</v>
      </c>
      <c r="Q252">
        <f t="shared" si="6"/>
        <v>16</v>
      </c>
      <c r="R252">
        <f t="shared" si="7"/>
        <v>15</v>
      </c>
    </row>
    <row r="253" spans="1:18" x14ac:dyDescent="0.25">
      <c r="A253" s="2">
        <v>251</v>
      </c>
      <c r="B253" s="3" t="s">
        <v>2979</v>
      </c>
      <c r="C253" t="s">
        <v>1313</v>
      </c>
      <c r="D253" t="s">
        <v>21</v>
      </c>
      <c r="E253"/>
      <c r="F253" s="9">
        <v>0</v>
      </c>
      <c r="G253" t="s">
        <v>932</v>
      </c>
      <c r="H253" t="s">
        <v>1309</v>
      </c>
      <c r="I253" t="s">
        <v>37</v>
      </c>
      <c r="J253" t="s">
        <v>1314</v>
      </c>
      <c r="K253" t="s">
        <v>25</v>
      </c>
      <c r="L253" t="s">
        <v>1311</v>
      </c>
      <c r="M253" t="s">
        <v>27</v>
      </c>
      <c r="N253" t="s">
        <v>1312</v>
      </c>
      <c r="O253" t="s">
        <v>29</v>
      </c>
      <c r="P253" t="s">
        <v>30</v>
      </c>
      <c r="Q253">
        <f t="shared" si="6"/>
        <v>16</v>
      </c>
      <c r="R253">
        <f t="shared" si="7"/>
        <v>15</v>
      </c>
    </row>
    <row r="254" spans="1:18" x14ac:dyDescent="0.25">
      <c r="A254" s="3">
        <v>252</v>
      </c>
      <c r="B254" s="3" t="s">
        <v>2979</v>
      </c>
      <c r="C254" t="s">
        <v>1315</v>
      </c>
      <c r="D254" t="s">
        <v>21</v>
      </c>
      <c r="E254"/>
      <c r="F254" s="9" t="s">
        <v>1316</v>
      </c>
      <c r="G254" t="s">
        <v>932</v>
      </c>
      <c r="H254" t="s">
        <v>1309</v>
      </c>
      <c r="I254" t="s">
        <v>24</v>
      </c>
      <c r="J254" t="s">
        <v>1317</v>
      </c>
      <c r="K254" t="s">
        <v>25</v>
      </c>
      <c r="L254" t="s">
        <v>1311</v>
      </c>
      <c r="M254" t="s">
        <v>27</v>
      </c>
      <c r="N254" t="s">
        <v>1312</v>
      </c>
      <c r="O254" t="s">
        <v>29</v>
      </c>
      <c r="P254" t="s">
        <v>30</v>
      </c>
      <c r="Q254">
        <f t="shared" si="6"/>
        <v>16</v>
      </c>
      <c r="R254">
        <f t="shared" si="7"/>
        <v>15</v>
      </c>
    </row>
    <row r="255" spans="1:18" x14ac:dyDescent="0.25">
      <c r="A255" s="2">
        <v>253</v>
      </c>
      <c r="B255" s="3" t="s">
        <v>2979</v>
      </c>
      <c r="C255" t="s">
        <v>1318</v>
      </c>
      <c r="D255" t="s">
        <v>21</v>
      </c>
      <c r="E255"/>
      <c r="F255" s="9" t="s">
        <v>1319</v>
      </c>
      <c r="G255" t="s">
        <v>932</v>
      </c>
      <c r="H255" t="s">
        <v>1309</v>
      </c>
      <c r="I255" t="s">
        <v>32</v>
      </c>
      <c r="J255" t="s">
        <v>1320</v>
      </c>
      <c r="K255" t="s">
        <v>25</v>
      </c>
      <c r="L255" t="s">
        <v>1311</v>
      </c>
      <c r="M255" t="s">
        <v>27</v>
      </c>
      <c r="N255" t="s">
        <v>1312</v>
      </c>
      <c r="O255" t="s">
        <v>29</v>
      </c>
      <c r="P255" t="s">
        <v>30</v>
      </c>
      <c r="Q255">
        <f t="shared" si="6"/>
        <v>16</v>
      </c>
      <c r="R255">
        <f t="shared" si="7"/>
        <v>15</v>
      </c>
    </row>
    <row r="256" spans="1:18" x14ac:dyDescent="0.25">
      <c r="A256" s="3">
        <v>254</v>
      </c>
      <c r="B256" s="3" t="s">
        <v>2979</v>
      </c>
      <c r="C256" t="s">
        <v>1321</v>
      </c>
      <c r="D256" t="s">
        <v>21</v>
      </c>
      <c r="E256"/>
      <c r="F256" s="9" t="s">
        <v>1322</v>
      </c>
      <c r="G256" t="s">
        <v>932</v>
      </c>
      <c r="H256" t="s">
        <v>1323</v>
      </c>
      <c r="I256" t="s">
        <v>32</v>
      </c>
      <c r="J256" t="s">
        <v>1324</v>
      </c>
      <c r="K256" t="s">
        <v>25</v>
      </c>
      <c r="L256" t="s">
        <v>1325</v>
      </c>
      <c r="M256" t="s">
        <v>27</v>
      </c>
      <c r="N256" t="s">
        <v>1326</v>
      </c>
      <c r="O256" t="s">
        <v>29</v>
      </c>
      <c r="P256" t="s">
        <v>30</v>
      </c>
      <c r="Q256">
        <f t="shared" si="6"/>
        <v>16</v>
      </c>
      <c r="R256">
        <f t="shared" si="7"/>
        <v>13</v>
      </c>
    </row>
    <row r="257" spans="1:18" x14ac:dyDescent="0.25">
      <c r="A257" s="2">
        <v>255</v>
      </c>
      <c r="B257" s="3" t="s">
        <v>2979</v>
      </c>
      <c r="C257" t="s">
        <v>1327</v>
      </c>
      <c r="D257" t="s">
        <v>21</v>
      </c>
      <c r="E257"/>
      <c r="F257" s="9">
        <v>0</v>
      </c>
      <c r="G257" t="s">
        <v>932</v>
      </c>
      <c r="H257" t="s">
        <v>1328</v>
      </c>
      <c r="I257" t="s">
        <v>36</v>
      </c>
      <c r="J257" t="s">
        <v>1329</v>
      </c>
      <c r="K257" t="s">
        <v>25</v>
      </c>
      <c r="L257" t="s">
        <v>1330</v>
      </c>
      <c r="M257" t="s">
        <v>27</v>
      </c>
      <c r="N257" t="s">
        <v>1331</v>
      </c>
      <c r="O257" t="s">
        <v>29</v>
      </c>
      <c r="P257" t="s">
        <v>30</v>
      </c>
      <c r="Q257">
        <f t="shared" si="6"/>
        <v>16</v>
      </c>
      <c r="R257">
        <f t="shared" si="7"/>
        <v>15</v>
      </c>
    </row>
    <row r="258" spans="1:18" x14ac:dyDescent="0.25">
      <c r="A258" s="3">
        <v>256</v>
      </c>
      <c r="B258" s="3" t="s">
        <v>2979</v>
      </c>
      <c r="C258" t="s">
        <v>1332</v>
      </c>
      <c r="D258" t="s">
        <v>21</v>
      </c>
      <c r="E258"/>
      <c r="F258" s="9">
        <v>0</v>
      </c>
      <c r="G258" t="s">
        <v>932</v>
      </c>
      <c r="H258" t="s">
        <v>1328</v>
      </c>
      <c r="I258" t="s">
        <v>37</v>
      </c>
      <c r="J258" t="s">
        <v>1333</v>
      </c>
      <c r="K258" t="s">
        <v>25</v>
      </c>
      <c r="L258" t="s">
        <v>1330</v>
      </c>
      <c r="M258" t="s">
        <v>27</v>
      </c>
      <c r="N258" t="s">
        <v>1331</v>
      </c>
      <c r="O258" t="s">
        <v>29</v>
      </c>
      <c r="P258" t="s">
        <v>30</v>
      </c>
      <c r="Q258">
        <f t="shared" ref="Q258:Q321" si="8">LEN(L258)</f>
        <v>16</v>
      </c>
      <c r="R258">
        <f t="shared" si="7"/>
        <v>15</v>
      </c>
    </row>
    <row r="259" spans="1:18" x14ac:dyDescent="0.25">
      <c r="A259" s="2">
        <v>257</v>
      </c>
      <c r="B259" s="3" t="s">
        <v>2979</v>
      </c>
      <c r="C259" t="s">
        <v>1334</v>
      </c>
      <c r="D259" t="s">
        <v>21</v>
      </c>
      <c r="E259"/>
      <c r="F259" s="9" t="s">
        <v>1335</v>
      </c>
      <c r="G259" t="s">
        <v>932</v>
      </c>
      <c r="H259" t="s">
        <v>1328</v>
      </c>
      <c r="I259" t="s">
        <v>24</v>
      </c>
      <c r="J259" t="s">
        <v>1336</v>
      </c>
      <c r="K259" t="s">
        <v>25</v>
      </c>
      <c r="L259" t="s">
        <v>1330</v>
      </c>
      <c r="M259" t="s">
        <v>27</v>
      </c>
      <c r="N259" t="s">
        <v>1331</v>
      </c>
      <c r="O259" t="s">
        <v>29</v>
      </c>
      <c r="P259" t="s">
        <v>30</v>
      </c>
      <c r="Q259">
        <f t="shared" si="8"/>
        <v>16</v>
      </c>
      <c r="R259">
        <f t="shared" ref="R259:R322" si="9">LEN(N259)</f>
        <v>15</v>
      </c>
    </row>
    <row r="260" spans="1:18" x14ac:dyDescent="0.25">
      <c r="A260" s="3">
        <v>258</v>
      </c>
      <c r="B260" s="3" t="s">
        <v>2979</v>
      </c>
      <c r="C260" t="s">
        <v>1337</v>
      </c>
      <c r="D260" t="s">
        <v>21</v>
      </c>
      <c r="E260"/>
      <c r="F260" s="9" t="s">
        <v>1338</v>
      </c>
      <c r="G260" t="s">
        <v>932</v>
      </c>
      <c r="H260" t="s">
        <v>1328</v>
      </c>
      <c r="I260" t="s">
        <v>32</v>
      </c>
      <c r="J260" t="s">
        <v>1339</v>
      </c>
      <c r="K260" t="s">
        <v>25</v>
      </c>
      <c r="L260" t="s">
        <v>1330</v>
      </c>
      <c r="M260" t="s">
        <v>27</v>
      </c>
      <c r="N260" t="s">
        <v>1331</v>
      </c>
      <c r="O260" t="s">
        <v>29</v>
      </c>
      <c r="P260" t="s">
        <v>30</v>
      </c>
      <c r="Q260">
        <f t="shared" si="8"/>
        <v>16</v>
      </c>
      <c r="R260">
        <f t="shared" si="9"/>
        <v>15</v>
      </c>
    </row>
    <row r="261" spans="1:18" x14ac:dyDescent="0.25">
      <c r="A261" s="2">
        <v>259</v>
      </c>
      <c r="B261" s="3" t="s">
        <v>2979</v>
      </c>
      <c r="C261" t="s">
        <v>1340</v>
      </c>
      <c r="D261" t="s">
        <v>21</v>
      </c>
      <c r="E261"/>
      <c r="F261" s="9">
        <v>0</v>
      </c>
      <c r="G261" t="s">
        <v>932</v>
      </c>
      <c r="H261" t="s">
        <v>1341</v>
      </c>
      <c r="I261" t="s">
        <v>37</v>
      </c>
      <c r="J261" t="s">
        <v>1342</v>
      </c>
      <c r="K261" t="s">
        <v>25</v>
      </c>
      <c r="L261" t="s">
        <v>1343</v>
      </c>
      <c r="M261" t="s">
        <v>27</v>
      </c>
      <c r="N261" t="s">
        <v>1344</v>
      </c>
      <c r="O261" t="s">
        <v>29</v>
      </c>
      <c r="P261" t="s">
        <v>30</v>
      </c>
      <c r="Q261">
        <f t="shared" si="8"/>
        <v>16</v>
      </c>
      <c r="R261">
        <f t="shared" si="9"/>
        <v>13</v>
      </c>
    </row>
    <row r="262" spans="1:18" x14ac:dyDescent="0.25">
      <c r="A262" s="3">
        <v>260</v>
      </c>
      <c r="B262" s="3" t="s">
        <v>2979</v>
      </c>
      <c r="C262" t="s">
        <v>1345</v>
      </c>
      <c r="D262" t="s">
        <v>21</v>
      </c>
      <c r="E262"/>
      <c r="F262" s="9" t="s">
        <v>1346</v>
      </c>
      <c r="G262" t="s">
        <v>932</v>
      </c>
      <c r="H262" t="s">
        <v>1341</v>
      </c>
      <c r="I262" t="s">
        <v>24</v>
      </c>
      <c r="J262" t="s">
        <v>1347</v>
      </c>
      <c r="K262" t="s">
        <v>25</v>
      </c>
      <c r="L262" t="s">
        <v>1343</v>
      </c>
      <c r="M262" t="s">
        <v>27</v>
      </c>
      <c r="N262" t="s">
        <v>1344</v>
      </c>
      <c r="O262" t="s">
        <v>29</v>
      </c>
      <c r="P262" t="s">
        <v>30</v>
      </c>
      <c r="Q262">
        <f t="shared" si="8"/>
        <v>16</v>
      </c>
      <c r="R262">
        <f t="shared" si="9"/>
        <v>13</v>
      </c>
    </row>
    <row r="263" spans="1:18" x14ac:dyDescent="0.25">
      <c r="A263" s="2">
        <v>261</v>
      </c>
      <c r="B263" s="3" t="s">
        <v>2979</v>
      </c>
      <c r="C263" t="s">
        <v>1348</v>
      </c>
      <c r="D263" t="s">
        <v>21</v>
      </c>
      <c r="E263"/>
      <c r="F263" s="9" t="s">
        <v>1349</v>
      </c>
      <c r="G263" t="s">
        <v>932</v>
      </c>
      <c r="H263" t="s">
        <v>1341</v>
      </c>
      <c r="I263" t="s">
        <v>32</v>
      </c>
      <c r="J263" t="s">
        <v>1350</v>
      </c>
      <c r="K263" t="s">
        <v>25</v>
      </c>
      <c r="L263" t="s">
        <v>1343</v>
      </c>
      <c r="M263" t="s">
        <v>27</v>
      </c>
      <c r="N263" t="s">
        <v>1344</v>
      </c>
      <c r="O263" t="s">
        <v>29</v>
      </c>
      <c r="P263" t="s">
        <v>30</v>
      </c>
      <c r="Q263">
        <f t="shared" si="8"/>
        <v>16</v>
      </c>
      <c r="R263">
        <f t="shared" si="9"/>
        <v>13</v>
      </c>
    </row>
    <row r="264" spans="1:18" x14ac:dyDescent="0.25">
      <c r="A264" s="3">
        <v>262</v>
      </c>
      <c r="B264" s="3" t="s">
        <v>2979</v>
      </c>
      <c r="C264" t="s">
        <v>1351</v>
      </c>
      <c r="D264" t="s">
        <v>21</v>
      </c>
      <c r="E264"/>
      <c r="F264" s="9" t="s">
        <v>1352</v>
      </c>
      <c r="G264" t="s">
        <v>932</v>
      </c>
      <c r="H264" t="s">
        <v>1353</v>
      </c>
      <c r="I264" t="s">
        <v>37</v>
      </c>
      <c r="J264" t="s">
        <v>1354</v>
      </c>
      <c r="K264" t="s">
        <v>25</v>
      </c>
      <c r="L264" t="s">
        <v>1355</v>
      </c>
      <c r="M264" t="s">
        <v>27</v>
      </c>
      <c r="N264" t="s">
        <v>1356</v>
      </c>
      <c r="O264" t="s">
        <v>29</v>
      </c>
      <c r="P264" t="s">
        <v>30</v>
      </c>
      <c r="Q264">
        <f t="shared" si="8"/>
        <v>16</v>
      </c>
      <c r="R264">
        <f t="shared" si="9"/>
        <v>15</v>
      </c>
    </row>
    <row r="265" spans="1:18" x14ac:dyDescent="0.25">
      <c r="A265" s="2">
        <v>263</v>
      </c>
      <c r="B265" s="3" t="s">
        <v>2979</v>
      </c>
      <c r="C265" t="s">
        <v>1357</v>
      </c>
      <c r="D265" t="s">
        <v>21</v>
      </c>
      <c r="E265"/>
      <c r="F265" s="9" t="s">
        <v>1358</v>
      </c>
      <c r="G265" t="s">
        <v>932</v>
      </c>
      <c r="H265" t="s">
        <v>1353</v>
      </c>
      <c r="I265" t="s">
        <v>24</v>
      </c>
      <c r="J265" t="s">
        <v>1359</v>
      </c>
      <c r="K265" t="s">
        <v>25</v>
      </c>
      <c r="L265" t="s">
        <v>1355</v>
      </c>
      <c r="M265" t="s">
        <v>27</v>
      </c>
      <c r="N265" t="s">
        <v>1356</v>
      </c>
      <c r="O265" t="s">
        <v>29</v>
      </c>
      <c r="P265" t="s">
        <v>30</v>
      </c>
      <c r="Q265">
        <f t="shared" si="8"/>
        <v>16</v>
      </c>
      <c r="R265">
        <f t="shared" si="9"/>
        <v>15</v>
      </c>
    </row>
    <row r="266" spans="1:18" x14ac:dyDescent="0.25">
      <c r="A266" s="3">
        <v>264</v>
      </c>
      <c r="B266" s="3" t="s">
        <v>2979</v>
      </c>
      <c r="C266" t="s">
        <v>1360</v>
      </c>
      <c r="D266" t="s">
        <v>21</v>
      </c>
      <c r="E266"/>
      <c r="F266" s="9" t="s">
        <v>1361</v>
      </c>
      <c r="G266" t="s">
        <v>932</v>
      </c>
      <c r="H266" t="s">
        <v>1353</v>
      </c>
      <c r="I266" t="s">
        <v>32</v>
      </c>
      <c r="J266" t="s">
        <v>1362</v>
      </c>
      <c r="K266" t="s">
        <v>25</v>
      </c>
      <c r="L266" t="s">
        <v>1355</v>
      </c>
      <c r="M266" t="s">
        <v>27</v>
      </c>
      <c r="N266" t="s">
        <v>1356</v>
      </c>
      <c r="O266" t="s">
        <v>29</v>
      </c>
      <c r="P266" t="s">
        <v>30</v>
      </c>
      <c r="Q266">
        <f t="shared" si="8"/>
        <v>16</v>
      </c>
      <c r="R266">
        <f t="shared" si="9"/>
        <v>15</v>
      </c>
    </row>
    <row r="267" spans="1:18" x14ac:dyDescent="0.25">
      <c r="A267" s="2">
        <v>265</v>
      </c>
      <c r="B267" s="3" t="s">
        <v>2979</v>
      </c>
      <c r="C267" t="s">
        <v>1363</v>
      </c>
      <c r="D267" t="s">
        <v>21</v>
      </c>
      <c r="E267"/>
      <c r="F267" s="9" t="s">
        <v>1364</v>
      </c>
      <c r="G267" t="s">
        <v>932</v>
      </c>
      <c r="H267" t="s">
        <v>1365</v>
      </c>
      <c r="I267" t="s">
        <v>24</v>
      </c>
      <c r="J267" t="s">
        <v>1366</v>
      </c>
      <c r="K267" t="s">
        <v>25</v>
      </c>
      <c r="L267" t="s">
        <v>1367</v>
      </c>
      <c r="M267" t="s">
        <v>27</v>
      </c>
      <c r="N267" t="s">
        <v>1368</v>
      </c>
      <c r="O267" t="s">
        <v>29</v>
      </c>
      <c r="P267" t="s">
        <v>30</v>
      </c>
      <c r="Q267">
        <f t="shared" si="8"/>
        <v>16</v>
      </c>
      <c r="R267">
        <f t="shared" si="9"/>
        <v>15</v>
      </c>
    </row>
    <row r="268" spans="1:18" x14ac:dyDescent="0.25">
      <c r="A268" s="3">
        <v>266</v>
      </c>
      <c r="B268" s="3" t="s">
        <v>2979</v>
      </c>
      <c r="C268" t="s">
        <v>1369</v>
      </c>
      <c r="D268" t="s">
        <v>21</v>
      </c>
      <c r="E268"/>
      <c r="F268" s="9" t="s">
        <v>1370</v>
      </c>
      <c r="G268" t="s">
        <v>932</v>
      </c>
      <c r="H268" t="s">
        <v>1371</v>
      </c>
      <c r="I268" t="s">
        <v>32</v>
      </c>
      <c r="J268" t="s">
        <v>1372</v>
      </c>
      <c r="K268" t="s">
        <v>25</v>
      </c>
      <c r="L268" t="s">
        <v>1373</v>
      </c>
      <c r="M268" t="s">
        <v>27</v>
      </c>
      <c r="N268" t="s">
        <v>1374</v>
      </c>
      <c r="O268" t="s">
        <v>29</v>
      </c>
      <c r="P268" t="s">
        <v>30</v>
      </c>
      <c r="Q268">
        <f t="shared" si="8"/>
        <v>16</v>
      </c>
      <c r="R268">
        <f t="shared" si="9"/>
        <v>13</v>
      </c>
    </row>
    <row r="269" spans="1:18" x14ac:dyDescent="0.25">
      <c r="A269" s="2">
        <v>267</v>
      </c>
      <c r="B269" s="3" t="s">
        <v>2979</v>
      </c>
      <c r="C269" t="s">
        <v>1375</v>
      </c>
      <c r="D269" t="s">
        <v>21</v>
      </c>
      <c r="E269"/>
      <c r="F269" s="9">
        <v>0</v>
      </c>
      <c r="G269" t="s">
        <v>932</v>
      </c>
      <c r="H269" t="s">
        <v>1376</v>
      </c>
      <c r="I269" t="s">
        <v>37</v>
      </c>
      <c r="J269" t="s">
        <v>1377</v>
      </c>
      <c r="K269" t="s">
        <v>25</v>
      </c>
      <c r="L269" t="s">
        <v>1378</v>
      </c>
      <c r="M269" t="s">
        <v>27</v>
      </c>
      <c r="N269" t="s">
        <v>1379</v>
      </c>
      <c r="O269" t="s">
        <v>29</v>
      </c>
      <c r="P269" t="s">
        <v>30</v>
      </c>
      <c r="Q269">
        <f t="shared" si="8"/>
        <v>16</v>
      </c>
      <c r="R269">
        <f t="shared" si="9"/>
        <v>13</v>
      </c>
    </row>
    <row r="270" spans="1:18" x14ac:dyDescent="0.25">
      <c r="A270" s="3">
        <v>268</v>
      </c>
      <c r="B270" s="3" t="s">
        <v>2979</v>
      </c>
      <c r="C270" t="s">
        <v>1380</v>
      </c>
      <c r="D270" t="s">
        <v>21</v>
      </c>
      <c r="E270"/>
      <c r="F270" s="9" t="s">
        <v>1381</v>
      </c>
      <c r="G270" t="s">
        <v>1382</v>
      </c>
      <c r="H270" t="s">
        <v>258</v>
      </c>
      <c r="I270" t="s">
        <v>32</v>
      </c>
      <c r="J270" t="s">
        <v>1383</v>
      </c>
      <c r="K270" t="s">
        <v>25</v>
      </c>
      <c r="L270" t="s">
        <v>1384</v>
      </c>
      <c r="M270" t="s">
        <v>27</v>
      </c>
      <c r="N270" t="s">
        <v>1385</v>
      </c>
      <c r="O270" t="s">
        <v>29</v>
      </c>
      <c r="P270" t="s">
        <v>30</v>
      </c>
      <c r="Q270">
        <f t="shared" si="8"/>
        <v>16</v>
      </c>
      <c r="R270">
        <f t="shared" si="9"/>
        <v>15</v>
      </c>
    </row>
    <row r="271" spans="1:18" x14ac:dyDescent="0.25">
      <c r="A271" s="2">
        <v>269</v>
      </c>
      <c r="B271" s="3" t="s">
        <v>2979</v>
      </c>
      <c r="C271" t="s">
        <v>1386</v>
      </c>
      <c r="D271" t="s">
        <v>21</v>
      </c>
      <c r="E271"/>
      <c r="F271" s="9" t="s">
        <v>1387</v>
      </c>
      <c r="G271" t="s">
        <v>932</v>
      </c>
      <c r="H271" t="s">
        <v>1376</v>
      </c>
      <c r="I271" t="s">
        <v>24</v>
      </c>
      <c r="J271" t="s">
        <v>1388</v>
      </c>
      <c r="K271" t="s">
        <v>25</v>
      </c>
      <c r="L271" t="s">
        <v>1378</v>
      </c>
      <c r="M271" t="s">
        <v>27</v>
      </c>
      <c r="N271" t="s">
        <v>1379</v>
      </c>
      <c r="O271" t="s">
        <v>29</v>
      </c>
      <c r="P271" t="s">
        <v>30</v>
      </c>
      <c r="Q271">
        <f t="shared" si="8"/>
        <v>16</v>
      </c>
      <c r="R271">
        <f t="shared" si="9"/>
        <v>13</v>
      </c>
    </row>
    <row r="272" spans="1:18" x14ac:dyDescent="0.25">
      <c r="A272" s="3">
        <v>270</v>
      </c>
      <c r="B272" s="3" t="s">
        <v>2979</v>
      </c>
      <c r="C272" t="s">
        <v>1389</v>
      </c>
      <c r="D272" t="s">
        <v>21</v>
      </c>
      <c r="E272"/>
      <c r="F272" s="9" t="s">
        <v>1390</v>
      </c>
      <c r="G272" t="s">
        <v>932</v>
      </c>
      <c r="H272" t="s">
        <v>1391</v>
      </c>
      <c r="I272" t="s">
        <v>37</v>
      </c>
      <c r="J272" t="s">
        <v>1392</v>
      </c>
      <c r="K272" t="s">
        <v>25</v>
      </c>
      <c r="L272" t="s">
        <v>1393</v>
      </c>
      <c r="M272" t="s">
        <v>27</v>
      </c>
      <c r="N272" t="s">
        <v>1394</v>
      </c>
      <c r="O272" t="s">
        <v>29</v>
      </c>
      <c r="P272" t="s">
        <v>30</v>
      </c>
      <c r="Q272">
        <f t="shared" si="8"/>
        <v>16</v>
      </c>
      <c r="R272">
        <f t="shared" si="9"/>
        <v>7</v>
      </c>
    </row>
    <row r="273" spans="1:18" x14ac:dyDescent="0.25">
      <c r="A273" s="2">
        <v>271</v>
      </c>
      <c r="B273" s="3" t="s">
        <v>2979</v>
      </c>
      <c r="C273" t="s">
        <v>1395</v>
      </c>
      <c r="D273" t="s">
        <v>21</v>
      </c>
      <c r="E273"/>
      <c r="F273" s="9" t="s">
        <v>1396</v>
      </c>
      <c r="G273" t="s">
        <v>932</v>
      </c>
      <c r="H273" t="s">
        <v>1391</v>
      </c>
      <c r="I273" t="s">
        <v>24</v>
      </c>
      <c r="J273" t="s">
        <v>1397</v>
      </c>
      <c r="K273" t="s">
        <v>25</v>
      </c>
      <c r="L273" t="s">
        <v>1398</v>
      </c>
      <c r="M273" t="s">
        <v>27</v>
      </c>
      <c r="N273" t="s">
        <v>1399</v>
      </c>
      <c r="O273" t="s">
        <v>29</v>
      </c>
      <c r="P273" t="s">
        <v>30</v>
      </c>
      <c r="Q273">
        <f t="shared" si="8"/>
        <v>16</v>
      </c>
      <c r="R273">
        <f t="shared" si="9"/>
        <v>7</v>
      </c>
    </row>
    <row r="274" spans="1:18" x14ac:dyDescent="0.25">
      <c r="A274" s="3">
        <v>272</v>
      </c>
      <c r="B274" s="3" t="s">
        <v>2979</v>
      </c>
      <c r="C274" t="s">
        <v>1400</v>
      </c>
      <c r="D274" t="s">
        <v>21</v>
      </c>
      <c r="E274"/>
      <c r="F274" s="9" t="s">
        <v>1401</v>
      </c>
      <c r="G274" t="s">
        <v>932</v>
      </c>
      <c r="H274" t="s">
        <v>1391</v>
      </c>
      <c r="I274" t="s">
        <v>32</v>
      </c>
      <c r="J274" t="s">
        <v>1402</v>
      </c>
      <c r="K274" t="s">
        <v>25</v>
      </c>
      <c r="L274" t="s">
        <v>1393</v>
      </c>
      <c r="M274" t="s">
        <v>27</v>
      </c>
      <c r="N274" t="s">
        <v>1394</v>
      </c>
      <c r="O274" t="s">
        <v>29</v>
      </c>
      <c r="P274" t="s">
        <v>30</v>
      </c>
      <c r="Q274">
        <f t="shared" si="8"/>
        <v>16</v>
      </c>
      <c r="R274">
        <f t="shared" si="9"/>
        <v>7</v>
      </c>
    </row>
    <row r="275" spans="1:18" x14ac:dyDescent="0.25">
      <c r="A275" s="2">
        <v>273</v>
      </c>
      <c r="B275" s="3" t="s">
        <v>2979</v>
      </c>
      <c r="C275" t="s">
        <v>1403</v>
      </c>
      <c r="D275" t="s">
        <v>21</v>
      </c>
      <c r="E275"/>
      <c r="F275" s="9" t="s">
        <v>1404</v>
      </c>
      <c r="G275" t="s">
        <v>932</v>
      </c>
      <c r="H275" t="s">
        <v>1405</v>
      </c>
      <c r="I275" t="s">
        <v>32</v>
      </c>
      <c r="J275" t="s">
        <v>1406</v>
      </c>
      <c r="K275" t="s">
        <v>25</v>
      </c>
      <c r="L275" t="s">
        <v>1407</v>
      </c>
      <c r="M275" t="s">
        <v>27</v>
      </c>
      <c r="N275" t="s">
        <v>1408</v>
      </c>
      <c r="O275" t="s">
        <v>29</v>
      </c>
      <c r="P275" t="s">
        <v>30</v>
      </c>
      <c r="Q275">
        <f t="shared" si="8"/>
        <v>16</v>
      </c>
      <c r="R275">
        <f t="shared" si="9"/>
        <v>15</v>
      </c>
    </row>
    <row r="276" spans="1:18" x14ac:dyDescent="0.25">
      <c r="A276" s="3">
        <v>274</v>
      </c>
      <c r="B276" s="3" t="s">
        <v>2979</v>
      </c>
      <c r="C276" t="s">
        <v>1409</v>
      </c>
      <c r="D276" t="s">
        <v>21</v>
      </c>
      <c r="E276"/>
      <c r="F276" s="9">
        <v>0</v>
      </c>
      <c r="G276" t="s">
        <v>932</v>
      </c>
      <c r="H276" t="s">
        <v>1410</v>
      </c>
      <c r="I276" t="s">
        <v>37</v>
      </c>
      <c r="J276" t="s">
        <v>1411</v>
      </c>
      <c r="K276" t="s">
        <v>25</v>
      </c>
      <c r="L276" t="s">
        <v>1412</v>
      </c>
      <c r="M276" t="s">
        <v>27</v>
      </c>
      <c r="N276" t="s">
        <v>1413</v>
      </c>
      <c r="O276" t="s">
        <v>29</v>
      </c>
      <c r="P276" t="s">
        <v>30</v>
      </c>
      <c r="Q276">
        <f t="shared" si="8"/>
        <v>16</v>
      </c>
      <c r="R276">
        <f t="shared" si="9"/>
        <v>7</v>
      </c>
    </row>
    <row r="277" spans="1:18" x14ac:dyDescent="0.25">
      <c r="A277" s="2">
        <v>275</v>
      </c>
      <c r="B277" s="3" t="s">
        <v>2979</v>
      </c>
      <c r="C277" t="s">
        <v>1414</v>
      </c>
      <c r="D277" t="s">
        <v>21</v>
      </c>
      <c r="E277"/>
      <c r="F277" s="9" t="s">
        <v>1415</v>
      </c>
      <c r="G277" t="s">
        <v>932</v>
      </c>
      <c r="H277" t="s">
        <v>1410</v>
      </c>
      <c r="I277" t="s">
        <v>24</v>
      </c>
      <c r="J277" t="s">
        <v>1416</v>
      </c>
      <c r="K277" t="s">
        <v>25</v>
      </c>
      <c r="L277" t="s">
        <v>1412</v>
      </c>
      <c r="M277" t="s">
        <v>27</v>
      </c>
      <c r="N277" t="s">
        <v>1413</v>
      </c>
      <c r="O277" t="s">
        <v>29</v>
      </c>
      <c r="P277" t="s">
        <v>30</v>
      </c>
      <c r="Q277">
        <f t="shared" si="8"/>
        <v>16</v>
      </c>
      <c r="R277">
        <f t="shared" si="9"/>
        <v>7</v>
      </c>
    </row>
    <row r="278" spans="1:18" x14ac:dyDescent="0.25">
      <c r="A278" s="3">
        <v>276</v>
      </c>
      <c r="B278" s="3" t="s">
        <v>2979</v>
      </c>
      <c r="C278" t="s">
        <v>1417</v>
      </c>
      <c r="D278" t="s">
        <v>21</v>
      </c>
      <c r="E278"/>
      <c r="F278" s="9" t="s">
        <v>1418</v>
      </c>
      <c r="G278" t="s">
        <v>932</v>
      </c>
      <c r="H278" t="s">
        <v>1410</v>
      </c>
      <c r="I278" t="s">
        <v>32</v>
      </c>
      <c r="J278" t="s">
        <v>1419</v>
      </c>
      <c r="K278" t="s">
        <v>25</v>
      </c>
      <c r="L278" t="s">
        <v>1412</v>
      </c>
      <c r="M278" t="s">
        <v>27</v>
      </c>
      <c r="N278" t="s">
        <v>1413</v>
      </c>
      <c r="O278" t="s">
        <v>29</v>
      </c>
      <c r="P278" t="s">
        <v>30</v>
      </c>
      <c r="Q278">
        <f t="shared" si="8"/>
        <v>16</v>
      </c>
      <c r="R278">
        <f t="shared" si="9"/>
        <v>7</v>
      </c>
    </row>
    <row r="279" spans="1:18" x14ac:dyDescent="0.25">
      <c r="A279" s="2">
        <v>277</v>
      </c>
      <c r="B279" s="3" t="s">
        <v>2979</v>
      </c>
      <c r="C279" t="s">
        <v>1420</v>
      </c>
      <c r="D279" t="s">
        <v>21</v>
      </c>
      <c r="E279"/>
      <c r="F279" s="9">
        <v>0</v>
      </c>
      <c r="G279" t="s">
        <v>932</v>
      </c>
      <c r="H279" t="s">
        <v>1421</v>
      </c>
      <c r="I279" t="s">
        <v>37</v>
      </c>
      <c r="J279" t="s">
        <v>1422</v>
      </c>
      <c r="K279" t="s">
        <v>25</v>
      </c>
      <c r="L279" t="s">
        <v>1423</v>
      </c>
      <c r="M279" t="s">
        <v>27</v>
      </c>
      <c r="N279" t="s">
        <v>1424</v>
      </c>
      <c r="O279" t="s">
        <v>29</v>
      </c>
      <c r="P279" t="s">
        <v>30</v>
      </c>
      <c r="Q279">
        <f t="shared" si="8"/>
        <v>16</v>
      </c>
      <c r="R279">
        <f t="shared" si="9"/>
        <v>15</v>
      </c>
    </row>
    <row r="280" spans="1:18" x14ac:dyDescent="0.25">
      <c r="A280" s="3">
        <v>278</v>
      </c>
      <c r="B280" s="3" t="s">
        <v>2979</v>
      </c>
      <c r="C280" t="s">
        <v>1425</v>
      </c>
      <c r="D280" t="s">
        <v>21</v>
      </c>
      <c r="E280"/>
      <c r="F280" s="9" t="s">
        <v>1426</v>
      </c>
      <c r="G280" t="s">
        <v>932</v>
      </c>
      <c r="H280" t="s">
        <v>1421</v>
      </c>
      <c r="I280" t="s">
        <v>32</v>
      </c>
      <c r="J280" t="s">
        <v>1427</v>
      </c>
      <c r="K280" t="s">
        <v>25</v>
      </c>
      <c r="L280" t="s">
        <v>1428</v>
      </c>
      <c r="M280" t="s">
        <v>27</v>
      </c>
      <c r="N280" t="s">
        <v>1429</v>
      </c>
      <c r="O280" t="s">
        <v>29</v>
      </c>
      <c r="P280" t="s">
        <v>30</v>
      </c>
      <c r="Q280">
        <f t="shared" si="8"/>
        <v>16</v>
      </c>
      <c r="R280">
        <f t="shared" si="9"/>
        <v>15</v>
      </c>
    </row>
    <row r="281" spans="1:18" x14ac:dyDescent="0.25">
      <c r="A281" s="2">
        <v>279</v>
      </c>
      <c r="B281" s="3" t="s">
        <v>2979</v>
      </c>
      <c r="C281" t="s">
        <v>1430</v>
      </c>
      <c r="D281" t="s">
        <v>21</v>
      </c>
      <c r="E281"/>
      <c r="F281" s="9">
        <v>0</v>
      </c>
      <c r="G281" t="s">
        <v>932</v>
      </c>
      <c r="H281" t="s">
        <v>1431</v>
      </c>
      <c r="I281" t="s">
        <v>36</v>
      </c>
      <c r="J281" t="s">
        <v>1432</v>
      </c>
      <c r="K281" t="s">
        <v>25</v>
      </c>
      <c r="L281" t="s">
        <v>1433</v>
      </c>
      <c r="M281" t="s">
        <v>27</v>
      </c>
      <c r="N281" t="s">
        <v>1434</v>
      </c>
      <c r="O281" t="s">
        <v>29</v>
      </c>
      <c r="P281" t="s">
        <v>30</v>
      </c>
      <c r="Q281">
        <f t="shared" si="8"/>
        <v>16</v>
      </c>
      <c r="R281">
        <f t="shared" si="9"/>
        <v>15</v>
      </c>
    </row>
    <row r="282" spans="1:18" x14ac:dyDescent="0.25">
      <c r="A282" s="3">
        <v>280</v>
      </c>
      <c r="B282" s="3" t="s">
        <v>2979</v>
      </c>
      <c r="C282" t="s">
        <v>1435</v>
      </c>
      <c r="D282" t="s">
        <v>21</v>
      </c>
      <c r="E282"/>
      <c r="F282" s="9">
        <v>0</v>
      </c>
      <c r="G282" t="s">
        <v>932</v>
      </c>
      <c r="H282" t="s">
        <v>1431</v>
      </c>
      <c r="I282" t="s">
        <v>37</v>
      </c>
      <c r="J282" t="s">
        <v>1436</v>
      </c>
      <c r="K282" t="s">
        <v>25</v>
      </c>
      <c r="L282" t="s">
        <v>1433</v>
      </c>
      <c r="M282" t="s">
        <v>27</v>
      </c>
      <c r="N282" t="s">
        <v>1434</v>
      </c>
      <c r="O282" t="s">
        <v>29</v>
      </c>
      <c r="P282" t="s">
        <v>30</v>
      </c>
      <c r="Q282">
        <f t="shared" si="8"/>
        <v>16</v>
      </c>
      <c r="R282">
        <f t="shared" si="9"/>
        <v>15</v>
      </c>
    </row>
    <row r="283" spans="1:18" x14ac:dyDescent="0.25">
      <c r="A283" s="2">
        <v>281</v>
      </c>
      <c r="B283" s="3" t="s">
        <v>2979</v>
      </c>
      <c r="C283" t="s">
        <v>1437</v>
      </c>
      <c r="D283" t="s">
        <v>21</v>
      </c>
      <c r="E283"/>
      <c r="F283" s="9" t="s">
        <v>1438</v>
      </c>
      <c r="G283" t="s">
        <v>932</v>
      </c>
      <c r="H283" t="s">
        <v>1431</v>
      </c>
      <c r="I283" t="s">
        <v>24</v>
      </c>
      <c r="J283" t="s">
        <v>1439</v>
      </c>
      <c r="K283" t="s">
        <v>25</v>
      </c>
      <c r="L283" t="s">
        <v>1433</v>
      </c>
      <c r="M283" t="s">
        <v>27</v>
      </c>
      <c r="N283" t="s">
        <v>1434</v>
      </c>
      <c r="O283" t="s">
        <v>29</v>
      </c>
      <c r="P283" t="s">
        <v>30</v>
      </c>
      <c r="Q283">
        <f t="shared" si="8"/>
        <v>16</v>
      </c>
      <c r="R283">
        <f t="shared" si="9"/>
        <v>15</v>
      </c>
    </row>
    <row r="284" spans="1:18" x14ac:dyDescent="0.25">
      <c r="A284" s="3">
        <v>282</v>
      </c>
      <c r="B284" s="3" t="s">
        <v>2979</v>
      </c>
      <c r="C284" t="s">
        <v>1440</v>
      </c>
      <c r="D284" t="s">
        <v>21</v>
      </c>
      <c r="E284"/>
      <c r="F284" s="9" t="s">
        <v>1441</v>
      </c>
      <c r="G284" t="s">
        <v>932</v>
      </c>
      <c r="H284" t="s">
        <v>1431</v>
      </c>
      <c r="I284" t="s">
        <v>32</v>
      </c>
      <c r="J284" t="s">
        <v>1442</v>
      </c>
      <c r="K284" t="s">
        <v>25</v>
      </c>
      <c r="L284" t="s">
        <v>1433</v>
      </c>
      <c r="M284" t="s">
        <v>27</v>
      </c>
      <c r="N284" t="s">
        <v>1434</v>
      </c>
      <c r="O284" t="s">
        <v>29</v>
      </c>
      <c r="P284" t="s">
        <v>30</v>
      </c>
      <c r="Q284">
        <f t="shared" si="8"/>
        <v>16</v>
      </c>
      <c r="R284">
        <f t="shared" si="9"/>
        <v>15</v>
      </c>
    </row>
    <row r="285" spans="1:18" x14ac:dyDescent="0.25">
      <c r="A285" s="2">
        <v>283</v>
      </c>
      <c r="B285" s="3" t="s">
        <v>2979</v>
      </c>
      <c r="C285" t="s">
        <v>1443</v>
      </c>
      <c r="D285" t="s">
        <v>21</v>
      </c>
      <c r="E285"/>
      <c r="F285" s="9" t="s">
        <v>1444</v>
      </c>
      <c r="G285" t="s">
        <v>932</v>
      </c>
      <c r="H285" t="s">
        <v>1445</v>
      </c>
      <c r="I285" t="s">
        <v>32</v>
      </c>
      <c r="J285" t="s">
        <v>1446</v>
      </c>
      <c r="K285" t="s">
        <v>25</v>
      </c>
      <c r="L285" t="s">
        <v>1447</v>
      </c>
      <c r="M285" t="s">
        <v>27</v>
      </c>
      <c r="N285" t="s">
        <v>1448</v>
      </c>
      <c r="O285" t="s">
        <v>29</v>
      </c>
      <c r="P285" t="s">
        <v>30</v>
      </c>
      <c r="Q285">
        <f t="shared" si="8"/>
        <v>16</v>
      </c>
      <c r="R285">
        <f t="shared" si="9"/>
        <v>15</v>
      </c>
    </row>
    <row r="286" spans="1:18" x14ac:dyDescent="0.25">
      <c r="A286" s="3">
        <v>284</v>
      </c>
      <c r="B286" s="3" t="s">
        <v>2979</v>
      </c>
      <c r="C286" t="s">
        <v>1449</v>
      </c>
      <c r="D286" t="s">
        <v>21</v>
      </c>
      <c r="E286"/>
      <c r="F286" s="9">
        <v>0</v>
      </c>
      <c r="G286" t="s">
        <v>932</v>
      </c>
      <c r="H286" t="s">
        <v>1450</v>
      </c>
      <c r="I286" t="s">
        <v>36</v>
      </c>
      <c r="J286" t="s">
        <v>1451</v>
      </c>
      <c r="K286" t="s">
        <v>25</v>
      </c>
      <c r="L286" t="s">
        <v>1452</v>
      </c>
      <c r="M286" t="s">
        <v>27</v>
      </c>
      <c r="N286" t="s">
        <v>1453</v>
      </c>
      <c r="O286" t="s">
        <v>29</v>
      </c>
      <c r="P286" t="s">
        <v>30</v>
      </c>
      <c r="Q286">
        <f t="shared" si="8"/>
        <v>16</v>
      </c>
      <c r="R286">
        <f t="shared" si="9"/>
        <v>15</v>
      </c>
    </row>
    <row r="287" spans="1:18" x14ac:dyDescent="0.25">
      <c r="A287" s="2">
        <v>285</v>
      </c>
      <c r="B287" s="3" t="s">
        <v>2979</v>
      </c>
      <c r="C287" t="s">
        <v>1454</v>
      </c>
      <c r="D287" t="s">
        <v>21</v>
      </c>
      <c r="E287"/>
      <c r="F287" s="9" t="s">
        <v>1455</v>
      </c>
      <c r="G287" t="s">
        <v>1456</v>
      </c>
      <c r="H287" t="s">
        <v>278</v>
      </c>
      <c r="I287" t="s">
        <v>32</v>
      </c>
      <c r="J287" t="s">
        <v>1457</v>
      </c>
      <c r="K287" t="s">
        <v>25</v>
      </c>
      <c r="L287" t="s">
        <v>1458</v>
      </c>
      <c r="M287" t="s">
        <v>27</v>
      </c>
      <c r="N287" t="s">
        <v>1459</v>
      </c>
      <c r="O287" t="s">
        <v>29</v>
      </c>
      <c r="P287" t="s">
        <v>30</v>
      </c>
      <c r="Q287">
        <f t="shared" si="8"/>
        <v>16</v>
      </c>
      <c r="R287">
        <f t="shared" si="9"/>
        <v>15</v>
      </c>
    </row>
    <row r="288" spans="1:18" x14ac:dyDescent="0.25">
      <c r="A288" s="3">
        <v>286</v>
      </c>
      <c r="B288" s="3" t="s">
        <v>2979</v>
      </c>
      <c r="C288" t="s">
        <v>1460</v>
      </c>
      <c r="D288" t="s">
        <v>21</v>
      </c>
      <c r="E288"/>
      <c r="F288" s="9" t="s">
        <v>1461</v>
      </c>
      <c r="G288" t="s">
        <v>932</v>
      </c>
      <c r="H288" t="s">
        <v>1450</v>
      </c>
      <c r="I288" t="s">
        <v>37</v>
      </c>
      <c r="J288" t="s">
        <v>1462</v>
      </c>
      <c r="K288" t="s">
        <v>25</v>
      </c>
      <c r="L288" t="s">
        <v>1452</v>
      </c>
      <c r="M288" t="s">
        <v>27</v>
      </c>
      <c r="N288" t="s">
        <v>1453</v>
      </c>
      <c r="O288" t="s">
        <v>29</v>
      </c>
      <c r="P288" t="s">
        <v>30</v>
      </c>
      <c r="Q288">
        <f t="shared" si="8"/>
        <v>16</v>
      </c>
      <c r="R288">
        <f t="shared" si="9"/>
        <v>15</v>
      </c>
    </row>
    <row r="289" spans="1:19" x14ac:dyDescent="0.25">
      <c r="A289" s="2">
        <v>287</v>
      </c>
      <c r="B289" s="3" t="s">
        <v>2979</v>
      </c>
      <c r="C289" t="s">
        <v>1463</v>
      </c>
      <c r="D289" t="s">
        <v>21</v>
      </c>
      <c r="E289"/>
      <c r="F289" s="9" t="s">
        <v>1464</v>
      </c>
      <c r="G289" t="s">
        <v>932</v>
      </c>
      <c r="H289" t="s">
        <v>1450</v>
      </c>
      <c r="I289" t="s">
        <v>32</v>
      </c>
      <c r="J289" t="s">
        <v>1465</v>
      </c>
      <c r="K289" t="s">
        <v>25</v>
      </c>
      <c r="L289" t="s">
        <v>1452</v>
      </c>
      <c r="M289" t="s">
        <v>27</v>
      </c>
      <c r="N289" t="s">
        <v>1453</v>
      </c>
      <c r="O289" t="s">
        <v>29</v>
      </c>
      <c r="P289" t="s">
        <v>30</v>
      </c>
      <c r="Q289">
        <f t="shared" si="8"/>
        <v>16</v>
      </c>
      <c r="R289">
        <f t="shared" si="9"/>
        <v>15</v>
      </c>
    </row>
    <row r="290" spans="1:19" x14ac:dyDescent="0.25">
      <c r="A290" s="3">
        <v>288</v>
      </c>
      <c r="B290" s="3" t="s">
        <v>2979</v>
      </c>
      <c r="C290" t="s">
        <v>1466</v>
      </c>
      <c r="D290" t="s">
        <v>21</v>
      </c>
      <c r="E290"/>
      <c r="F290" s="9" t="s">
        <v>1467</v>
      </c>
      <c r="G290" t="s">
        <v>1468</v>
      </c>
      <c r="H290" t="s">
        <v>1469</v>
      </c>
      <c r="I290" t="s">
        <v>32</v>
      </c>
      <c r="J290" t="s">
        <v>1470</v>
      </c>
      <c r="K290" t="s">
        <v>25</v>
      </c>
      <c r="L290" t="s">
        <v>1471</v>
      </c>
      <c r="M290" t="s">
        <v>27</v>
      </c>
      <c r="N290" t="s">
        <v>1472</v>
      </c>
      <c r="O290" t="s">
        <v>29</v>
      </c>
      <c r="P290" t="s">
        <v>30</v>
      </c>
      <c r="Q290">
        <f t="shared" si="8"/>
        <v>16</v>
      </c>
      <c r="R290">
        <f t="shared" si="9"/>
        <v>13</v>
      </c>
    </row>
    <row r="291" spans="1:19" x14ac:dyDescent="0.25">
      <c r="A291" s="2">
        <v>289</v>
      </c>
      <c r="B291" s="3" t="s">
        <v>2979</v>
      </c>
      <c r="C291" t="s">
        <v>1473</v>
      </c>
      <c r="D291" t="s">
        <v>21</v>
      </c>
      <c r="E291"/>
      <c r="F291" s="9">
        <v>0</v>
      </c>
      <c r="G291" t="s">
        <v>932</v>
      </c>
      <c r="H291" t="s">
        <v>1474</v>
      </c>
      <c r="I291" t="s">
        <v>36</v>
      </c>
      <c r="J291" t="s">
        <v>1475</v>
      </c>
      <c r="K291" t="s">
        <v>25</v>
      </c>
      <c r="L291" t="s">
        <v>1476</v>
      </c>
      <c r="M291" t="s">
        <v>27</v>
      </c>
      <c r="N291" t="s">
        <v>1477</v>
      </c>
      <c r="O291" t="s">
        <v>29</v>
      </c>
      <c r="P291" t="s">
        <v>30</v>
      </c>
      <c r="Q291">
        <f t="shared" si="8"/>
        <v>16</v>
      </c>
      <c r="R291">
        <f t="shared" si="9"/>
        <v>13</v>
      </c>
    </row>
    <row r="292" spans="1:19" x14ac:dyDescent="0.25">
      <c r="A292" s="3">
        <v>290</v>
      </c>
      <c r="B292" s="3" t="s">
        <v>2979</v>
      </c>
      <c r="C292" t="s">
        <v>1478</v>
      </c>
      <c r="D292" t="s">
        <v>21</v>
      </c>
      <c r="E292"/>
      <c r="F292" s="9" t="s">
        <v>1479</v>
      </c>
      <c r="G292" t="s">
        <v>932</v>
      </c>
      <c r="H292" t="s">
        <v>1474</v>
      </c>
      <c r="I292" t="s">
        <v>24</v>
      </c>
      <c r="J292" t="s">
        <v>1480</v>
      </c>
      <c r="K292" t="s">
        <v>25</v>
      </c>
      <c r="L292" t="s">
        <v>1476</v>
      </c>
      <c r="M292" t="s">
        <v>27</v>
      </c>
      <c r="N292" t="s">
        <v>1477</v>
      </c>
      <c r="O292" t="s">
        <v>29</v>
      </c>
      <c r="P292" t="s">
        <v>30</v>
      </c>
      <c r="Q292">
        <f t="shared" si="8"/>
        <v>16</v>
      </c>
      <c r="R292">
        <f t="shared" si="9"/>
        <v>13</v>
      </c>
    </row>
    <row r="293" spans="1:19" x14ac:dyDescent="0.25">
      <c r="A293" s="2">
        <v>291</v>
      </c>
      <c r="B293" s="3" t="s">
        <v>2979</v>
      </c>
      <c r="C293" t="s">
        <v>1481</v>
      </c>
      <c r="D293" t="s">
        <v>21</v>
      </c>
      <c r="E293"/>
      <c r="F293" s="9">
        <v>0</v>
      </c>
      <c r="G293" t="s">
        <v>932</v>
      </c>
      <c r="H293" t="s">
        <v>1482</v>
      </c>
      <c r="I293" t="s">
        <v>36</v>
      </c>
      <c r="J293" t="s">
        <v>1483</v>
      </c>
      <c r="K293" t="s">
        <v>25</v>
      </c>
      <c r="L293" t="s">
        <v>1484</v>
      </c>
      <c r="M293" t="s">
        <v>27</v>
      </c>
      <c r="N293" t="s">
        <v>1485</v>
      </c>
      <c r="O293" t="s">
        <v>29</v>
      </c>
      <c r="P293" t="s">
        <v>30</v>
      </c>
      <c r="Q293">
        <f t="shared" si="8"/>
        <v>16</v>
      </c>
      <c r="R293">
        <f t="shared" si="9"/>
        <v>13</v>
      </c>
    </row>
    <row r="294" spans="1:19" x14ac:dyDescent="0.25">
      <c r="A294" s="3">
        <v>292</v>
      </c>
      <c r="B294" s="3" t="s">
        <v>2979</v>
      </c>
      <c r="C294" t="s">
        <v>1486</v>
      </c>
      <c r="D294" t="s">
        <v>21</v>
      </c>
      <c r="E294"/>
      <c r="F294" s="9">
        <v>0</v>
      </c>
      <c r="G294" t="s">
        <v>932</v>
      </c>
      <c r="H294" t="s">
        <v>1482</v>
      </c>
      <c r="I294" t="s">
        <v>37</v>
      </c>
      <c r="J294" t="s">
        <v>1487</v>
      </c>
      <c r="K294" t="s">
        <v>25</v>
      </c>
      <c r="L294" t="s">
        <v>1484</v>
      </c>
      <c r="M294" t="s">
        <v>27</v>
      </c>
      <c r="N294" t="s">
        <v>1485</v>
      </c>
      <c r="O294" t="s">
        <v>29</v>
      </c>
      <c r="P294" t="s">
        <v>30</v>
      </c>
      <c r="Q294">
        <f t="shared" si="8"/>
        <v>16</v>
      </c>
      <c r="R294">
        <f t="shared" si="9"/>
        <v>13</v>
      </c>
    </row>
    <row r="295" spans="1:19" x14ac:dyDescent="0.25">
      <c r="A295" s="2">
        <v>293</v>
      </c>
      <c r="B295" s="3" t="s">
        <v>2979</v>
      </c>
      <c r="C295" t="s">
        <v>1488</v>
      </c>
      <c r="D295" t="s">
        <v>21</v>
      </c>
      <c r="E295"/>
      <c r="F295" s="9" t="s">
        <v>1489</v>
      </c>
      <c r="G295" t="s">
        <v>932</v>
      </c>
      <c r="H295" t="s">
        <v>1482</v>
      </c>
      <c r="I295" t="s">
        <v>24</v>
      </c>
      <c r="J295" t="s">
        <v>1490</v>
      </c>
      <c r="K295" t="s">
        <v>25</v>
      </c>
      <c r="L295" t="s">
        <v>1484</v>
      </c>
      <c r="M295" t="s">
        <v>27</v>
      </c>
      <c r="N295" t="s">
        <v>1485</v>
      </c>
      <c r="O295" t="s">
        <v>29</v>
      </c>
      <c r="P295" t="s">
        <v>30</v>
      </c>
      <c r="Q295">
        <f t="shared" si="8"/>
        <v>16</v>
      </c>
      <c r="R295">
        <f t="shared" si="9"/>
        <v>13</v>
      </c>
    </row>
    <row r="296" spans="1:19" x14ac:dyDescent="0.25">
      <c r="A296" s="3">
        <v>294</v>
      </c>
      <c r="B296" s="3" t="s">
        <v>2979</v>
      </c>
      <c r="C296" t="s">
        <v>1491</v>
      </c>
      <c r="D296" t="s">
        <v>21</v>
      </c>
      <c r="E296"/>
      <c r="F296" s="9" t="s">
        <v>1492</v>
      </c>
      <c r="G296" t="s">
        <v>932</v>
      </c>
      <c r="H296" t="s">
        <v>1482</v>
      </c>
      <c r="I296" t="s">
        <v>32</v>
      </c>
      <c r="J296" t="s">
        <v>1493</v>
      </c>
      <c r="K296" t="s">
        <v>25</v>
      </c>
      <c r="L296" t="s">
        <v>1484</v>
      </c>
      <c r="M296" t="s">
        <v>27</v>
      </c>
      <c r="N296" t="s">
        <v>1485</v>
      </c>
      <c r="O296" t="s">
        <v>29</v>
      </c>
      <c r="P296" t="s">
        <v>30</v>
      </c>
      <c r="Q296">
        <f t="shared" si="8"/>
        <v>16</v>
      </c>
      <c r="R296">
        <f t="shared" si="9"/>
        <v>13</v>
      </c>
    </row>
    <row r="297" spans="1:19" x14ac:dyDescent="0.25">
      <c r="A297" s="2">
        <v>295</v>
      </c>
      <c r="B297" s="3" t="s">
        <v>2979</v>
      </c>
      <c r="C297" t="s">
        <v>1494</v>
      </c>
      <c r="D297" t="s">
        <v>21</v>
      </c>
      <c r="E297"/>
      <c r="F297" s="9" t="s">
        <v>1495</v>
      </c>
      <c r="G297" t="s">
        <v>932</v>
      </c>
      <c r="H297" t="s">
        <v>1496</v>
      </c>
      <c r="I297" t="s">
        <v>24</v>
      </c>
      <c r="J297" t="s">
        <v>1497</v>
      </c>
      <c r="K297" t="s">
        <v>25</v>
      </c>
      <c r="L297" t="s">
        <v>1498</v>
      </c>
      <c r="M297" t="s">
        <v>27</v>
      </c>
      <c r="N297" t="s">
        <v>1499</v>
      </c>
      <c r="O297" t="s">
        <v>29</v>
      </c>
      <c r="P297" t="s">
        <v>30</v>
      </c>
      <c r="Q297">
        <f t="shared" si="8"/>
        <v>16</v>
      </c>
      <c r="R297">
        <f t="shared" si="9"/>
        <v>15</v>
      </c>
    </row>
    <row r="298" spans="1:19" x14ac:dyDescent="0.25">
      <c r="A298" s="3">
        <v>296</v>
      </c>
      <c r="B298" s="3" t="s">
        <v>2979</v>
      </c>
      <c r="C298" t="s">
        <v>1500</v>
      </c>
      <c r="D298" t="s">
        <v>21</v>
      </c>
      <c r="E298"/>
      <c r="F298" s="9" t="s">
        <v>1501</v>
      </c>
      <c r="G298" t="s">
        <v>1502</v>
      </c>
      <c r="H298" t="s">
        <v>1482</v>
      </c>
      <c r="I298" t="s">
        <v>32</v>
      </c>
      <c r="J298" t="s">
        <v>1503</v>
      </c>
      <c r="K298" t="s">
        <v>25</v>
      </c>
      <c r="L298" t="s">
        <v>1504</v>
      </c>
      <c r="M298" t="s">
        <v>27</v>
      </c>
      <c r="N298" t="s">
        <v>1505</v>
      </c>
      <c r="O298" t="s">
        <v>29</v>
      </c>
      <c r="P298" t="s">
        <v>30</v>
      </c>
      <c r="Q298">
        <f t="shared" si="8"/>
        <v>16</v>
      </c>
      <c r="R298">
        <f t="shared" si="9"/>
        <v>15</v>
      </c>
    </row>
    <row r="299" spans="1:19" x14ac:dyDescent="0.25">
      <c r="A299" s="2">
        <v>297</v>
      </c>
      <c r="B299" s="3" t="s">
        <v>2979</v>
      </c>
      <c r="C299" t="s">
        <v>1506</v>
      </c>
      <c r="D299" t="s">
        <v>21</v>
      </c>
      <c r="E299"/>
      <c r="F299" s="9" t="s">
        <v>1507</v>
      </c>
      <c r="G299" t="s">
        <v>1502</v>
      </c>
      <c r="H299" t="s">
        <v>1482</v>
      </c>
      <c r="I299" t="s">
        <v>24</v>
      </c>
      <c r="J299" t="s">
        <v>1508</v>
      </c>
      <c r="K299" t="s">
        <v>25</v>
      </c>
      <c r="L299" t="s">
        <v>1504</v>
      </c>
      <c r="M299" t="s">
        <v>27</v>
      </c>
      <c r="N299" t="s">
        <v>1505</v>
      </c>
      <c r="O299" t="s">
        <v>29</v>
      </c>
      <c r="P299" t="s">
        <v>30</v>
      </c>
      <c r="Q299">
        <f t="shared" si="8"/>
        <v>16</v>
      </c>
      <c r="R299">
        <f t="shared" si="9"/>
        <v>15</v>
      </c>
    </row>
    <row r="300" spans="1:19" s="19" customFormat="1" x14ac:dyDescent="0.25">
      <c r="A300" s="17">
        <v>298</v>
      </c>
      <c r="B300" s="17" t="s">
        <v>2975</v>
      </c>
      <c r="C300" s="8" t="s">
        <v>1509</v>
      </c>
      <c r="D300" s="8" t="s">
        <v>21</v>
      </c>
      <c r="E300" s="8" t="s">
        <v>2985</v>
      </c>
      <c r="F300" s="18" t="s">
        <v>1510</v>
      </c>
      <c r="G300" s="8" t="s">
        <v>1511</v>
      </c>
      <c r="H300" s="8" t="s">
        <v>348</v>
      </c>
      <c r="I300" s="8" t="s">
        <v>37</v>
      </c>
      <c r="J300" s="8" t="s">
        <v>1512</v>
      </c>
      <c r="K300" s="8" t="s">
        <v>25</v>
      </c>
      <c r="L300" s="8" t="s">
        <v>1513</v>
      </c>
      <c r="M300" s="8" t="s">
        <v>27</v>
      </c>
      <c r="N300" s="8" t="s">
        <v>1514</v>
      </c>
      <c r="O300" s="8" t="s">
        <v>29</v>
      </c>
      <c r="P300" s="8" t="s">
        <v>30</v>
      </c>
      <c r="Q300" s="8">
        <f t="shared" si="8"/>
        <v>16</v>
      </c>
      <c r="R300" s="8">
        <f t="shared" si="9"/>
        <v>14</v>
      </c>
      <c r="S300" s="17"/>
    </row>
    <row r="301" spans="1:19" x14ac:dyDescent="0.25">
      <c r="A301" s="2">
        <v>299</v>
      </c>
      <c r="B301" s="3" t="s">
        <v>2979</v>
      </c>
      <c r="C301" t="s">
        <v>1515</v>
      </c>
      <c r="D301" t="s">
        <v>21</v>
      </c>
      <c r="E301"/>
      <c r="F301" s="9">
        <v>0</v>
      </c>
      <c r="G301" t="s">
        <v>1511</v>
      </c>
      <c r="H301" t="s">
        <v>120</v>
      </c>
      <c r="I301" t="s">
        <v>24</v>
      </c>
      <c r="J301" t="s">
        <v>1516</v>
      </c>
      <c r="K301" t="s">
        <v>25</v>
      </c>
      <c r="L301" t="s">
        <v>1517</v>
      </c>
      <c r="M301" t="s">
        <v>27</v>
      </c>
      <c r="N301" t="s">
        <v>1518</v>
      </c>
      <c r="O301" t="s">
        <v>29</v>
      </c>
      <c r="P301" t="s">
        <v>30</v>
      </c>
      <c r="Q301">
        <f t="shared" si="8"/>
        <v>16</v>
      </c>
      <c r="R301">
        <f t="shared" si="9"/>
        <v>15</v>
      </c>
    </row>
    <row r="302" spans="1:19" x14ac:dyDescent="0.25">
      <c r="A302" s="3">
        <v>300</v>
      </c>
      <c r="B302" s="3" t="s">
        <v>2979</v>
      </c>
      <c r="C302" t="s">
        <v>1519</v>
      </c>
      <c r="D302" t="s">
        <v>21</v>
      </c>
      <c r="E302"/>
      <c r="F302" s="9" t="s">
        <v>1520</v>
      </c>
      <c r="G302" t="s">
        <v>1511</v>
      </c>
      <c r="H302" t="s">
        <v>120</v>
      </c>
      <c r="I302" t="s">
        <v>32</v>
      </c>
      <c r="J302" t="s">
        <v>1521</v>
      </c>
      <c r="K302" t="s">
        <v>25</v>
      </c>
      <c r="L302" t="s">
        <v>1517</v>
      </c>
      <c r="M302" t="s">
        <v>27</v>
      </c>
      <c r="N302" t="s">
        <v>1518</v>
      </c>
      <c r="O302" t="s">
        <v>29</v>
      </c>
      <c r="P302" t="s">
        <v>30</v>
      </c>
      <c r="Q302">
        <f t="shared" si="8"/>
        <v>16</v>
      </c>
      <c r="R302">
        <f t="shared" si="9"/>
        <v>15</v>
      </c>
    </row>
    <row r="303" spans="1:19" x14ac:dyDescent="0.25">
      <c r="A303" s="2">
        <v>301</v>
      </c>
      <c r="B303" s="3" t="s">
        <v>2979</v>
      </c>
      <c r="C303" t="s">
        <v>1522</v>
      </c>
      <c r="D303" t="s">
        <v>21</v>
      </c>
      <c r="E303"/>
      <c r="F303" s="9" t="s">
        <v>1523</v>
      </c>
      <c r="G303" t="s">
        <v>1524</v>
      </c>
      <c r="H303" t="s">
        <v>236</v>
      </c>
      <c r="I303" t="s">
        <v>32</v>
      </c>
      <c r="J303" t="s">
        <v>1525</v>
      </c>
      <c r="K303" t="s">
        <v>25</v>
      </c>
      <c r="L303" t="s">
        <v>1526</v>
      </c>
      <c r="M303" t="s">
        <v>27</v>
      </c>
      <c r="N303" t="s">
        <v>1527</v>
      </c>
      <c r="O303" t="s">
        <v>29</v>
      </c>
      <c r="P303" t="s">
        <v>30</v>
      </c>
      <c r="Q303">
        <f t="shared" si="8"/>
        <v>16</v>
      </c>
      <c r="R303">
        <f t="shared" si="9"/>
        <v>15</v>
      </c>
    </row>
    <row r="304" spans="1:19" x14ac:dyDescent="0.25">
      <c r="A304" s="3">
        <v>302</v>
      </c>
      <c r="B304" s="3" t="s">
        <v>2979</v>
      </c>
      <c r="C304" t="s">
        <v>1528</v>
      </c>
      <c r="D304" t="s">
        <v>21</v>
      </c>
      <c r="E304"/>
      <c r="F304" s="9" t="s">
        <v>1529</v>
      </c>
      <c r="G304" t="s">
        <v>1530</v>
      </c>
      <c r="H304" t="s">
        <v>1531</v>
      </c>
      <c r="I304" t="s">
        <v>32</v>
      </c>
      <c r="J304" t="s">
        <v>1532</v>
      </c>
      <c r="K304" t="s">
        <v>25</v>
      </c>
      <c r="L304" t="s">
        <v>1533</v>
      </c>
      <c r="M304" t="s">
        <v>27</v>
      </c>
      <c r="N304" t="s">
        <v>1534</v>
      </c>
      <c r="O304" t="s">
        <v>29</v>
      </c>
      <c r="P304" t="s">
        <v>30</v>
      </c>
      <c r="Q304">
        <f t="shared" si="8"/>
        <v>16</v>
      </c>
      <c r="R304">
        <f t="shared" si="9"/>
        <v>15</v>
      </c>
    </row>
    <row r="305" spans="1:18" x14ac:dyDescent="0.25">
      <c r="A305" s="2">
        <v>303</v>
      </c>
      <c r="B305" s="3" t="s">
        <v>2979</v>
      </c>
      <c r="C305" t="s">
        <v>1535</v>
      </c>
      <c r="D305" t="s">
        <v>21</v>
      </c>
      <c r="E305"/>
      <c r="F305" s="9" t="s">
        <v>1536</v>
      </c>
      <c r="G305" t="s">
        <v>1537</v>
      </c>
      <c r="H305" t="s">
        <v>1538</v>
      </c>
      <c r="I305" t="s">
        <v>32</v>
      </c>
      <c r="J305" t="s">
        <v>1539</v>
      </c>
      <c r="K305" t="s">
        <v>25</v>
      </c>
      <c r="L305" t="s">
        <v>1540</v>
      </c>
      <c r="M305" t="s">
        <v>27</v>
      </c>
      <c r="N305" t="s">
        <v>1541</v>
      </c>
      <c r="O305" t="s">
        <v>29</v>
      </c>
      <c r="P305" t="s">
        <v>30</v>
      </c>
      <c r="Q305">
        <f t="shared" si="8"/>
        <v>16</v>
      </c>
      <c r="R305">
        <f t="shared" si="9"/>
        <v>15</v>
      </c>
    </row>
    <row r="306" spans="1:18" x14ac:dyDescent="0.25">
      <c r="A306" s="3">
        <v>304</v>
      </c>
      <c r="B306" s="3" t="s">
        <v>2979</v>
      </c>
      <c r="C306" t="s">
        <v>1542</v>
      </c>
      <c r="D306" t="s">
        <v>21</v>
      </c>
      <c r="E306"/>
      <c r="F306" s="9" t="s">
        <v>1543</v>
      </c>
      <c r="G306" t="s">
        <v>1544</v>
      </c>
      <c r="H306" t="s">
        <v>806</v>
      </c>
      <c r="I306" t="s">
        <v>37</v>
      </c>
      <c r="J306" t="s">
        <v>1545</v>
      </c>
      <c r="K306" t="s">
        <v>25</v>
      </c>
      <c r="L306" t="s">
        <v>1546</v>
      </c>
      <c r="M306" t="s">
        <v>27</v>
      </c>
      <c r="N306" t="s">
        <v>1547</v>
      </c>
      <c r="O306" t="s">
        <v>29</v>
      </c>
      <c r="P306" t="s">
        <v>30</v>
      </c>
      <c r="Q306">
        <f t="shared" si="8"/>
        <v>16</v>
      </c>
      <c r="R306">
        <f t="shared" si="9"/>
        <v>15</v>
      </c>
    </row>
    <row r="307" spans="1:18" x14ac:dyDescent="0.25">
      <c r="A307" s="2">
        <v>305</v>
      </c>
      <c r="B307" s="3" t="s">
        <v>2979</v>
      </c>
      <c r="C307" t="s">
        <v>1548</v>
      </c>
      <c r="D307" t="s">
        <v>21</v>
      </c>
      <c r="E307"/>
      <c r="F307" s="9" t="s">
        <v>1549</v>
      </c>
      <c r="G307" t="s">
        <v>1544</v>
      </c>
      <c r="H307" t="s">
        <v>806</v>
      </c>
      <c r="I307" t="s">
        <v>24</v>
      </c>
      <c r="J307" t="s">
        <v>1550</v>
      </c>
      <c r="K307" t="s">
        <v>25</v>
      </c>
      <c r="L307" t="s">
        <v>1546</v>
      </c>
      <c r="M307" t="s">
        <v>27</v>
      </c>
      <c r="N307" t="s">
        <v>1547</v>
      </c>
      <c r="O307" t="s">
        <v>29</v>
      </c>
      <c r="P307" t="s">
        <v>30</v>
      </c>
      <c r="Q307">
        <f t="shared" si="8"/>
        <v>16</v>
      </c>
      <c r="R307">
        <f t="shared" si="9"/>
        <v>15</v>
      </c>
    </row>
    <row r="308" spans="1:18" x14ac:dyDescent="0.25">
      <c r="A308" s="3">
        <v>306</v>
      </c>
      <c r="B308" s="3" t="s">
        <v>2979</v>
      </c>
      <c r="C308" t="s">
        <v>1551</v>
      </c>
      <c r="D308" t="s">
        <v>21</v>
      </c>
      <c r="E308"/>
      <c r="F308" s="9" t="s">
        <v>1543</v>
      </c>
      <c r="G308" t="s">
        <v>1544</v>
      </c>
      <c r="H308" t="s">
        <v>806</v>
      </c>
      <c r="I308" t="s">
        <v>32</v>
      </c>
      <c r="J308" t="s">
        <v>1552</v>
      </c>
      <c r="K308" t="s">
        <v>25</v>
      </c>
      <c r="L308" t="s">
        <v>1546</v>
      </c>
      <c r="M308" t="s">
        <v>27</v>
      </c>
      <c r="N308" t="s">
        <v>1547</v>
      </c>
      <c r="O308" t="s">
        <v>29</v>
      </c>
      <c r="P308" t="s">
        <v>30</v>
      </c>
      <c r="Q308">
        <f t="shared" si="8"/>
        <v>16</v>
      </c>
      <c r="R308">
        <f t="shared" si="9"/>
        <v>15</v>
      </c>
    </row>
    <row r="309" spans="1:18" x14ac:dyDescent="0.25">
      <c r="A309" s="2">
        <v>307</v>
      </c>
      <c r="B309" s="3" t="s">
        <v>2979</v>
      </c>
      <c r="C309" t="s">
        <v>1553</v>
      </c>
      <c r="D309" t="s">
        <v>21</v>
      </c>
      <c r="E309"/>
      <c r="F309" s="9" t="s">
        <v>1554</v>
      </c>
      <c r="G309" t="s">
        <v>1555</v>
      </c>
      <c r="H309" t="s">
        <v>37</v>
      </c>
      <c r="I309" t="s">
        <v>36</v>
      </c>
      <c r="J309" t="s">
        <v>1556</v>
      </c>
      <c r="K309" t="s">
        <v>25</v>
      </c>
      <c r="L309" t="s">
        <v>1557</v>
      </c>
      <c r="M309" t="s">
        <v>27</v>
      </c>
      <c r="N309" t="s">
        <v>1558</v>
      </c>
      <c r="O309" t="s">
        <v>29</v>
      </c>
      <c r="P309" t="s">
        <v>30</v>
      </c>
      <c r="Q309">
        <f t="shared" si="8"/>
        <v>16</v>
      </c>
      <c r="R309">
        <f t="shared" si="9"/>
        <v>15</v>
      </c>
    </row>
    <row r="310" spans="1:18" x14ac:dyDescent="0.25">
      <c r="A310" s="3">
        <v>308</v>
      </c>
      <c r="B310" s="3" t="s">
        <v>2979</v>
      </c>
      <c r="C310" t="s">
        <v>1559</v>
      </c>
      <c r="D310" t="s">
        <v>21</v>
      </c>
      <c r="E310"/>
      <c r="F310" s="9" t="s">
        <v>1560</v>
      </c>
      <c r="G310" t="s">
        <v>1561</v>
      </c>
      <c r="H310" t="s">
        <v>1562</v>
      </c>
      <c r="I310" t="s">
        <v>32</v>
      </c>
      <c r="J310" t="s">
        <v>1563</v>
      </c>
      <c r="K310" t="s">
        <v>25</v>
      </c>
      <c r="L310" t="s">
        <v>1564</v>
      </c>
      <c r="M310" t="s">
        <v>27</v>
      </c>
      <c r="N310" t="s">
        <v>1565</v>
      </c>
      <c r="O310" t="s">
        <v>29</v>
      </c>
      <c r="P310" t="s">
        <v>30</v>
      </c>
      <c r="Q310">
        <f t="shared" si="8"/>
        <v>16</v>
      </c>
      <c r="R310">
        <f t="shared" si="9"/>
        <v>15</v>
      </c>
    </row>
    <row r="311" spans="1:18" x14ac:dyDescent="0.25">
      <c r="A311" s="2">
        <v>309</v>
      </c>
      <c r="B311" s="3" t="s">
        <v>2979</v>
      </c>
      <c r="C311" t="s">
        <v>1566</v>
      </c>
      <c r="D311" t="s">
        <v>21</v>
      </c>
      <c r="E311"/>
      <c r="F311" s="9" t="s">
        <v>1567</v>
      </c>
      <c r="G311" t="s">
        <v>1568</v>
      </c>
      <c r="H311" t="s">
        <v>32</v>
      </c>
      <c r="I311" t="s">
        <v>37</v>
      </c>
      <c r="J311" t="s">
        <v>1569</v>
      </c>
      <c r="K311" t="s">
        <v>25</v>
      </c>
      <c r="L311" t="s">
        <v>1570</v>
      </c>
      <c r="M311" t="s">
        <v>27</v>
      </c>
      <c r="N311" t="s">
        <v>1571</v>
      </c>
      <c r="O311" t="s">
        <v>29</v>
      </c>
      <c r="P311" t="s">
        <v>30</v>
      </c>
      <c r="Q311">
        <f t="shared" si="8"/>
        <v>16</v>
      </c>
      <c r="R311">
        <f t="shared" si="9"/>
        <v>13</v>
      </c>
    </row>
    <row r="312" spans="1:18" x14ac:dyDescent="0.25">
      <c r="A312" s="3">
        <v>310</v>
      </c>
      <c r="B312" s="3" t="s">
        <v>2979</v>
      </c>
      <c r="C312" t="s">
        <v>1572</v>
      </c>
      <c r="D312" t="s">
        <v>21</v>
      </c>
      <c r="E312"/>
      <c r="F312" s="9" t="s">
        <v>1573</v>
      </c>
      <c r="G312" t="s">
        <v>1568</v>
      </c>
      <c r="H312" t="s">
        <v>32</v>
      </c>
      <c r="I312" t="s">
        <v>24</v>
      </c>
      <c r="J312" t="s">
        <v>1574</v>
      </c>
      <c r="K312" t="s">
        <v>25</v>
      </c>
      <c r="L312" t="s">
        <v>1570</v>
      </c>
      <c r="M312" t="s">
        <v>27</v>
      </c>
      <c r="N312" t="s">
        <v>1571</v>
      </c>
      <c r="O312" t="s">
        <v>29</v>
      </c>
      <c r="P312" t="s">
        <v>30</v>
      </c>
      <c r="Q312">
        <f t="shared" si="8"/>
        <v>16</v>
      </c>
      <c r="R312">
        <f t="shared" si="9"/>
        <v>13</v>
      </c>
    </row>
    <row r="313" spans="1:18" x14ac:dyDescent="0.25">
      <c r="A313" s="2">
        <v>311</v>
      </c>
      <c r="B313" s="3" t="s">
        <v>2979</v>
      </c>
      <c r="C313" t="s">
        <v>1575</v>
      </c>
      <c r="D313" t="s">
        <v>21</v>
      </c>
      <c r="E313"/>
      <c r="F313" s="9" t="s">
        <v>1576</v>
      </c>
      <c r="G313" t="s">
        <v>1568</v>
      </c>
      <c r="H313" t="s">
        <v>32</v>
      </c>
      <c r="I313" t="s">
        <v>32</v>
      </c>
      <c r="J313" t="s">
        <v>1577</v>
      </c>
      <c r="K313" t="s">
        <v>25</v>
      </c>
      <c r="L313" t="s">
        <v>1570</v>
      </c>
      <c r="M313" t="s">
        <v>27</v>
      </c>
      <c r="N313" t="s">
        <v>1571</v>
      </c>
      <c r="O313" t="s">
        <v>29</v>
      </c>
      <c r="P313" t="s">
        <v>30</v>
      </c>
      <c r="Q313">
        <f t="shared" si="8"/>
        <v>16</v>
      </c>
      <c r="R313">
        <f t="shared" si="9"/>
        <v>13</v>
      </c>
    </row>
    <row r="314" spans="1:18" x14ac:dyDescent="0.25">
      <c r="A314" s="3">
        <v>312</v>
      </c>
      <c r="B314" s="3" t="s">
        <v>2979</v>
      </c>
      <c r="C314" t="s">
        <v>1578</v>
      </c>
      <c r="D314" t="s">
        <v>21</v>
      </c>
      <c r="E314"/>
      <c r="F314" s="9" t="s">
        <v>1579</v>
      </c>
      <c r="G314" t="s">
        <v>1580</v>
      </c>
      <c r="H314" t="s">
        <v>32</v>
      </c>
      <c r="I314" t="s">
        <v>37</v>
      </c>
      <c r="J314" t="s">
        <v>1581</v>
      </c>
      <c r="K314" t="s">
        <v>25</v>
      </c>
      <c r="L314" t="s">
        <v>1582</v>
      </c>
      <c r="M314" t="s">
        <v>27</v>
      </c>
      <c r="N314" t="s">
        <v>1583</v>
      </c>
      <c r="O314" t="s">
        <v>29</v>
      </c>
      <c r="P314" t="s">
        <v>30</v>
      </c>
      <c r="Q314">
        <f t="shared" si="8"/>
        <v>16</v>
      </c>
      <c r="R314">
        <f t="shared" si="9"/>
        <v>15</v>
      </c>
    </row>
    <row r="315" spans="1:18" x14ac:dyDescent="0.25">
      <c r="A315" s="2">
        <v>313</v>
      </c>
      <c r="B315" s="3" t="s">
        <v>2979</v>
      </c>
      <c r="C315" t="s">
        <v>1584</v>
      </c>
      <c r="D315" t="s">
        <v>21</v>
      </c>
      <c r="E315"/>
      <c r="F315" s="9" t="s">
        <v>1585</v>
      </c>
      <c r="G315" t="s">
        <v>1580</v>
      </c>
      <c r="H315" t="s">
        <v>32</v>
      </c>
      <c r="I315" t="s">
        <v>24</v>
      </c>
      <c r="J315" t="s">
        <v>1586</v>
      </c>
      <c r="K315" t="s">
        <v>25</v>
      </c>
      <c r="L315" t="s">
        <v>1582</v>
      </c>
      <c r="M315" t="s">
        <v>27</v>
      </c>
      <c r="N315" t="s">
        <v>1583</v>
      </c>
      <c r="O315" t="s">
        <v>29</v>
      </c>
      <c r="P315" t="s">
        <v>30</v>
      </c>
      <c r="Q315">
        <f t="shared" si="8"/>
        <v>16</v>
      </c>
      <c r="R315">
        <f t="shared" si="9"/>
        <v>15</v>
      </c>
    </row>
    <row r="316" spans="1:18" x14ac:dyDescent="0.25">
      <c r="A316" s="3">
        <v>314</v>
      </c>
      <c r="B316" s="3" t="s">
        <v>2979</v>
      </c>
      <c r="C316" t="s">
        <v>1587</v>
      </c>
      <c r="D316" t="s">
        <v>21</v>
      </c>
      <c r="E316"/>
      <c r="F316" s="9" t="s">
        <v>1588</v>
      </c>
      <c r="G316" t="s">
        <v>1580</v>
      </c>
      <c r="H316" t="s">
        <v>32</v>
      </c>
      <c r="I316" t="s">
        <v>32</v>
      </c>
      <c r="J316" t="s">
        <v>1589</v>
      </c>
      <c r="K316" t="s">
        <v>25</v>
      </c>
      <c r="L316" t="s">
        <v>1582</v>
      </c>
      <c r="M316" t="s">
        <v>27</v>
      </c>
      <c r="N316" t="s">
        <v>1583</v>
      </c>
      <c r="O316" t="s">
        <v>29</v>
      </c>
      <c r="P316" t="s">
        <v>30</v>
      </c>
      <c r="Q316">
        <f t="shared" si="8"/>
        <v>16</v>
      </c>
      <c r="R316">
        <f t="shared" si="9"/>
        <v>15</v>
      </c>
    </row>
    <row r="317" spans="1:18" x14ac:dyDescent="0.25">
      <c r="A317" s="2">
        <v>315</v>
      </c>
      <c r="B317" s="3" t="s">
        <v>2979</v>
      </c>
      <c r="C317" t="s">
        <v>1590</v>
      </c>
      <c r="D317" t="s">
        <v>21</v>
      </c>
      <c r="E317"/>
      <c r="F317" s="9" t="s">
        <v>1591</v>
      </c>
      <c r="G317" t="s">
        <v>1592</v>
      </c>
      <c r="H317" t="s">
        <v>1593</v>
      </c>
      <c r="I317" t="s">
        <v>32</v>
      </c>
      <c r="J317" t="s">
        <v>1594</v>
      </c>
      <c r="K317" t="s">
        <v>25</v>
      </c>
      <c r="L317" t="s">
        <v>1595</v>
      </c>
      <c r="M317" t="s">
        <v>27</v>
      </c>
      <c r="N317" t="s">
        <v>1596</v>
      </c>
      <c r="O317" t="s">
        <v>29</v>
      </c>
      <c r="P317" t="s">
        <v>30</v>
      </c>
      <c r="Q317">
        <f t="shared" si="8"/>
        <v>16</v>
      </c>
      <c r="R317">
        <f t="shared" si="9"/>
        <v>15</v>
      </c>
    </row>
    <row r="318" spans="1:18" x14ac:dyDescent="0.25">
      <c r="A318" s="3">
        <v>316</v>
      </c>
      <c r="B318" s="3" t="s">
        <v>2979</v>
      </c>
      <c r="C318" t="s">
        <v>1597</v>
      </c>
      <c r="D318" t="s">
        <v>21</v>
      </c>
      <c r="E318"/>
      <c r="F318" s="9" t="s">
        <v>1598</v>
      </c>
      <c r="G318" t="s">
        <v>1599</v>
      </c>
      <c r="H318" t="s">
        <v>120</v>
      </c>
      <c r="I318" t="s">
        <v>32</v>
      </c>
      <c r="J318" t="s">
        <v>1600</v>
      </c>
      <c r="K318" t="s">
        <v>25</v>
      </c>
      <c r="L318" t="s">
        <v>1601</v>
      </c>
      <c r="M318" t="s">
        <v>27</v>
      </c>
      <c r="N318" t="s">
        <v>1602</v>
      </c>
      <c r="O318" t="s">
        <v>29</v>
      </c>
      <c r="P318" t="s">
        <v>30</v>
      </c>
      <c r="Q318">
        <f t="shared" si="8"/>
        <v>16</v>
      </c>
      <c r="R318">
        <f t="shared" si="9"/>
        <v>15</v>
      </c>
    </row>
    <row r="319" spans="1:18" x14ac:dyDescent="0.25">
      <c r="A319" s="2">
        <v>317</v>
      </c>
      <c r="B319" s="3" t="s">
        <v>2979</v>
      </c>
      <c r="C319" t="s">
        <v>1603</v>
      </c>
      <c r="D319" t="s">
        <v>21</v>
      </c>
      <c r="E319"/>
      <c r="F319" s="9" t="s">
        <v>1604</v>
      </c>
      <c r="G319" t="s">
        <v>1605</v>
      </c>
      <c r="H319" t="s">
        <v>783</v>
      </c>
      <c r="I319" t="s">
        <v>32</v>
      </c>
      <c r="J319" t="s">
        <v>1606</v>
      </c>
      <c r="K319" t="s">
        <v>25</v>
      </c>
      <c r="L319" t="s">
        <v>1607</v>
      </c>
      <c r="M319" t="s">
        <v>27</v>
      </c>
      <c r="N319" t="s">
        <v>1608</v>
      </c>
      <c r="O319" t="s">
        <v>29</v>
      </c>
      <c r="P319" t="s">
        <v>30</v>
      </c>
      <c r="Q319">
        <f t="shared" si="8"/>
        <v>16</v>
      </c>
      <c r="R319">
        <f t="shared" si="9"/>
        <v>13</v>
      </c>
    </row>
    <row r="320" spans="1:18" x14ac:dyDescent="0.25">
      <c r="A320" s="3">
        <v>318</v>
      </c>
      <c r="B320" s="3" t="s">
        <v>2979</v>
      </c>
      <c r="C320" t="s">
        <v>1609</v>
      </c>
      <c r="D320" t="s">
        <v>21</v>
      </c>
      <c r="E320"/>
      <c r="F320" s="9" t="s">
        <v>1610</v>
      </c>
      <c r="G320" t="s">
        <v>1611</v>
      </c>
      <c r="H320" t="s">
        <v>1612</v>
      </c>
      <c r="I320" t="s">
        <v>32</v>
      </c>
      <c r="J320" t="s">
        <v>1613</v>
      </c>
      <c r="K320" t="s">
        <v>25</v>
      </c>
      <c r="L320" t="s">
        <v>1614</v>
      </c>
      <c r="M320" t="s">
        <v>27</v>
      </c>
      <c r="N320" t="s">
        <v>1615</v>
      </c>
      <c r="O320" t="s">
        <v>29</v>
      </c>
      <c r="P320" t="s">
        <v>30</v>
      </c>
      <c r="Q320">
        <f t="shared" si="8"/>
        <v>16</v>
      </c>
      <c r="R320">
        <f t="shared" si="9"/>
        <v>15</v>
      </c>
    </row>
    <row r="321" spans="1:18" x14ac:dyDescent="0.25">
      <c r="A321" s="2">
        <v>319</v>
      </c>
      <c r="B321" s="3" t="s">
        <v>2979</v>
      </c>
      <c r="C321" t="s">
        <v>1616</v>
      </c>
      <c r="D321" t="s">
        <v>21</v>
      </c>
      <c r="E321"/>
      <c r="F321" s="9" t="s">
        <v>1617</v>
      </c>
      <c r="G321" t="s">
        <v>1611</v>
      </c>
      <c r="H321" t="s">
        <v>1618</v>
      </c>
      <c r="I321" t="s">
        <v>32</v>
      </c>
      <c r="J321" t="s">
        <v>1619</v>
      </c>
      <c r="K321" t="s">
        <v>25</v>
      </c>
      <c r="L321" t="s">
        <v>1620</v>
      </c>
      <c r="M321" t="s">
        <v>27</v>
      </c>
      <c r="N321" t="s">
        <v>1621</v>
      </c>
      <c r="O321" t="s">
        <v>29</v>
      </c>
      <c r="P321" t="s">
        <v>30</v>
      </c>
      <c r="Q321">
        <f t="shared" si="8"/>
        <v>16</v>
      </c>
      <c r="R321">
        <f t="shared" si="9"/>
        <v>15</v>
      </c>
    </row>
    <row r="322" spans="1:18" x14ac:dyDescent="0.25">
      <c r="A322" s="3">
        <v>320</v>
      </c>
      <c r="B322" s="3" t="s">
        <v>2979</v>
      </c>
      <c r="C322" t="s">
        <v>1622</v>
      </c>
      <c r="D322" t="s">
        <v>21</v>
      </c>
      <c r="E322"/>
      <c r="F322" s="9" t="s">
        <v>1623</v>
      </c>
      <c r="G322" t="s">
        <v>1624</v>
      </c>
      <c r="H322" t="s">
        <v>460</v>
      </c>
      <c r="I322" t="s">
        <v>32</v>
      </c>
      <c r="J322" t="s">
        <v>1625</v>
      </c>
      <c r="K322" t="s">
        <v>25</v>
      </c>
      <c r="L322" t="s">
        <v>1626</v>
      </c>
      <c r="M322" t="s">
        <v>27</v>
      </c>
      <c r="N322" t="s">
        <v>1627</v>
      </c>
      <c r="O322" t="s">
        <v>29</v>
      </c>
      <c r="P322" t="s">
        <v>30</v>
      </c>
      <c r="Q322">
        <f t="shared" ref="Q322:Q352" si="10">LEN(L322)</f>
        <v>16</v>
      </c>
      <c r="R322">
        <f t="shared" si="9"/>
        <v>13</v>
      </c>
    </row>
    <row r="323" spans="1:18" x14ac:dyDescent="0.25">
      <c r="A323" s="2">
        <v>321</v>
      </c>
      <c r="B323" s="3" t="s">
        <v>2979</v>
      </c>
      <c r="C323" t="s">
        <v>1628</v>
      </c>
      <c r="D323" t="s">
        <v>21</v>
      </c>
      <c r="E323"/>
      <c r="F323" s="9" t="s">
        <v>1629</v>
      </c>
      <c r="G323" t="s">
        <v>1624</v>
      </c>
      <c r="H323" t="s">
        <v>24</v>
      </c>
      <c r="I323" t="s">
        <v>24</v>
      </c>
      <c r="J323" t="s">
        <v>1630</v>
      </c>
      <c r="K323" t="s">
        <v>25</v>
      </c>
      <c r="L323" t="s">
        <v>1631</v>
      </c>
      <c r="M323" t="s">
        <v>27</v>
      </c>
      <c r="N323" t="s">
        <v>1632</v>
      </c>
      <c r="O323" t="s">
        <v>29</v>
      </c>
      <c r="P323" t="s">
        <v>30</v>
      </c>
      <c r="Q323">
        <f t="shared" si="10"/>
        <v>16</v>
      </c>
      <c r="R323">
        <f t="shared" ref="R323:R386" si="11">LEN(N323)</f>
        <v>15</v>
      </c>
    </row>
    <row r="324" spans="1:18" x14ac:dyDescent="0.25">
      <c r="A324" s="3">
        <v>322</v>
      </c>
      <c r="B324" s="3" t="s">
        <v>2979</v>
      </c>
      <c r="C324" t="s">
        <v>1633</v>
      </c>
      <c r="D324" t="s">
        <v>21</v>
      </c>
      <c r="E324"/>
      <c r="F324" s="9" t="s">
        <v>1634</v>
      </c>
      <c r="G324" t="s">
        <v>1635</v>
      </c>
      <c r="H324" t="s">
        <v>24</v>
      </c>
      <c r="I324" t="s">
        <v>24</v>
      </c>
      <c r="J324" t="s">
        <v>1636</v>
      </c>
      <c r="K324" t="s">
        <v>25</v>
      </c>
      <c r="L324" t="s">
        <v>1637</v>
      </c>
      <c r="M324" t="s">
        <v>27</v>
      </c>
      <c r="N324" t="s">
        <v>1638</v>
      </c>
      <c r="O324" t="s">
        <v>29</v>
      </c>
      <c r="P324" t="s">
        <v>30</v>
      </c>
      <c r="Q324">
        <f t="shared" si="10"/>
        <v>16</v>
      </c>
      <c r="R324">
        <f t="shared" si="11"/>
        <v>12</v>
      </c>
    </row>
    <row r="325" spans="1:18" x14ac:dyDescent="0.25">
      <c r="A325" s="2">
        <v>323</v>
      </c>
      <c r="B325" s="3" t="s">
        <v>2979</v>
      </c>
      <c r="C325" t="s">
        <v>1639</v>
      </c>
      <c r="D325" t="s">
        <v>21</v>
      </c>
      <c r="E325"/>
      <c r="F325" s="9" t="s">
        <v>1640</v>
      </c>
      <c r="G325" t="s">
        <v>1635</v>
      </c>
      <c r="H325" t="s">
        <v>24</v>
      </c>
      <c r="I325" t="s">
        <v>32</v>
      </c>
      <c r="J325" t="s">
        <v>1641</v>
      </c>
      <c r="K325" t="s">
        <v>25</v>
      </c>
      <c r="L325" t="s">
        <v>1637</v>
      </c>
      <c r="M325" t="s">
        <v>27</v>
      </c>
      <c r="N325" t="s">
        <v>1638</v>
      </c>
      <c r="O325" t="s">
        <v>29</v>
      </c>
      <c r="P325" t="s">
        <v>30</v>
      </c>
      <c r="Q325">
        <f t="shared" si="10"/>
        <v>16</v>
      </c>
      <c r="R325">
        <f t="shared" si="11"/>
        <v>12</v>
      </c>
    </row>
    <row r="326" spans="1:18" x14ac:dyDescent="0.25">
      <c r="A326" s="3">
        <v>324</v>
      </c>
      <c r="B326" s="3" t="s">
        <v>2979</v>
      </c>
      <c r="C326" t="s">
        <v>1642</v>
      </c>
      <c r="D326" t="s">
        <v>21</v>
      </c>
      <c r="E326"/>
      <c r="F326" s="9" t="s">
        <v>1643</v>
      </c>
      <c r="G326" t="s">
        <v>1644</v>
      </c>
      <c r="H326" t="s">
        <v>37</v>
      </c>
      <c r="I326" t="s">
        <v>24</v>
      </c>
      <c r="J326" t="s">
        <v>1645</v>
      </c>
      <c r="K326" t="s">
        <v>25</v>
      </c>
      <c r="L326" t="s">
        <v>39</v>
      </c>
      <c r="M326" t="s">
        <v>27</v>
      </c>
      <c r="N326" t="s">
        <v>1646</v>
      </c>
      <c r="O326" t="s">
        <v>29</v>
      </c>
      <c r="P326" t="s">
        <v>30</v>
      </c>
      <c r="Q326">
        <f t="shared" si="10"/>
        <v>16</v>
      </c>
      <c r="R326">
        <f t="shared" si="11"/>
        <v>15</v>
      </c>
    </row>
    <row r="327" spans="1:18" x14ac:dyDescent="0.25">
      <c r="A327" s="2">
        <v>325</v>
      </c>
      <c r="B327" s="3" t="s">
        <v>2979</v>
      </c>
      <c r="C327" t="s">
        <v>1647</v>
      </c>
      <c r="D327" t="s">
        <v>21</v>
      </c>
      <c r="E327"/>
      <c r="F327" s="9" t="s">
        <v>1648</v>
      </c>
      <c r="G327" t="s">
        <v>1644</v>
      </c>
      <c r="H327" t="s">
        <v>37</v>
      </c>
      <c r="I327" t="s">
        <v>32</v>
      </c>
      <c r="J327" t="s">
        <v>1649</v>
      </c>
      <c r="K327" t="s">
        <v>25</v>
      </c>
      <c r="L327" t="s">
        <v>39</v>
      </c>
      <c r="M327" t="s">
        <v>27</v>
      </c>
      <c r="N327" t="s">
        <v>1646</v>
      </c>
      <c r="O327" t="s">
        <v>29</v>
      </c>
      <c r="P327" t="s">
        <v>30</v>
      </c>
      <c r="Q327">
        <f t="shared" si="10"/>
        <v>16</v>
      </c>
      <c r="R327">
        <f t="shared" si="11"/>
        <v>15</v>
      </c>
    </row>
    <row r="328" spans="1:18" x14ac:dyDescent="0.25">
      <c r="A328" s="3">
        <v>326</v>
      </c>
      <c r="B328" s="3" t="s">
        <v>2979</v>
      </c>
      <c r="C328" t="s">
        <v>1650</v>
      </c>
      <c r="D328" t="s">
        <v>21</v>
      </c>
      <c r="E328"/>
      <c r="F328" s="9">
        <v>0</v>
      </c>
      <c r="G328" t="s">
        <v>1651</v>
      </c>
      <c r="H328" t="s">
        <v>120</v>
      </c>
      <c r="I328" t="s">
        <v>36</v>
      </c>
      <c r="J328" t="s">
        <v>1652</v>
      </c>
      <c r="K328" t="s">
        <v>25</v>
      </c>
      <c r="L328" t="s">
        <v>1653</v>
      </c>
      <c r="M328" t="s">
        <v>27</v>
      </c>
      <c r="N328" t="s">
        <v>1654</v>
      </c>
      <c r="O328" t="s">
        <v>29</v>
      </c>
      <c r="P328" t="s">
        <v>30</v>
      </c>
      <c r="Q328">
        <f t="shared" si="10"/>
        <v>16</v>
      </c>
      <c r="R328">
        <f t="shared" si="11"/>
        <v>13</v>
      </c>
    </row>
    <row r="329" spans="1:18" x14ac:dyDescent="0.25">
      <c r="A329" s="2">
        <v>327</v>
      </c>
      <c r="B329" s="3" t="s">
        <v>2979</v>
      </c>
      <c r="C329" t="s">
        <v>1655</v>
      </c>
      <c r="D329" t="s">
        <v>21</v>
      </c>
      <c r="E329"/>
      <c r="F329" s="9" t="s">
        <v>1656</v>
      </c>
      <c r="G329" t="s">
        <v>1657</v>
      </c>
      <c r="H329" t="s">
        <v>37</v>
      </c>
      <c r="I329" t="s">
        <v>24</v>
      </c>
      <c r="J329" t="s">
        <v>1658</v>
      </c>
      <c r="K329" t="s">
        <v>25</v>
      </c>
      <c r="L329" t="s">
        <v>1659</v>
      </c>
      <c r="M329" t="s">
        <v>27</v>
      </c>
      <c r="N329" t="s">
        <v>1660</v>
      </c>
      <c r="O329" t="s">
        <v>29</v>
      </c>
      <c r="P329" t="s">
        <v>30</v>
      </c>
      <c r="Q329">
        <f t="shared" si="10"/>
        <v>16</v>
      </c>
      <c r="R329">
        <f t="shared" si="11"/>
        <v>13</v>
      </c>
    </row>
    <row r="330" spans="1:18" x14ac:dyDescent="0.25">
      <c r="A330" s="3">
        <v>328</v>
      </c>
      <c r="B330" s="3" t="s">
        <v>2979</v>
      </c>
      <c r="C330" t="s">
        <v>1661</v>
      </c>
      <c r="D330" t="s">
        <v>21</v>
      </c>
      <c r="E330"/>
      <c r="F330" s="9" t="s">
        <v>1662</v>
      </c>
      <c r="G330" t="s">
        <v>1663</v>
      </c>
      <c r="H330" t="s">
        <v>1664</v>
      </c>
      <c r="I330" t="s">
        <v>36</v>
      </c>
      <c r="J330" t="s">
        <v>1665</v>
      </c>
      <c r="K330" t="s">
        <v>25</v>
      </c>
      <c r="L330" t="s">
        <v>1666</v>
      </c>
      <c r="M330" t="s">
        <v>27</v>
      </c>
      <c r="N330" t="s">
        <v>1667</v>
      </c>
      <c r="O330" t="s">
        <v>29</v>
      </c>
      <c r="P330" t="s">
        <v>30</v>
      </c>
      <c r="Q330">
        <f t="shared" si="10"/>
        <v>16</v>
      </c>
      <c r="R330">
        <f t="shared" si="11"/>
        <v>15</v>
      </c>
    </row>
    <row r="331" spans="1:18" x14ac:dyDescent="0.25">
      <c r="A331" s="2">
        <v>329</v>
      </c>
      <c r="B331" s="3" t="s">
        <v>2979</v>
      </c>
      <c r="C331" t="s">
        <v>1668</v>
      </c>
      <c r="D331" t="s">
        <v>21</v>
      </c>
      <c r="E331"/>
      <c r="F331" s="9" t="s">
        <v>1669</v>
      </c>
      <c r="G331" t="s">
        <v>1670</v>
      </c>
      <c r="H331" t="s">
        <v>113</v>
      </c>
      <c r="I331" t="s">
        <v>32</v>
      </c>
      <c r="J331" t="s">
        <v>1671</v>
      </c>
      <c r="K331" t="s">
        <v>25</v>
      </c>
      <c r="L331" t="s">
        <v>1672</v>
      </c>
      <c r="M331" t="s">
        <v>27</v>
      </c>
      <c r="N331" t="s">
        <v>1673</v>
      </c>
      <c r="O331" t="s">
        <v>29</v>
      </c>
      <c r="P331" t="s">
        <v>30</v>
      </c>
      <c r="Q331">
        <f t="shared" si="10"/>
        <v>16</v>
      </c>
      <c r="R331">
        <f t="shared" si="11"/>
        <v>11</v>
      </c>
    </row>
    <row r="332" spans="1:18" x14ac:dyDescent="0.25">
      <c r="A332" s="3">
        <v>330</v>
      </c>
      <c r="B332" s="3" t="s">
        <v>2979</v>
      </c>
      <c r="C332" t="s">
        <v>1674</v>
      </c>
      <c r="D332" t="s">
        <v>21</v>
      </c>
      <c r="E332"/>
      <c r="F332" s="9" t="s">
        <v>1675</v>
      </c>
      <c r="G332" t="s">
        <v>1663</v>
      </c>
      <c r="H332" t="s">
        <v>1664</v>
      </c>
      <c r="I332" t="s">
        <v>37</v>
      </c>
      <c r="J332" t="s">
        <v>1676</v>
      </c>
      <c r="K332" t="s">
        <v>25</v>
      </c>
      <c r="L332" t="s">
        <v>1666</v>
      </c>
      <c r="M332" t="s">
        <v>27</v>
      </c>
      <c r="N332" t="s">
        <v>1667</v>
      </c>
      <c r="O332" t="s">
        <v>29</v>
      </c>
      <c r="P332" t="s">
        <v>30</v>
      </c>
      <c r="Q332">
        <f t="shared" si="10"/>
        <v>16</v>
      </c>
      <c r="R332">
        <f t="shared" si="11"/>
        <v>15</v>
      </c>
    </row>
    <row r="333" spans="1:18" x14ac:dyDescent="0.25">
      <c r="A333" s="2">
        <v>331</v>
      </c>
      <c r="B333" s="3" t="s">
        <v>2979</v>
      </c>
      <c r="C333" t="s">
        <v>1677</v>
      </c>
      <c r="D333" t="s">
        <v>21</v>
      </c>
      <c r="E333"/>
      <c r="F333" s="9" t="s">
        <v>1678</v>
      </c>
      <c r="G333" t="s">
        <v>1663</v>
      </c>
      <c r="H333" t="s">
        <v>1664</v>
      </c>
      <c r="I333" t="s">
        <v>24</v>
      </c>
      <c r="J333" t="s">
        <v>1679</v>
      </c>
      <c r="K333" t="s">
        <v>25</v>
      </c>
      <c r="L333" t="s">
        <v>1666</v>
      </c>
      <c r="M333" t="s">
        <v>27</v>
      </c>
      <c r="N333" t="s">
        <v>1667</v>
      </c>
      <c r="O333" t="s">
        <v>29</v>
      </c>
      <c r="P333" t="s">
        <v>30</v>
      </c>
      <c r="Q333">
        <f t="shared" si="10"/>
        <v>16</v>
      </c>
      <c r="R333">
        <f t="shared" si="11"/>
        <v>15</v>
      </c>
    </row>
    <row r="334" spans="1:18" x14ac:dyDescent="0.25">
      <c r="A334" s="3">
        <v>332</v>
      </c>
      <c r="B334" s="3" t="s">
        <v>2979</v>
      </c>
      <c r="C334" t="s">
        <v>1680</v>
      </c>
      <c r="D334" t="s">
        <v>21</v>
      </c>
      <c r="E334"/>
      <c r="F334" s="9" t="s">
        <v>1681</v>
      </c>
      <c r="G334" t="s">
        <v>1663</v>
      </c>
      <c r="H334" t="s">
        <v>1664</v>
      </c>
      <c r="I334" t="s">
        <v>32</v>
      </c>
      <c r="J334" t="s">
        <v>1682</v>
      </c>
      <c r="K334" t="s">
        <v>25</v>
      </c>
      <c r="L334" t="s">
        <v>1666</v>
      </c>
      <c r="M334" t="s">
        <v>27</v>
      </c>
      <c r="N334" t="s">
        <v>1667</v>
      </c>
      <c r="O334" t="s">
        <v>29</v>
      </c>
      <c r="P334" t="s">
        <v>30</v>
      </c>
      <c r="Q334">
        <f t="shared" si="10"/>
        <v>16</v>
      </c>
      <c r="R334">
        <f t="shared" si="11"/>
        <v>15</v>
      </c>
    </row>
    <row r="335" spans="1:18" x14ac:dyDescent="0.25">
      <c r="A335" s="2">
        <v>333</v>
      </c>
      <c r="B335" s="3" t="s">
        <v>2979</v>
      </c>
      <c r="C335" t="s">
        <v>1683</v>
      </c>
      <c r="D335" t="s">
        <v>21</v>
      </c>
      <c r="E335"/>
      <c r="F335" s="9" t="s">
        <v>1684</v>
      </c>
      <c r="G335" t="s">
        <v>1685</v>
      </c>
      <c r="H335" t="s">
        <v>1686</v>
      </c>
      <c r="I335" t="s">
        <v>32</v>
      </c>
      <c r="J335" t="s">
        <v>1687</v>
      </c>
      <c r="K335" t="s">
        <v>25</v>
      </c>
      <c r="L335" t="s">
        <v>1688</v>
      </c>
      <c r="M335" t="s">
        <v>27</v>
      </c>
      <c r="N335" t="s">
        <v>1689</v>
      </c>
      <c r="O335" t="s">
        <v>29</v>
      </c>
      <c r="P335" t="s">
        <v>30</v>
      </c>
      <c r="Q335">
        <f t="shared" si="10"/>
        <v>16</v>
      </c>
      <c r="R335">
        <f t="shared" si="11"/>
        <v>13</v>
      </c>
    </row>
    <row r="336" spans="1:18" x14ac:dyDescent="0.25">
      <c r="A336" s="3">
        <v>334</v>
      </c>
      <c r="B336" s="3" t="s">
        <v>2979</v>
      </c>
      <c r="C336" t="s">
        <v>1690</v>
      </c>
      <c r="D336" t="s">
        <v>21</v>
      </c>
      <c r="E336"/>
      <c r="F336" s="9" t="s">
        <v>1691</v>
      </c>
      <c r="G336" t="s">
        <v>1692</v>
      </c>
      <c r="H336" t="s">
        <v>1693</v>
      </c>
      <c r="I336" t="s">
        <v>32</v>
      </c>
      <c r="J336" t="s">
        <v>1694</v>
      </c>
      <c r="K336" t="s">
        <v>25</v>
      </c>
      <c r="L336" t="s">
        <v>1695</v>
      </c>
      <c r="M336" t="s">
        <v>27</v>
      </c>
      <c r="N336" t="s">
        <v>1696</v>
      </c>
      <c r="O336" t="s">
        <v>29</v>
      </c>
      <c r="P336" t="s">
        <v>30</v>
      </c>
      <c r="Q336">
        <f t="shared" si="10"/>
        <v>16</v>
      </c>
      <c r="R336">
        <f t="shared" si="11"/>
        <v>13</v>
      </c>
    </row>
    <row r="337" spans="1:18" x14ac:dyDescent="0.25">
      <c r="A337" s="2">
        <v>335</v>
      </c>
      <c r="B337" s="3" t="s">
        <v>2979</v>
      </c>
      <c r="C337" t="s">
        <v>1697</v>
      </c>
      <c r="D337" t="s">
        <v>21</v>
      </c>
      <c r="E337"/>
      <c r="F337" s="9" t="s">
        <v>1698</v>
      </c>
      <c r="G337" t="s">
        <v>1699</v>
      </c>
      <c r="H337" t="s">
        <v>1700</v>
      </c>
      <c r="I337" t="s">
        <v>32</v>
      </c>
      <c r="J337" t="s">
        <v>1701</v>
      </c>
      <c r="K337" t="s">
        <v>25</v>
      </c>
      <c r="L337" t="s">
        <v>1702</v>
      </c>
      <c r="M337" t="s">
        <v>27</v>
      </c>
      <c r="N337" t="s">
        <v>1703</v>
      </c>
      <c r="O337" t="s">
        <v>29</v>
      </c>
      <c r="P337" t="s">
        <v>30</v>
      </c>
      <c r="Q337">
        <f t="shared" si="10"/>
        <v>16</v>
      </c>
      <c r="R337">
        <f t="shared" si="11"/>
        <v>13</v>
      </c>
    </row>
    <row r="338" spans="1:18" x14ac:dyDescent="0.25">
      <c r="A338" s="3">
        <v>336</v>
      </c>
      <c r="B338" s="3" t="s">
        <v>2979</v>
      </c>
      <c r="C338" t="s">
        <v>1704</v>
      </c>
      <c r="D338" t="s">
        <v>21</v>
      </c>
      <c r="E338"/>
      <c r="F338" s="9" t="s">
        <v>1705</v>
      </c>
      <c r="G338" t="s">
        <v>1706</v>
      </c>
      <c r="H338" t="s">
        <v>180</v>
      </c>
      <c r="I338" t="s">
        <v>37</v>
      </c>
      <c r="J338" t="s">
        <v>1707</v>
      </c>
      <c r="K338" t="s">
        <v>25</v>
      </c>
      <c r="L338" t="s">
        <v>1708</v>
      </c>
      <c r="M338" t="s">
        <v>27</v>
      </c>
      <c r="N338" t="s">
        <v>1709</v>
      </c>
      <c r="O338" t="s">
        <v>29</v>
      </c>
      <c r="P338" t="s">
        <v>30</v>
      </c>
      <c r="Q338">
        <f t="shared" si="10"/>
        <v>16</v>
      </c>
      <c r="R338">
        <f t="shared" si="11"/>
        <v>15</v>
      </c>
    </row>
    <row r="339" spans="1:18" x14ac:dyDescent="0.25">
      <c r="A339" s="2">
        <v>337</v>
      </c>
      <c r="B339" s="3" t="s">
        <v>2979</v>
      </c>
      <c r="C339" t="s">
        <v>1710</v>
      </c>
      <c r="D339" t="s">
        <v>21</v>
      </c>
      <c r="E339"/>
      <c r="F339" s="9" t="s">
        <v>1711</v>
      </c>
      <c r="G339" t="s">
        <v>1699</v>
      </c>
      <c r="H339" t="s">
        <v>1712</v>
      </c>
      <c r="I339" t="s">
        <v>37</v>
      </c>
      <c r="J339" t="s">
        <v>1713</v>
      </c>
      <c r="K339" t="s">
        <v>25</v>
      </c>
      <c r="L339" t="s">
        <v>1714</v>
      </c>
      <c r="M339" t="s">
        <v>27</v>
      </c>
      <c r="N339" t="s">
        <v>1715</v>
      </c>
      <c r="O339" t="s">
        <v>29</v>
      </c>
      <c r="P339" t="s">
        <v>30</v>
      </c>
      <c r="Q339">
        <f t="shared" si="10"/>
        <v>16</v>
      </c>
      <c r="R339">
        <f t="shared" si="11"/>
        <v>7</v>
      </c>
    </row>
    <row r="340" spans="1:18" x14ac:dyDescent="0.25">
      <c r="A340" s="3">
        <v>338</v>
      </c>
      <c r="B340" s="3" t="s">
        <v>2979</v>
      </c>
      <c r="C340" t="s">
        <v>1716</v>
      </c>
      <c r="D340" t="s">
        <v>21</v>
      </c>
      <c r="E340"/>
      <c r="F340" s="9" t="s">
        <v>1717</v>
      </c>
      <c r="G340" t="s">
        <v>1699</v>
      </c>
      <c r="H340" t="s">
        <v>1712</v>
      </c>
      <c r="I340" t="s">
        <v>24</v>
      </c>
      <c r="J340" t="s">
        <v>1718</v>
      </c>
      <c r="K340" t="s">
        <v>25</v>
      </c>
      <c r="L340" t="s">
        <v>1714</v>
      </c>
      <c r="M340" t="s">
        <v>27</v>
      </c>
      <c r="N340" t="s">
        <v>1715</v>
      </c>
      <c r="O340" t="s">
        <v>29</v>
      </c>
      <c r="P340" t="s">
        <v>30</v>
      </c>
      <c r="Q340">
        <f t="shared" si="10"/>
        <v>16</v>
      </c>
      <c r="R340">
        <f t="shared" si="11"/>
        <v>7</v>
      </c>
    </row>
    <row r="341" spans="1:18" x14ac:dyDescent="0.25">
      <c r="A341" s="2">
        <v>339</v>
      </c>
      <c r="B341" s="3" t="s">
        <v>2979</v>
      </c>
      <c r="C341" t="s">
        <v>1719</v>
      </c>
      <c r="D341" t="s">
        <v>21</v>
      </c>
      <c r="E341"/>
      <c r="F341" s="9" t="s">
        <v>1720</v>
      </c>
      <c r="G341" t="s">
        <v>1699</v>
      </c>
      <c r="H341" t="s">
        <v>1712</v>
      </c>
      <c r="I341" t="s">
        <v>32</v>
      </c>
      <c r="J341" t="s">
        <v>1721</v>
      </c>
      <c r="K341" t="s">
        <v>25</v>
      </c>
      <c r="L341" t="s">
        <v>1714</v>
      </c>
      <c r="M341" t="s">
        <v>27</v>
      </c>
      <c r="N341" t="s">
        <v>1715</v>
      </c>
      <c r="O341" t="s">
        <v>29</v>
      </c>
      <c r="P341" t="s">
        <v>30</v>
      </c>
      <c r="Q341">
        <f t="shared" si="10"/>
        <v>16</v>
      </c>
      <c r="R341">
        <f t="shared" si="11"/>
        <v>7</v>
      </c>
    </row>
    <row r="342" spans="1:18" x14ac:dyDescent="0.25">
      <c r="A342" s="3">
        <v>340</v>
      </c>
      <c r="B342" s="3" t="s">
        <v>2979</v>
      </c>
      <c r="C342" t="s">
        <v>1722</v>
      </c>
      <c r="D342" t="s">
        <v>21</v>
      </c>
      <c r="E342"/>
      <c r="F342" s="9" t="s">
        <v>1723</v>
      </c>
      <c r="G342" t="s">
        <v>1724</v>
      </c>
      <c r="H342" t="s">
        <v>160</v>
      </c>
      <c r="I342" t="s">
        <v>32</v>
      </c>
      <c r="J342" t="s">
        <v>1725</v>
      </c>
      <c r="K342" t="s">
        <v>25</v>
      </c>
      <c r="L342" t="s">
        <v>1726</v>
      </c>
      <c r="M342" t="s">
        <v>27</v>
      </c>
      <c r="N342" t="s">
        <v>1727</v>
      </c>
      <c r="O342" t="s">
        <v>29</v>
      </c>
      <c r="P342" t="s">
        <v>30</v>
      </c>
      <c r="Q342">
        <f t="shared" si="10"/>
        <v>16</v>
      </c>
      <c r="R342">
        <f t="shared" si="11"/>
        <v>13</v>
      </c>
    </row>
    <row r="343" spans="1:18" x14ac:dyDescent="0.25">
      <c r="A343" s="2">
        <v>341</v>
      </c>
      <c r="B343" s="3" t="s">
        <v>2979</v>
      </c>
      <c r="C343" t="s">
        <v>1728</v>
      </c>
      <c r="D343" t="s">
        <v>21</v>
      </c>
      <c r="E343"/>
      <c r="F343" s="9">
        <v>0</v>
      </c>
      <c r="G343" t="s">
        <v>1729</v>
      </c>
      <c r="H343" t="s">
        <v>37</v>
      </c>
      <c r="I343" t="s">
        <v>36</v>
      </c>
      <c r="J343" t="s">
        <v>1730</v>
      </c>
      <c r="K343" t="s">
        <v>25</v>
      </c>
      <c r="L343" t="s">
        <v>1731</v>
      </c>
      <c r="M343" t="s">
        <v>27</v>
      </c>
      <c r="N343" t="s">
        <v>1732</v>
      </c>
      <c r="O343" t="s">
        <v>29</v>
      </c>
      <c r="P343" t="s">
        <v>30</v>
      </c>
      <c r="Q343">
        <f t="shared" si="10"/>
        <v>16</v>
      </c>
      <c r="R343">
        <f t="shared" si="11"/>
        <v>15</v>
      </c>
    </row>
    <row r="344" spans="1:18" x14ac:dyDescent="0.25">
      <c r="A344" s="3">
        <v>342</v>
      </c>
      <c r="B344" s="3" t="s">
        <v>2979</v>
      </c>
      <c r="C344" t="s">
        <v>1733</v>
      </c>
      <c r="D344" t="s">
        <v>21</v>
      </c>
      <c r="E344"/>
      <c r="F344" s="9" t="s">
        <v>1734</v>
      </c>
      <c r="G344" t="s">
        <v>1735</v>
      </c>
      <c r="H344" t="s">
        <v>1736</v>
      </c>
      <c r="I344" t="s">
        <v>32</v>
      </c>
      <c r="J344" t="s">
        <v>1737</v>
      </c>
      <c r="K344" t="s">
        <v>25</v>
      </c>
      <c r="L344" t="s">
        <v>1738</v>
      </c>
      <c r="M344" t="s">
        <v>27</v>
      </c>
      <c r="N344" t="s">
        <v>1739</v>
      </c>
      <c r="O344" t="s">
        <v>29</v>
      </c>
      <c r="P344" t="s">
        <v>30</v>
      </c>
      <c r="Q344">
        <f t="shared" si="10"/>
        <v>16</v>
      </c>
      <c r="R344">
        <f t="shared" si="11"/>
        <v>14</v>
      </c>
    </row>
    <row r="345" spans="1:18" x14ac:dyDescent="0.25">
      <c r="A345" s="2">
        <v>343</v>
      </c>
      <c r="B345" s="3" t="s">
        <v>2979</v>
      </c>
      <c r="C345" t="s">
        <v>1740</v>
      </c>
      <c r="D345" t="s">
        <v>21</v>
      </c>
      <c r="E345"/>
      <c r="F345" s="9" t="s">
        <v>1741</v>
      </c>
      <c r="G345" t="s">
        <v>1742</v>
      </c>
      <c r="H345" t="s">
        <v>670</v>
      </c>
      <c r="I345" t="s">
        <v>32</v>
      </c>
      <c r="J345" t="s">
        <v>1743</v>
      </c>
      <c r="K345" t="s">
        <v>25</v>
      </c>
      <c r="L345" t="s">
        <v>1744</v>
      </c>
      <c r="M345" t="s">
        <v>27</v>
      </c>
      <c r="N345" t="s">
        <v>1745</v>
      </c>
      <c r="O345" t="s">
        <v>29</v>
      </c>
      <c r="P345" t="s">
        <v>30</v>
      </c>
      <c r="Q345">
        <f t="shared" si="10"/>
        <v>16</v>
      </c>
      <c r="R345">
        <f t="shared" si="11"/>
        <v>15</v>
      </c>
    </row>
    <row r="346" spans="1:18" x14ac:dyDescent="0.25">
      <c r="A346" s="3">
        <v>344</v>
      </c>
      <c r="B346" s="3" t="s">
        <v>2979</v>
      </c>
      <c r="C346" t="s">
        <v>1746</v>
      </c>
      <c r="D346" t="s">
        <v>21</v>
      </c>
      <c r="E346"/>
      <c r="F346" s="9" t="s">
        <v>1747</v>
      </c>
      <c r="G346" t="s">
        <v>1748</v>
      </c>
      <c r="H346" t="s">
        <v>1749</v>
      </c>
      <c r="I346" t="s">
        <v>32</v>
      </c>
      <c r="J346" t="s">
        <v>1750</v>
      </c>
      <c r="K346" t="s">
        <v>25</v>
      </c>
      <c r="L346" t="s">
        <v>1751</v>
      </c>
      <c r="M346" t="s">
        <v>27</v>
      </c>
      <c r="N346" t="s">
        <v>1752</v>
      </c>
      <c r="O346" t="s">
        <v>29</v>
      </c>
      <c r="P346" t="s">
        <v>30</v>
      </c>
      <c r="Q346">
        <f t="shared" si="10"/>
        <v>16</v>
      </c>
      <c r="R346">
        <f t="shared" si="11"/>
        <v>13</v>
      </c>
    </row>
    <row r="347" spans="1:18" x14ac:dyDescent="0.25">
      <c r="A347" s="2">
        <v>345</v>
      </c>
      <c r="B347" s="3" t="s">
        <v>2979</v>
      </c>
      <c r="C347" t="s">
        <v>1753</v>
      </c>
      <c r="D347" t="s">
        <v>21</v>
      </c>
      <c r="E347"/>
      <c r="F347" s="9" t="s">
        <v>1754</v>
      </c>
      <c r="G347" t="s">
        <v>1755</v>
      </c>
      <c r="H347" t="s">
        <v>24</v>
      </c>
      <c r="I347" t="s">
        <v>37</v>
      </c>
      <c r="J347" t="s">
        <v>1756</v>
      </c>
      <c r="K347" t="s">
        <v>25</v>
      </c>
      <c r="L347" t="s">
        <v>1757</v>
      </c>
      <c r="M347" t="s">
        <v>27</v>
      </c>
      <c r="N347" t="s">
        <v>1758</v>
      </c>
      <c r="O347" t="s">
        <v>29</v>
      </c>
      <c r="P347" t="s">
        <v>30</v>
      </c>
      <c r="Q347">
        <f t="shared" si="10"/>
        <v>16</v>
      </c>
      <c r="R347">
        <f t="shared" si="11"/>
        <v>15</v>
      </c>
    </row>
    <row r="348" spans="1:18" x14ac:dyDescent="0.25">
      <c r="A348" s="3">
        <v>346</v>
      </c>
      <c r="B348" s="3" t="s">
        <v>2979</v>
      </c>
      <c r="C348" t="s">
        <v>1759</v>
      </c>
      <c r="D348" t="s">
        <v>21</v>
      </c>
      <c r="E348"/>
      <c r="F348" s="9" t="s">
        <v>1760</v>
      </c>
      <c r="G348" t="s">
        <v>1755</v>
      </c>
      <c r="H348" t="s">
        <v>24</v>
      </c>
      <c r="I348" t="s">
        <v>24</v>
      </c>
      <c r="J348" t="s">
        <v>1761</v>
      </c>
      <c r="K348" t="s">
        <v>25</v>
      </c>
      <c r="L348" t="s">
        <v>1757</v>
      </c>
      <c r="M348" t="s">
        <v>27</v>
      </c>
      <c r="N348" t="s">
        <v>1758</v>
      </c>
      <c r="O348" t="s">
        <v>29</v>
      </c>
      <c r="P348" t="s">
        <v>30</v>
      </c>
      <c r="Q348">
        <f t="shared" si="10"/>
        <v>16</v>
      </c>
      <c r="R348">
        <f t="shared" si="11"/>
        <v>15</v>
      </c>
    </row>
    <row r="349" spans="1:18" x14ac:dyDescent="0.25">
      <c r="A349" s="2">
        <v>347</v>
      </c>
      <c r="B349" s="3" t="s">
        <v>2979</v>
      </c>
      <c r="C349" t="s">
        <v>1762</v>
      </c>
      <c r="D349" t="s">
        <v>21</v>
      </c>
      <c r="E349"/>
      <c r="F349" s="9" t="s">
        <v>1763</v>
      </c>
      <c r="G349" t="s">
        <v>1755</v>
      </c>
      <c r="H349" t="s">
        <v>24</v>
      </c>
      <c r="I349" t="s">
        <v>32</v>
      </c>
      <c r="J349" t="s">
        <v>1764</v>
      </c>
      <c r="K349" t="s">
        <v>25</v>
      </c>
      <c r="L349" t="s">
        <v>1757</v>
      </c>
      <c r="M349" t="s">
        <v>27</v>
      </c>
      <c r="N349" t="s">
        <v>1758</v>
      </c>
      <c r="O349" t="s">
        <v>29</v>
      </c>
      <c r="P349" t="s">
        <v>30</v>
      </c>
      <c r="Q349">
        <f t="shared" si="10"/>
        <v>16</v>
      </c>
      <c r="R349">
        <f t="shared" si="11"/>
        <v>15</v>
      </c>
    </row>
    <row r="350" spans="1:18" x14ac:dyDescent="0.25">
      <c r="A350" s="3">
        <v>348</v>
      </c>
      <c r="B350" s="3" t="s">
        <v>2979</v>
      </c>
      <c r="C350" t="s">
        <v>1765</v>
      </c>
      <c r="D350" t="s">
        <v>21</v>
      </c>
      <c r="E350"/>
      <c r="F350" s="9" t="s">
        <v>1766</v>
      </c>
      <c r="G350" t="s">
        <v>1767</v>
      </c>
      <c r="H350" t="s">
        <v>24</v>
      </c>
      <c r="I350" t="s">
        <v>24</v>
      </c>
      <c r="J350" t="s">
        <v>1768</v>
      </c>
      <c r="K350" t="s">
        <v>25</v>
      </c>
      <c r="L350" t="s">
        <v>1769</v>
      </c>
      <c r="M350" t="s">
        <v>27</v>
      </c>
      <c r="N350" t="s">
        <v>1770</v>
      </c>
      <c r="O350" t="s">
        <v>29</v>
      </c>
      <c r="P350" t="s">
        <v>30</v>
      </c>
      <c r="Q350">
        <f t="shared" si="10"/>
        <v>16</v>
      </c>
      <c r="R350">
        <f t="shared" si="11"/>
        <v>13</v>
      </c>
    </row>
    <row r="351" spans="1:18" x14ac:dyDescent="0.25">
      <c r="A351" s="2">
        <v>349</v>
      </c>
      <c r="B351" s="3" t="s">
        <v>2979</v>
      </c>
      <c r="C351" t="s">
        <v>1771</v>
      </c>
      <c r="D351" t="s">
        <v>21</v>
      </c>
      <c r="E351"/>
      <c r="F351" s="9" t="s">
        <v>1772</v>
      </c>
      <c r="G351" t="s">
        <v>1767</v>
      </c>
      <c r="H351" t="s">
        <v>24</v>
      </c>
      <c r="I351" t="s">
        <v>32</v>
      </c>
      <c r="J351" t="s">
        <v>1773</v>
      </c>
      <c r="K351" t="s">
        <v>25</v>
      </c>
      <c r="L351" t="s">
        <v>1769</v>
      </c>
      <c r="M351" t="s">
        <v>27</v>
      </c>
      <c r="N351" t="s">
        <v>1770</v>
      </c>
      <c r="O351" t="s">
        <v>29</v>
      </c>
      <c r="P351" t="s">
        <v>30</v>
      </c>
      <c r="Q351">
        <f t="shared" si="10"/>
        <v>16</v>
      </c>
      <c r="R351">
        <f t="shared" si="11"/>
        <v>13</v>
      </c>
    </row>
    <row r="352" spans="1:18" x14ac:dyDescent="0.25">
      <c r="A352" s="3">
        <v>350</v>
      </c>
      <c r="B352" s="3" t="s">
        <v>2979</v>
      </c>
      <c r="C352" t="s">
        <v>1774</v>
      </c>
      <c r="D352" t="s">
        <v>21</v>
      </c>
      <c r="E352"/>
      <c r="F352" s="9" t="s">
        <v>1775</v>
      </c>
      <c r="G352" t="s">
        <v>1776</v>
      </c>
      <c r="H352" t="s">
        <v>1777</v>
      </c>
      <c r="I352" t="s">
        <v>32</v>
      </c>
      <c r="J352" t="s">
        <v>1778</v>
      </c>
      <c r="K352" t="s">
        <v>25</v>
      </c>
      <c r="L352" t="s">
        <v>1779</v>
      </c>
      <c r="M352" t="s">
        <v>27</v>
      </c>
      <c r="N352" t="s">
        <v>1780</v>
      </c>
      <c r="O352" t="s">
        <v>29</v>
      </c>
      <c r="P352" t="s">
        <v>30</v>
      </c>
      <c r="Q352">
        <f t="shared" si="10"/>
        <v>16</v>
      </c>
      <c r="R352">
        <f t="shared" si="11"/>
        <v>14</v>
      </c>
    </row>
    <row r="353" spans="1:18" x14ac:dyDescent="0.25">
      <c r="A353" s="2">
        <v>351</v>
      </c>
      <c r="B353" s="3" t="s">
        <v>2979</v>
      </c>
      <c r="C353" t="s">
        <v>1781</v>
      </c>
      <c r="D353" t="s">
        <v>21</v>
      </c>
      <c r="E353"/>
      <c r="F353" s="9" t="s">
        <v>1782</v>
      </c>
      <c r="G353" t="s">
        <v>1783</v>
      </c>
      <c r="H353" t="s">
        <v>1784</v>
      </c>
      <c r="I353" t="s">
        <v>32</v>
      </c>
      <c r="J353" t="s">
        <v>1785</v>
      </c>
      <c r="K353" t="s">
        <v>25</v>
      </c>
      <c r="L353" t="s">
        <v>1786</v>
      </c>
      <c r="M353" t="s">
        <v>27</v>
      </c>
      <c r="N353" t="s">
        <v>1787</v>
      </c>
      <c r="O353" t="s">
        <v>29</v>
      </c>
      <c r="P353" t="s">
        <v>30</v>
      </c>
      <c r="Q353">
        <f>LEN(L353)</f>
        <v>16</v>
      </c>
      <c r="R353">
        <f t="shared" si="11"/>
        <v>13</v>
      </c>
    </row>
    <row r="354" spans="1:18" x14ac:dyDescent="0.25">
      <c r="A354" s="3">
        <v>352</v>
      </c>
      <c r="B354" s="3" t="s">
        <v>2979</v>
      </c>
      <c r="C354" t="s">
        <v>1788</v>
      </c>
      <c r="D354" t="s">
        <v>21</v>
      </c>
      <c r="E354"/>
      <c r="F354" s="9" t="s">
        <v>1789</v>
      </c>
      <c r="G354" t="s">
        <v>1790</v>
      </c>
      <c r="H354" t="s">
        <v>1791</v>
      </c>
      <c r="I354" t="s">
        <v>37</v>
      </c>
      <c r="J354" t="s">
        <v>1792</v>
      </c>
      <c r="K354" t="s">
        <v>25</v>
      </c>
      <c r="L354" t="s">
        <v>1793</v>
      </c>
      <c r="M354" t="s">
        <v>27</v>
      </c>
      <c r="N354" t="s">
        <v>1794</v>
      </c>
      <c r="O354" t="s">
        <v>29</v>
      </c>
      <c r="P354" t="s">
        <v>30</v>
      </c>
      <c r="Q354">
        <f t="shared" ref="Q354:Q417" si="12">LEN(L354)</f>
        <v>16</v>
      </c>
      <c r="R354">
        <f t="shared" si="11"/>
        <v>15</v>
      </c>
    </row>
    <row r="355" spans="1:18" x14ac:dyDescent="0.25">
      <c r="A355" s="2">
        <v>353</v>
      </c>
      <c r="B355" s="3" t="s">
        <v>2979</v>
      </c>
      <c r="C355" t="s">
        <v>1795</v>
      </c>
      <c r="D355" t="s">
        <v>21</v>
      </c>
      <c r="E355"/>
      <c r="F355" s="9" t="s">
        <v>1789</v>
      </c>
      <c r="G355" t="s">
        <v>1790</v>
      </c>
      <c r="H355" t="s">
        <v>1791</v>
      </c>
      <c r="I355" t="s">
        <v>24</v>
      </c>
      <c r="J355" t="s">
        <v>1796</v>
      </c>
      <c r="K355" t="s">
        <v>25</v>
      </c>
      <c r="L355" t="s">
        <v>1793</v>
      </c>
      <c r="M355" t="s">
        <v>27</v>
      </c>
      <c r="N355" t="s">
        <v>1794</v>
      </c>
      <c r="O355" t="s">
        <v>29</v>
      </c>
      <c r="P355" t="s">
        <v>30</v>
      </c>
      <c r="Q355">
        <f t="shared" si="12"/>
        <v>16</v>
      </c>
      <c r="R355">
        <f t="shared" si="11"/>
        <v>15</v>
      </c>
    </row>
    <row r="356" spans="1:18" x14ac:dyDescent="0.25">
      <c r="A356" s="3">
        <v>354</v>
      </c>
      <c r="B356" s="3" t="s">
        <v>2979</v>
      </c>
      <c r="C356" t="s">
        <v>1797</v>
      </c>
      <c r="D356" t="s">
        <v>21</v>
      </c>
      <c r="E356"/>
      <c r="F356" s="9" t="s">
        <v>1789</v>
      </c>
      <c r="G356" t="s">
        <v>1790</v>
      </c>
      <c r="H356" t="s">
        <v>1791</v>
      </c>
      <c r="I356" t="s">
        <v>32</v>
      </c>
      <c r="J356" t="s">
        <v>1798</v>
      </c>
      <c r="K356" t="s">
        <v>25</v>
      </c>
      <c r="L356" t="s">
        <v>1793</v>
      </c>
      <c r="M356" t="s">
        <v>27</v>
      </c>
      <c r="N356" t="s">
        <v>1794</v>
      </c>
      <c r="O356" t="s">
        <v>29</v>
      </c>
      <c r="P356" t="s">
        <v>30</v>
      </c>
      <c r="Q356">
        <f t="shared" si="12"/>
        <v>16</v>
      </c>
      <c r="R356">
        <f t="shared" si="11"/>
        <v>15</v>
      </c>
    </row>
    <row r="357" spans="1:18" x14ac:dyDescent="0.25">
      <c r="A357" s="2">
        <v>355</v>
      </c>
      <c r="B357" s="3" t="s">
        <v>2979</v>
      </c>
      <c r="C357" t="s">
        <v>1799</v>
      </c>
      <c r="D357" t="s">
        <v>21</v>
      </c>
      <c r="E357"/>
      <c r="F357" s="9" t="s">
        <v>1800</v>
      </c>
      <c r="G357" t="s">
        <v>1801</v>
      </c>
      <c r="H357" t="s">
        <v>120</v>
      </c>
      <c r="I357" t="s">
        <v>24</v>
      </c>
      <c r="J357" t="s">
        <v>1802</v>
      </c>
      <c r="K357" t="s">
        <v>25</v>
      </c>
      <c r="L357" t="s">
        <v>1803</v>
      </c>
      <c r="M357" t="s">
        <v>27</v>
      </c>
      <c r="N357" t="s">
        <v>1804</v>
      </c>
      <c r="O357" t="s">
        <v>29</v>
      </c>
      <c r="P357" t="s">
        <v>30</v>
      </c>
      <c r="Q357">
        <f t="shared" si="12"/>
        <v>16</v>
      </c>
      <c r="R357">
        <f t="shared" si="11"/>
        <v>13</v>
      </c>
    </row>
    <row r="358" spans="1:18" x14ac:dyDescent="0.25">
      <c r="A358" s="3">
        <v>356</v>
      </c>
      <c r="B358" s="3" t="s">
        <v>2979</v>
      </c>
      <c r="C358" t="s">
        <v>1805</v>
      </c>
      <c r="D358" t="s">
        <v>21</v>
      </c>
      <c r="E358"/>
      <c r="F358" s="9" t="s">
        <v>1806</v>
      </c>
      <c r="G358" t="s">
        <v>1801</v>
      </c>
      <c r="H358" t="s">
        <v>120</v>
      </c>
      <c r="I358" t="s">
        <v>32</v>
      </c>
      <c r="J358" t="s">
        <v>1807</v>
      </c>
      <c r="K358" t="s">
        <v>25</v>
      </c>
      <c r="L358" t="s">
        <v>1803</v>
      </c>
      <c r="M358" t="s">
        <v>27</v>
      </c>
      <c r="N358" t="s">
        <v>1804</v>
      </c>
      <c r="O358" t="s">
        <v>29</v>
      </c>
      <c r="P358" t="s">
        <v>30</v>
      </c>
      <c r="Q358">
        <f t="shared" si="12"/>
        <v>16</v>
      </c>
      <c r="R358">
        <f t="shared" si="11"/>
        <v>13</v>
      </c>
    </row>
    <row r="359" spans="1:18" x14ac:dyDescent="0.25">
      <c r="A359" s="2">
        <v>357</v>
      </c>
      <c r="B359" s="3" t="s">
        <v>2979</v>
      </c>
      <c r="C359" t="s">
        <v>1808</v>
      </c>
      <c r="D359" t="s">
        <v>21</v>
      </c>
      <c r="E359"/>
      <c r="F359" s="9" t="s">
        <v>1809</v>
      </c>
      <c r="G359" t="s">
        <v>1810</v>
      </c>
      <c r="H359" t="s">
        <v>174</v>
      </c>
      <c r="I359" t="s">
        <v>24</v>
      </c>
      <c r="J359" t="s">
        <v>1811</v>
      </c>
      <c r="K359" t="s">
        <v>25</v>
      </c>
      <c r="L359" t="s">
        <v>1812</v>
      </c>
      <c r="M359" t="s">
        <v>27</v>
      </c>
      <c r="N359" t="s">
        <v>1813</v>
      </c>
      <c r="O359" t="s">
        <v>29</v>
      </c>
      <c r="P359" t="s">
        <v>30</v>
      </c>
      <c r="Q359">
        <f t="shared" si="12"/>
        <v>16</v>
      </c>
      <c r="R359">
        <f t="shared" si="11"/>
        <v>15</v>
      </c>
    </row>
    <row r="360" spans="1:18" x14ac:dyDescent="0.25">
      <c r="A360" s="3">
        <v>358</v>
      </c>
      <c r="B360" s="3" t="s">
        <v>2979</v>
      </c>
      <c r="C360" t="s">
        <v>1814</v>
      </c>
      <c r="D360" t="s">
        <v>21</v>
      </c>
      <c r="E360"/>
      <c r="F360" s="9" t="s">
        <v>1815</v>
      </c>
      <c r="G360" t="s">
        <v>1810</v>
      </c>
      <c r="H360" t="s">
        <v>174</v>
      </c>
      <c r="I360" t="s">
        <v>32</v>
      </c>
      <c r="J360" t="s">
        <v>1816</v>
      </c>
      <c r="K360" t="s">
        <v>25</v>
      </c>
      <c r="L360" t="s">
        <v>1812</v>
      </c>
      <c r="M360" t="s">
        <v>27</v>
      </c>
      <c r="N360" t="s">
        <v>1813</v>
      </c>
      <c r="O360" t="s">
        <v>29</v>
      </c>
      <c r="P360" t="s">
        <v>30</v>
      </c>
      <c r="Q360">
        <f t="shared" si="12"/>
        <v>16</v>
      </c>
      <c r="R360">
        <f t="shared" si="11"/>
        <v>15</v>
      </c>
    </row>
    <row r="361" spans="1:18" x14ac:dyDescent="0.25">
      <c r="A361" s="2">
        <v>359</v>
      </c>
      <c r="B361" s="3" t="s">
        <v>2979</v>
      </c>
      <c r="C361" t="s">
        <v>1817</v>
      </c>
      <c r="D361" t="s">
        <v>21</v>
      </c>
      <c r="E361"/>
      <c r="F361" s="9" t="s">
        <v>1818</v>
      </c>
      <c r="G361" t="s">
        <v>1819</v>
      </c>
      <c r="H361" t="s">
        <v>1820</v>
      </c>
      <c r="I361" t="s">
        <v>32</v>
      </c>
      <c r="J361" t="s">
        <v>1821</v>
      </c>
      <c r="K361" t="s">
        <v>25</v>
      </c>
      <c r="L361" t="s">
        <v>1822</v>
      </c>
      <c r="M361" t="s">
        <v>27</v>
      </c>
      <c r="N361" t="s">
        <v>1823</v>
      </c>
      <c r="O361" t="s">
        <v>29</v>
      </c>
      <c r="P361" t="s">
        <v>30</v>
      </c>
      <c r="Q361">
        <f t="shared" si="12"/>
        <v>16</v>
      </c>
      <c r="R361">
        <f t="shared" si="11"/>
        <v>13</v>
      </c>
    </row>
    <row r="362" spans="1:18" x14ac:dyDescent="0.25">
      <c r="A362" s="3">
        <v>360</v>
      </c>
      <c r="B362" s="3" t="s">
        <v>2979</v>
      </c>
      <c r="C362" t="s">
        <v>1824</v>
      </c>
      <c r="D362" t="s">
        <v>21</v>
      </c>
      <c r="E362"/>
      <c r="F362" s="9" t="s">
        <v>1825</v>
      </c>
      <c r="G362" t="s">
        <v>1826</v>
      </c>
      <c r="H362" t="s">
        <v>213</v>
      </c>
      <c r="I362" t="s">
        <v>36</v>
      </c>
      <c r="J362" t="s">
        <v>1827</v>
      </c>
      <c r="K362" t="s">
        <v>25</v>
      </c>
      <c r="L362" t="s">
        <v>1828</v>
      </c>
      <c r="M362" t="s">
        <v>27</v>
      </c>
      <c r="N362" t="s">
        <v>1829</v>
      </c>
      <c r="O362" t="s">
        <v>29</v>
      </c>
      <c r="P362" t="s">
        <v>30</v>
      </c>
      <c r="Q362">
        <f t="shared" si="12"/>
        <v>16</v>
      </c>
      <c r="R362">
        <f t="shared" si="11"/>
        <v>14</v>
      </c>
    </row>
    <row r="363" spans="1:18" x14ac:dyDescent="0.25">
      <c r="A363" s="2">
        <v>361</v>
      </c>
      <c r="B363" s="3" t="s">
        <v>2979</v>
      </c>
      <c r="C363" t="s">
        <v>1830</v>
      </c>
      <c r="D363" t="s">
        <v>21</v>
      </c>
      <c r="E363"/>
      <c r="F363" s="9" t="s">
        <v>1831</v>
      </c>
      <c r="G363" t="s">
        <v>1826</v>
      </c>
      <c r="H363" t="s">
        <v>213</v>
      </c>
      <c r="I363" t="s">
        <v>37</v>
      </c>
      <c r="J363" t="s">
        <v>1832</v>
      </c>
      <c r="K363" t="s">
        <v>25</v>
      </c>
      <c r="L363" t="s">
        <v>1828</v>
      </c>
      <c r="M363" t="s">
        <v>27</v>
      </c>
      <c r="N363" t="s">
        <v>1829</v>
      </c>
      <c r="O363" t="s">
        <v>29</v>
      </c>
      <c r="P363" t="s">
        <v>30</v>
      </c>
      <c r="Q363">
        <f t="shared" si="12"/>
        <v>16</v>
      </c>
      <c r="R363">
        <f t="shared" si="11"/>
        <v>14</v>
      </c>
    </row>
    <row r="364" spans="1:18" x14ac:dyDescent="0.25">
      <c r="A364" s="3">
        <v>362</v>
      </c>
      <c r="B364" s="3" t="s">
        <v>2979</v>
      </c>
      <c r="C364" t="s">
        <v>1833</v>
      </c>
      <c r="D364" t="s">
        <v>21</v>
      </c>
      <c r="E364"/>
      <c r="F364" s="9">
        <v>0</v>
      </c>
      <c r="G364" t="s">
        <v>1826</v>
      </c>
      <c r="H364" t="s">
        <v>213</v>
      </c>
      <c r="I364" t="s">
        <v>24</v>
      </c>
      <c r="J364" t="s">
        <v>1834</v>
      </c>
      <c r="K364" t="s">
        <v>25</v>
      </c>
      <c r="L364" t="s">
        <v>1828</v>
      </c>
      <c r="M364" t="s">
        <v>27</v>
      </c>
      <c r="N364" t="s">
        <v>1829</v>
      </c>
      <c r="O364" t="s">
        <v>29</v>
      </c>
      <c r="P364" t="s">
        <v>30</v>
      </c>
      <c r="Q364">
        <f t="shared" si="12"/>
        <v>16</v>
      </c>
      <c r="R364">
        <f t="shared" si="11"/>
        <v>14</v>
      </c>
    </row>
    <row r="365" spans="1:18" x14ac:dyDescent="0.25">
      <c r="A365" s="2">
        <v>363</v>
      </c>
      <c r="B365" s="3" t="s">
        <v>2979</v>
      </c>
      <c r="C365" t="s">
        <v>1835</v>
      </c>
      <c r="D365" t="s">
        <v>21</v>
      </c>
      <c r="E365"/>
      <c r="F365" s="9" t="s">
        <v>1836</v>
      </c>
      <c r="G365" t="s">
        <v>1826</v>
      </c>
      <c r="H365" t="s">
        <v>213</v>
      </c>
      <c r="I365" t="s">
        <v>32</v>
      </c>
      <c r="J365" t="s">
        <v>1837</v>
      </c>
      <c r="K365" t="s">
        <v>25</v>
      </c>
      <c r="L365" t="s">
        <v>1828</v>
      </c>
      <c r="M365" t="s">
        <v>27</v>
      </c>
      <c r="N365" t="s">
        <v>1829</v>
      </c>
      <c r="O365" t="s">
        <v>29</v>
      </c>
      <c r="P365" t="s">
        <v>30</v>
      </c>
      <c r="Q365">
        <f t="shared" si="12"/>
        <v>16</v>
      </c>
      <c r="R365">
        <f t="shared" si="11"/>
        <v>14</v>
      </c>
    </row>
    <row r="366" spans="1:18" x14ac:dyDescent="0.25">
      <c r="A366" s="3">
        <v>364</v>
      </c>
      <c r="B366" s="3" t="s">
        <v>2979</v>
      </c>
      <c r="C366" t="s">
        <v>1838</v>
      </c>
      <c r="D366" t="s">
        <v>21</v>
      </c>
      <c r="E366"/>
      <c r="F366" s="9" t="s">
        <v>1839</v>
      </c>
      <c r="G366" t="s">
        <v>1840</v>
      </c>
      <c r="H366" t="s">
        <v>271</v>
      </c>
      <c r="I366" t="s">
        <v>24</v>
      </c>
      <c r="J366" t="s">
        <v>1841</v>
      </c>
      <c r="K366" t="s">
        <v>25</v>
      </c>
      <c r="L366" t="s">
        <v>1842</v>
      </c>
      <c r="M366" t="s">
        <v>27</v>
      </c>
      <c r="N366" t="s">
        <v>1843</v>
      </c>
      <c r="O366" t="s">
        <v>29</v>
      </c>
      <c r="P366" t="s">
        <v>30</v>
      </c>
      <c r="Q366">
        <f t="shared" si="12"/>
        <v>16</v>
      </c>
      <c r="R366">
        <f t="shared" si="11"/>
        <v>15</v>
      </c>
    </row>
    <row r="367" spans="1:18" x14ac:dyDescent="0.25">
      <c r="A367" s="2">
        <v>365</v>
      </c>
      <c r="B367" s="3" t="s">
        <v>2979</v>
      </c>
      <c r="C367" t="s">
        <v>1844</v>
      </c>
      <c r="D367" t="s">
        <v>21</v>
      </c>
      <c r="E367"/>
      <c r="F367" s="9" t="s">
        <v>1845</v>
      </c>
      <c r="G367" t="s">
        <v>1846</v>
      </c>
      <c r="H367" t="s">
        <v>1847</v>
      </c>
      <c r="I367" t="s">
        <v>32</v>
      </c>
      <c r="J367" t="s">
        <v>1848</v>
      </c>
      <c r="K367" t="s">
        <v>25</v>
      </c>
      <c r="L367" t="s">
        <v>1849</v>
      </c>
      <c r="M367" t="s">
        <v>27</v>
      </c>
      <c r="N367" t="s">
        <v>1850</v>
      </c>
      <c r="O367" t="s">
        <v>29</v>
      </c>
      <c r="P367" t="s">
        <v>30</v>
      </c>
      <c r="Q367">
        <f t="shared" si="12"/>
        <v>16</v>
      </c>
      <c r="R367">
        <f t="shared" si="11"/>
        <v>14</v>
      </c>
    </row>
    <row r="368" spans="1:18" x14ac:dyDescent="0.25">
      <c r="A368" s="3">
        <v>366</v>
      </c>
      <c r="B368" s="3" t="s">
        <v>2979</v>
      </c>
      <c r="C368" t="s">
        <v>1851</v>
      </c>
      <c r="D368" t="s">
        <v>21</v>
      </c>
      <c r="E368"/>
      <c r="F368" s="9">
        <v>0</v>
      </c>
      <c r="G368" t="s">
        <v>1852</v>
      </c>
      <c r="H368" t="s">
        <v>1853</v>
      </c>
      <c r="I368" t="s">
        <v>37</v>
      </c>
      <c r="J368" t="s">
        <v>1854</v>
      </c>
      <c r="K368" t="s">
        <v>25</v>
      </c>
      <c r="L368" t="s">
        <v>1855</v>
      </c>
      <c r="M368" t="s">
        <v>27</v>
      </c>
      <c r="N368" t="s">
        <v>1856</v>
      </c>
      <c r="O368" t="s">
        <v>29</v>
      </c>
      <c r="P368" t="s">
        <v>30</v>
      </c>
      <c r="Q368">
        <f t="shared" si="12"/>
        <v>16</v>
      </c>
      <c r="R368">
        <f t="shared" si="11"/>
        <v>15</v>
      </c>
    </row>
    <row r="369" spans="1:18" x14ac:dyDescent="0.25">
      <c r="A369" s="2">
        <v>367</v>
      </c>
      <c r="B369" s="3" t="s">
        <v>2979</v>
      </c>
      <c r="C369" t="s">
        <v>1857</v>
      </c>
      <c r="D369" t="s">
        <v>21</v>
      </c>
      <c r="E369"/>
      <c r="F369" s="9" t="s">
        <v>1858</v>
      </c>
      <c r="G369" t="s">
        <v>1852</v>
      </c>
      <c r="H369" t="s">
        <v>1853</v>
      </c>
      <c r="I369" t="s">
        <v>24</v>
      </c>
      <c r="J369" t="s">
        <v>1859</v>
      </c>
      <c r="K369" t="s">
        <v>25</v>
      </c>
      <c r="L369" t="s">
        <v>1855</v>
      </c>
      <c r="M369" t="s">
        <v>27</v>
      </c>
      <c r="N369" t="s">
        <v>1856</v>
      </c>
      <c r="O369" t="s">
        <v>29</v>
      </c>
      <c r="P369" t="s">
        <v>30</v>
      </c>
      <c r="Q369">
        <f t="shared" si="12"/>
        <v>16</v>
      </c>
      <c r="R369">
        <f t="shared" si="11"/>
        <v>15</v>
      </c>
    </row>
    <row r="370" spans="1:18" x14ac:dyDescent="0.25">
      <c r="A370" s="3">
        <v>368</v>
      </c>
      <c r="B370" s="3" t="s">
        <v>2979</v>
      </c>
      <c r="C370" t="s">
        <v>1860</v>
      </c>
      <c r="D370" t="s">
        <v>21</v>
      </c>
      <c r="E370"/>
      <c r="F370" s="9" t="s">
        <v>1861</v>
      </c>
      <c r="G370" t="s">
        <v>1852</v>
      </c>
      <c r="H370" t="s">
        <v>1853</v>
      </c>
      <c r="I370" t="s">
        <v>32</v>
      </c>
      <c r="J370" t="s">
        <v>1862</v>
      </c>
      <c r="K370" t="s">
        <v>25</v>
      </c>
      <c r="L370" t="s">
        <v>1855</v>
      </c>
      <c r="M370" t="s">
        <v>27</v>
      </c>
      <c r="N370" t="s">
        <v>1856</v>
      </c>
      <c r="O370" t="s">
        <v>29</v>
      </c>
      <c r="P370" t="s">
        <v>30</v>
      </c>
      <c r="Q370">
        <f t="shared" si="12"/>
        <v>16</v>
      </c>
      <c r="R370">
        <f t="shared" si="11"/>
        <v>15</v>
      </c>
    </row>
    <row r="371" spans="1:18" x14ac:dyDescent="0.25">
      <c r="A371" s="2">
        <v>369</v>
      </c>
      <c r="B371" s="3" t="s">
        <v>2979</v>
      </c>
      <c r="C371" t="s">
        <v>1863</v>
      </c>
      <c r="D371" t="s">
        <v>21</v>
      </c>
      <c r="E371"/>
      <c r="F371" s="9" t="s">
        <v>1864</v>
      </c>
      <c r="G371" t="s">
        <v>1865</v>
      </c>
      <c r="H371" t="s">
        <v>1866</v>
      </c>
      <c r="I371" t="s">
        <v>32</v>
      </c>
      <c r="J371" t="s">
        <v>1867</v>
      </c>
      <c r="K371" t="s">
        <v>25</v>
      </c>
      <c r="L371" t="s">
        <v>1868</v>
      </c>
      <c r="M371" t="s">
        <v>27</v>
      </c>
      <c r="N371" t="s">
        <v>1869</v>
      </c>
      <c r="O371" t="s">
        <v>29</v>
      </c>
      <c r="P371" t="s">
        <v>30</v>
      </c>
      <c r="Q371">
        <f t="shared" si="12"/>
        <v>16</v>
      </c>
      <c r="R371">
        <f t="shared" si="11"/>
        <v>15</v>
      </c>
    </row>
    <row r="372" spans="1:18" x14ac:dyDescent="0.25">
      <c r="A372" s="3">
        <v>370</v>
      </c>
      <c r="B372" s="3" t="s">
        <v>2979</v>
      </c>
      <c r="C372" t="s">
        <v>1870</v>
      </c>
      <c r="D372" t="s">
        <v>21</v>
      </c>
      <c r="E372"/>
      <c r="F372" s="9" t="s">
        <v>1871</v>
      </c>
      <c r="G372" t="s">
        <v>1872</v>
      </c>
      <c r="H372" t="s">
        <v>106</v>
      </c>
      <c r="I372" t="s">
        <v>32</v>
      </c>
      <c r="J372" t="s">
        <v>1873</v>
      </c>
      <c r="K372" t="s">
        <v>25</v>
      </c>
      <c r="L372" t="s">
        <v>1874</v>
      </c>
      <c r="M372" t="s">
        <v>27</v>
      </c>
      <c r="N372" t="s">
        <v>1875</v>
      </c>
      <c r="O372" t="s">
        <v>29</v>
      </c>
      <c r="P372" t="s">
        <v>30</v>
      </c>
      <c r="Q372">
        <f t="shared" si="12"/>
        <v>16</v>
      </c>
      <c r="R372">
        <f t="shared" si="11"/>
        <v>13</v>
      </c>
    </row>
    <row r="373" spans="1:18" x14ac:dyDescent="0.25">
      <c r="A373" s="2">
        <v>371</v>
      </c>
      <c r="B373" s="3" t="s">
        <v>2979</v>
      </c>
      <c r="C373" t="s">
        <v>1876</v>
      </c>
      <c r="D373" t="s">
        <v>21</v>
      </c>
      <c r="E373"/>
      <c r="F373" s="9" t="s">
        <v>1877</v>
      </c>
      <c r="G373" t="s">
        <v>1878</v>
      </c>
      <c r="H373" t="s">
        <v>198</v>
      </c>
      <c r="I373" t="s">
        <v>32</v>
      </c>
      <c r="J373" t="s">
        <v>1879</v>
      </c>
      <c r="K373" t="s">
        <v>25</v>
      </c>
      <c r="L373" t="s">
        <v>1880</v>
      </c>
      <c r="M373" t="s">
        <v>27</v>
      </c>
      <c r="N373" t="s">
        <v>1881</v>
      </c>
      <c r="O373" t="s">
        <v>29</v>
      </c>
      <c r="P373" t="s">
        <v>30</v>
      </c>
      <c r="Q373">
        <f t="shared" si="12"/>
        <v>16</v>
      </c>
      <c r="R373">
        <f t="shared" si="11"/>
        <v>15</v>
      </c>
    </row>
    <row r="374" spans="1:18" x14ac:dyDescent="0.25">
      <c r="A374" s="3">
        <v>372</v>
      </c>
      <c r="B374" s="3" t="s">
        <v>2979</v>
      </c>
      <c r="C374" t="s">
        <v>1882</v>
      </c>
      <c r="D374" t="s">
        <v>21</v>
      </c>
      <c r="E374"/>
      <c r="F374" s="9" t="s">
        <v>1883</v>
      </c>
      <c r="G374" t="s">
        <v>1878</v>
      </c>
      <c r="H374" t="s">
        <v>1531</v>
      </c>
      <c r="I374" t="s">
        <v>32</v>
      </c>
      <c r="J374" t="s">
        <v>1884</v>
      </c>
      <c r="K374" t="s">
        <v>25</v>
      </c>
      <c r="L374" t="s">
        <v>1880</v>
      </c>
      <c r="M374" t="s">
        <v>27</v>
      </c>
      <c r="N374" t="s">
        <v>1881</v>
      </c>
      <c r="O374" t="s">
        <v>29</v>
      </c>
      <c r="P374" t="s">
        <v>30</v>
      </c>
      <c r="Q374">
        <f t="shared" si="12"/>
        <v>16</v>
      </c>
      <c r="R374">
        <f t="shared" si="11"/>
        <v>15</v>
      </c>
    </row>
    <row r="375" spans="1:18" x14ac:dyDescent="0.25">
      <c r="A375" s="2">
        <v>373</v>
      </c>
      <c r="B375" s="3" t="s">
        <v>2979</v>
      </c>
      <c r="C375" t="s">
        <v>1885</v>
      </c>
      <c r="D375" t="s">
        <v>21</v>
      </c>
      <c r="E375"/>
      <c r="F375" s="9" t="s">
        <v>1886</v>
      </c>
      <c r="G375" t="s">
        <v>1887</v>
      </c>
      <c r="H375" t="s">
        <v>1888</v>
      </c>
      <c r="I375" t="s">
        <v>32</v>
      </c>
      <c r="J375" t="s">
        <v>1889</v>
      </c>
      <c r="K375" t="s">
        <v>25</v>
      </c>
      <c r="L375" t="s">
        <v>1890</v>
      </c>
      <c r="M375" t="s">
        <v>27</v>
      </c>
      <c r="N375" t="s">
        <v>1891</v>
      </c>
      <c r="O375" t="s">
        <v>29</v>
      </c>
      <c r="P375" t="s">
        <v>30</v>
      </c>
      <c r="Q375">
        <f t="shared" si="12"/>
        <v>16</v>
      </c>
      <c r="R375">
        <f t="shared" si="11"/>
        <v>15</v>
      </c>
    </row>
    <row r="376" spans="1:18" x14ac:dyDescent="0.25">
      <c r="A376" s="3">
        <v>374</v>
      </c>
      <c r="B376" s="3" t="s">
        <v>2979</v>
      </c>
      <c r="C376" t="s">
        <v>1892</v>
      </c>
      <c r="D376" t="s">
        <v>21</v>
      </c>
      <c r="E376"/>
      <c r="F376" s="9" t="s">
        <v>1893</v>
      </c>
      <c r="G376" t="s">
        <v>1894</v>
      </c>
      <c r="H376" t="s">
        <v>843</v>
      </c>
      <c r="I376" t="s">
        <v>32</v>
      </c>
      <c r="J376" t="s">
        <v>1895</v>
      </c>
      <c r="K376" t="s">
        <v>25</v>
      </c>
      <c r="L376" t="s">
        <v>1896</v>
      </c>
      <c r="M376" t="s">
        <v>27</v>
      </c>
      <c r="N376" t="s">
        <v>1897</v>
      </c>
      <c r="O376" t="s">
        <v>29</v>
      </c>
      <c r="P376" t="s">
        <v>30</v>
      </c>
      <c r="Q376">
        <f t="shared" si="12"/>
        <v>16</v>
      </c>
      <c r="R376">
        <f t="shared" si="11"/>
        <v>13</v>
      </c>
    </row>
    <row r="377" spans="1:18" x14ac:dyDescent="0.25">
      <c r="A377" s="2">
        <v>375</v>
      </c>
      <c r="B377" s="3" t="s">
        <v>2979</v>
      </c>
      <c r="C377" t="s">
        <v>1898</v>
      </c>
      <c r="D377" t="s">
        <v>21</v>
      </c>
      <c r="E377"/>
      <c r="F377" s="9" t="s">
        <v>1899</v>
      </c>
      <c r="G377" t="s">
        <v>1894</v>
      </c>
      <c r="H377" t="s">
        <v>1900</v>
      </c>
      <c r="I377" t="s">
        <v>32</v>
      </c>
      <c r="J377" t="s">
        <v>1901</v>
      </c>
      <c r="K377" t="s">
        <v>25</v>
      </c>
      <c r="L377" t="s">
        <v>1902</v>
      </c>
      <c r="M377" t="s">
        <v>27</v>
      </c>
      <c r="N377" t="s">
        <v>1903</v>
      </c>
      <c r="O377" t="s">
        <v>29</v>
      </c>
      <c r="P377" t="s">
        <v>30</v>
      </c>
      <c r="Q377">
        <f t="shared" si="12"/>
        <v>16</v>
      </c>
      <c r="R377">
        <f t="shared" si="11"/>
        <v>13</v>
      </c>
    </row>
    <row r="378" spans="1:18" x14ac:dyDescent="0.25">
      <c r="A378" s="3">
        <v>376</v>
      </c>
      <c r="B378" s="3" t="s">
        <v>2979</v>
      </c>
      <c r="C378" t="s">
        <v>1904</v>
      </c>
      <c r="D378" t="s">
        <v>21</v>
      </c>
      <c r="E378"/>
      <c r="F378" s="9" t="s">
        <v>1905</v>
      </c>
      <c r="G378" t="s">
        <v>1906</v>
      </c>
      <c r="H378" t="s">
        <v>1907</v>
      </c>
      <c r="I378" t="s">
        <v>36</v>
      </c>
      <c r="J378" t="s">
        <v>1908</v>
      </c>
      <c r="K378" t="s">
        <v>25</v>
      </c>
      <c r="L378" t="s">
        <v>1909</v>
      </c>
      <c r="M378" t="s">
        <v>27</v>
      </c>
      <c r="N378"/>
      <c r="O378" t="s">
        <v>29</v>
      </c>
      <c r="P378" t="s">
        <v>30</v>
      </c>
      <c r="Q378">
        <f t="shared" si="12"/>
        <v>16</v>
      </c>
      <c r="R378">
        <f t="shared" si="11"/>
        <v>0</v>
      </c>
    </row>
    <row r="379" spans="1:18" x14ac:dyDescent="0.25">
      <c r="A379" s="2">
        <v>377</v>
      </c>
      <c r="B379" s="3" t="s">
        <v>2979</v>
      </c>
      <c r="C379" t="s">
        <v>1910</v>
      </c>
      <c r="D379" t="s">
        <v>21</v>
      </c>
      <c r="E379"/>
      <c r="F379" s="9" t="s">
        <v>1911</v>
      </c>
      <c r="G379" t="s">
        <v>1906</v>
      </c>
      <c r="H379" t="s">
        <v>619</v>
      </c>
      <c r="I379" t="s">
        <v>32</v>
      </c>
      <c r="J379" t="s">
        <v>1912</v>
      </c>
      <c r="K379" t="s">
        <v>25</v>
      </c>
      <c r="L379" t="s">
        <v>1913</v>
      </c>
      <c r="M379" t="s">
        <v>27</v>
      </c>
      <c r="N379" t="s">
        <v>1914</v>
      </c>
      <c r="O379" t="s">
        <v>29</v>
      </c>
      <c r="P379" t="s">
        <v>30</v>
      </c>
      <c r="Q379">
        <f t="shared" si="12"/>
        <v>16</v>
      </c>
      <c r="R379">
        <f t="shared" si="11"/>
        <v>13</v>
      </c>
    </row>
    <row r="380" spans="1:18" x14ac:dyDescent="0.25">
      <c r="A380" s="3">
        <v>378</v>
      </c>
      <c r="B380" s="3" t="s">
        <v>2979</v>
      </c>
      <c r="C380" t="s">
        <v>1915</v>
      </c>
      <c r="D380" t="s">
        <v>21</v>
      </c>
      <c r="E380"/>
      <c r="F380" s="9" t="s">
        <v>1916</v>
      </c>
      <c r="G380" t="s">
        <v>1906</v>
      </c>
      <c r="H380" t="s">
        <v>1917</v>
      </c>
      <c r="I380" t="s">
        <v>32</v>
      </c>
      <c r="J380" t="s">
        <v>1918</v>
      </c>
      <c r="K380" t="s">
        <v>25</v>
      </c>
      <c r="L380" t="s">
        <v>1919</v>
      </c>
      <c r="M380" t="s">
        <v>27</v>
      </c>
      <c r="N380" t="s">
        <v>1920</v>
      </c>
      <c r="O380" t="s">
        <v>29</v>
      </c>
      <c r="P380" t="s">
        <v>30</v>
      </c>
      <c r="Q380">
        <f t="shared" si="12"/>
        <v>16</v>
      </c>
      <c r="R380">
        <f t="shared" si="11"/>
        <v>15</v>
      </c>
    </row>
    <row r="381" spans="1:18" x14ac:dyDescent="0.25">
      <c r="A381" s="2">
        <v>379</v>
      </c>
      <c r="B381" s="3" t="s">
        <v>2979</v>
      </c>
      <c r="C381" t="s">
        <v>1921</v>
      </c>
      <c r="D381" t="s">
        <v>21</v>
      </c>
      <c r="E381"/>
      <c r="F381" s="9" t="s">
        <v>1922</v>
      </c>
      <c r="G381" t="s">
        <v>1906</v>
      </c>
      <c r="H381" t="s">
        <v>1917</v>
      </c>
      <c r="I381" t="s">
        <v>24</v>
      </c>
      <c r="J381" t="s">
        <v>1923</v>
      </c>
      <c r="K381" t="s">
        <v>25</v>
      </c>
      <c r="L381" t="s">
        <v>1919</v>
      </c>
      <c r="M381" t="s">
        <v>27</v>
      </c>
      <c r="N381" t="s">
        <v>1920</v>
      </c>
      <c r="O381" t="s">
        <v>29</v>
      </c>
      <c r="P381" t="s">
        <v>30</v>
      </c>
      <c r="Q381">
        <f t="shared" si="12"/>
        <v>16</v>
      </c>
      <c r="R381">
        <f t="shared" si="11"/>
        <v>15</v>
      </c>
    </row>
    <row r="382" spans="1:18" x14ac:dyDescent="0.25">
      <c r="A382" s="3">
        <v>380</v>
      </c>
      <c r="B382" s="3" t="s">
        <v>2979</v>
      </c>
      <c r="C382" t="s">
        <v>1924</v>
      </c>
      <c r="D382" t="s">
        <v>21</v>
      </c>
      <c r="E382"/>
      <c r="F382" s="9" t="s">
        <v>1925</v>
      </c>
      <c r="G382" t="s">
        <v>1906</v>
      </c>
      <c r="H382" t="s">
        <v>1917</v>
      </c>
      <c r="I382" t="s">
        <v>37</v>
      </c>
      <c r="J382" t="s">
        <v>1926</v>
      </c>
      <c r="K382" t="s">
        <v>25</v>
      </c>
      <c r="L382" t="s">
        <v>1919</v>
      </c>
      <c r="M382" t="s">
        <v>27</v>
      </c>
      <c r="N382" t="s">
        <v>1920</v>
      </c>
      <c r="O382" t="s">
        <v>29</v>
      </c>
      <c r="P382" t="s">
        <v>30</v>
      </c>
      <c r="Q382">
        <f t="shared" si="12"/>
        <v>16</v>
      </c>
      <c r="R382">
        <f t="shared" si="11"/>
        <v>15</v>
      </c>
    </row>
    <row r="383" spans="1:18" x14ac:dyDescent="0.25">
      <c r="A383" s="2">
        <v>381</v>
      </c>
      <c r="B383" s="3" t="s">
        <v>2979</v>
      </c>
      <c r="C383" t="s">
        <v>1927</v>
      </c>
      <c r="D383" t="s">
        <v>21</v>
      </c>
      <c r="E383"/>
      <c r="F383" s="9" t="s">
        <v>1928</v>
      </c>
      <c r="G383" t="s">
        <v>1906</v>
      </c>
      <c r="H383" t="s">
        <v>1929</v>
      </c>
      <c r="I383" t="s">
        <v>32</v>
      </c>
      <c r="J383" t="s">
        <v>1930</v>
      </c>
      <c r="K383" t="s">
        <v>25</v>
      </c>
      <c r="L383" t="s">
        <v>1931</v>
      </c>
      <c r="M383" t="s">
        <v>27</v>
      </c>
      <c r="N383" t="s">
        <v>1932</v>
      </c>
      <c r="O383" t="s">
        <v>29</v>
      </c>
      <c r="P383" t="s">
        <v>30</v>
      </c>
      <c r="Q383">
        <f t="shared" si="12"/>
        <v>16</v>
      </c>
      <c r="R383">
        <f t="shared" si="11"/>
        <v>13</v>
      </c>
    </row>
    <row r="384" spans="1:18" x14ac:dyDescent="0.25">
      <c r="A384" s="3">
        <v>382</v>
      </c>
      <c r="B384" s="3" t="s">
        <v>2979</v>
      </c>
      <c r="C384" t="s">
        <v>1933</v>
      </c>
      <c r="D384" t="s">
        <v>21</v>
      </c>
      <c r="E384"/>
      <c r="F384" s="9" t="s">
        <v>1934</v>
      </c>
      <c r="G384" t="s">
        <v>1906</v>
      </c>
      <c r="H384" t="s">
        <v>1929</v>
      </c>
      <c r="I384" t="s">
        <v>24</v>
      </c>
      <c r="J384" t="s">
        <v>1935</v>
      </c>
      <c r="K384" t="s">
        <v>25</v>
      </c>
      <c r="L384" t="s">
        <v>1931</v>
      </c>
      <c r="M384" t="s">
        <v>27</v>
      </c>
      <c r="N384" t="s">
        <v>1932</v>
      </c>
      <c r="O384" t="s">
        <v>29</v>
      </c>
      <c r="P384" t="s">
        <v>30</v>
      </c>
      <c r="Q384">
        <f t="shared" si="12"/>
        <v>16</v>
      </c>
      <c r="R384">
        <f t="shared" si="11"/>
        <v>13</v>
      </c>
    </row>
    <row r="385" spans="1:18" x14ac:dyDescent="0.25">
      <c r="A385" s="2">
        <v>383</v>
      </c>
      <c r="B385" s="3" t="s">
        <v>2979</v>
      </c>
      <c r="C385" t="s">
        <v>1936</v>
      </c>
      <c r="D385" t="s">
        <v>21</v>
      </c>
      <c r="E385"/>
      <c r="F385" s="9" t="s">
        <v>1937</v>
      </c>
      <c r="G385" t="s">
        <v>1906</v>
      </c>
      <c r="H385" t="s">
        <v>1929</v>
      </c>
      <c r="I385" t="s">
        <v>37</v>
      </c>
      <c r="J385" t="s">
        <v>1938</v>
      </c>
      <c r="K385" t="s">
        <v>25</v>
      </c>
      <c r="L385" t="s">
        <v>1931</v>
      </c>
      <c r="M385" t="s">
        <v>27</v>
      </c>
      <c r="N385" t="s">
        <v>1932</v>
      </c>
      <c r="O385" t="s">
        <v>29</v>
      </c>
      <c r="P385" t="s">
        <v>30</v>
      </c>
      <c r="Q385">
        <f t="shared" si="12"/>
        <v>16</v>
      </c>
      <c r="R385">
        <f t="shared" si="11"/>
        <v>13</v>
      </c>
    </row>
    <row r="386" spans="1:18" x14ac:dyDescent="0.25">
      <c r="A386" s="3">
        <v>384</v>
      </c>
      <c r="B386" s="3" t="s">
        <v>2979</v>
      </c>
      <c r="C386" t="s">
        <v>1939</v>
      </c>
      <c r="D386" t="s">
        <v>21</v>
      </c>
      <c r="E386"/>
      <c r="F386" s="9" t="s">
        <v>1940</v>
      </c>
      <c r="G386" t="s">
        <v>1894</v>
      </c>
      <c r="H386" t="s">
        <v>95</v>
      </c>
      <c r="I386" t="s">
        <v>36</v>
      </c>
      <c r="J386" t="s">
        <v>1941</v>
      </c>
      <c r="K386" t="s">
        <v>25</v>
      </c>
      <c r="L386" t="s">
        <v>1942</v>
      </c>
      <c r="M386" t="s">
        <v>27</v>
      </c>
      <c r="N386" t="s">
        <v>1943</v>
      </c>
      <c r="O386" t="s">
        <v>29</v>
      </c>
      <c r="P386" t="s">
        <v>30</v>
      </c>
      <c r="Q386">
        <f t="shared" si="12"/>
        <v>16</v>
      </c>
      <c r="R386">
        <f t="shared" si="11"/>
        <v>14</v>
      </c>
    </row>
    <row r="387" spans="1:18" x14ac:dyDescent="0.25">
      <c r="A387" s="2">
        <v>385</v>
      </c>
      <c r="B387" s="3" t="s">
        <v>2979</v>
      </c>
      <c r="C387" t="s">
        <v>1944</v>
      </c>
      <c r="D387" t="s">
        <v>21</v>
      </c>
      <c r="E387"/>
      <c r="F387" s="9" t="s">
        <v>1945</v>
      </c>
      <c r="G387" t="s">
        <v>1946</v>
      </c>
      <c r="H387" t="s">
        <v>36</v>
      </c>
      <c r="I387" t="s">
        <v>37</v>
      </c>
      <c r="J387" t="s">
        <v>1947</v>
      </c>
      <c r="K387" t="s">
        <v>25</v>
      </c>
      <c r="L387" t="s">
        <v>1948</v>
      </c>
      <c r="M387" t="s">
        <v>27</v>
      </c>
      <c r="N387" t="s">
        <v>1949</v>
      </c>
      <c r="O387" t="s">
        <v>29</v>
      </c>
      <c r="P387" t="s">
        <v>30</v>
      </c>
      <c r="Q387">
        <f t="shared" si="12"/>
        <v>16</v>
      </c>
      <c r="R387">
        <f t="shared" ref="R387:R450" si="13">LEN(N387)</f>
        <v>15</v>
      </c>
    </row>
    <row r="388" spans="1:18" x14ac:dyDescent="0.25">
      <c r="A388" s="3">
        <v>386</v>
      </c>
      <c r="B388" s="3" t="s">
        <v>2979</v>
      </c>
      <c r="C388" t="s">
        <v>1950</v>
      </c>
      <c r="D388" t="s">
        <v>21</v>
      </c>
      <c r="E388"/>
      <c r="F388" s="9" t="s">
        <v>1951</v>
      </c>
      <c r="G388" t="s">
        <v>1952</v>
      </c>
      <c r="H388" t="s">
        <v>90</v>
      </c>
      <c r="I388" t="s">
        <v>32</v>
      </c>
      <c r="J388" t="s">
        <v>1953</v>
      </c>
      <c r="K388" t="s">
        <v>25</v>
      </c>
      <c r="L388" t="s">
        <v>1954</v>
      </c>
      <c r="M388" t="s">
        <v>27</v>
      </c>
      <c r="N388" t="s">
        <v>1955</v>
      </c>
      <c r="O388" t="s">
        <v>29</v>
      </c>
      <c r="P388" t="s">
        <v>30</v>
      </c>
      <c r="Q388">
        <f t="shared" si="12"/>
        <v>16</v>
      </c>
      <c r="R388">
        <f t="shared" si="13"/>
        <v>13</v>
      </c>
    </row>
    <row r="389" spans="1:18" x14ac:dyDescent="0.25">
      <c r="A389" s="2">
        <v>387</v>
      </c>
      <c r="B389" s="3" t="s">
        <v>2979</v>
      </c>
      <c r="C389" t="s">
        <v>1956</v>
      </c>
      <c r="D389" t="s">
        <v>21</v>
      </c>
      <c r="E389"/>
      <c r="F389" s="9" t="s">
        <v>1957</v>
      </c>
      <c r="G389" t="s">
        <v>1958</v>
      </c>
      <c r="H389" t="s">
        <v>1959</v>
      </c>
      <c r="I389" t="s">
        <v>32</v>
      </c>
      <c r="J389" t="s">
        <v>1960</v>
      </c>
      <c r="K389" t="s">
        <v>25</v>
      </c>
      <c r="L389" t="s">
        <v>1961</v>
      </c>
      <c r="M389" t="s">
        <v>27</v>
      </c>
      <c r="N389" t="s">
        <v>1962</v>
      </c>
      <c r="O389" t="s">
        <v>29</v>
      </c>
      <c r="P389" t="s">
        <v>30</v>
      </c>
      <c r="Q389">
        <f t="shared" si="12"/>
        <v>16</v>
      </c>
      <c r="R389">
        <f t="shared" si="13"/>
        <v>12</v>
      </c>
    </row>
    <row r="390" spans="1:18" x14ac:dyDescent="0.25">
      <c r="A390" s="3">
        <v>388</v>
      </c>
      <c r="B390" s="3" t="s">
        <v>2979</v>
      </c>
      <c r="C390" t="s">
        <v>1963</v>
      </c>
      <c r="D390" t="s">
        <v>21</v>
      </c>
      <c r="E390"/>
      <c r="F390" s="9" t="s">
        <v>1945</v>
      </c>
      <c r="G390" t="s">
        <v>1946</v>
      </c>
      <c r="H390" t="s">
        <v>36</v>
      </c>
      <c r="I390" t="s">
        <v>24</v>
      </c>
      <c r="J390" t="s">
        <v>1964</v>
      </c>
      <c r="K390" t="s">
        <v>25</v>
      </c>
      <c r="L390" t="s">
        <v>1948</v>
      </c>
      <c r="M390" t="s">
        <v>27</v>
      </c>
      <c r="N390" t="s">
        <v>1949</v>
      </c>
      <c r="O390" t="s">
        <v>29</v>
      </c>
      <c r="P390" t="s">
        <v>30</v>
      </c>
      <c r="Q390">
        <f t="shared" si="12"/>
        <v>16</v>
      </c>
      <c r="R390">
        <f t="shared" si="13"/>
        <v>15</v>
      </c>
    </row>
    <row r="391" spans="1:18" x14ac:dyDescent="0.25">
      <c r="A391" s="2">
        <v>389</v>
      </c>
      <c r="B391" s="3" t="s">
        <v>2979</v>
      </c>
      <c r="C391" t="s">
        <v>1965</v>
      </c>
      <c r="D391" t="s">
        <v>21</v>
      </c>
      <c r="E391"/>
      <c r="F391" s="9" t="s">
        <v>1945</v>
      </c>
      <c r="G391" t="s">
        <v>1946</v>
      </c>
      <c r="H391" t="s">
        <v>36</v>
      </c>
      <c r="I391" t="s">
        <v>32</v>
      </c>
      <c r="J391" t="s">
        <v>1966</v>
      </c>
      <c r="K391" t="s">
        <v>25</v>
      </c>
      <c r="L391" t="s">
        <v>1948</v>
      </c>
      <c r="M391" t="s">
        <v>27</v>
      </c>
      <c r="N391" t="s">
        <v>1949</v>
      </c>
      <c r="O391" t="s">
        <v>29</v>
      </c>
      <c r="P391" t="s">
        <v>30</v>
      </c>
      <c r="Q391">
        <f t="shared" si="12"/>
        <v>16</v>
      </c>
      <c r="R391">
        <f t="shared" si="13"/>
        <v>15</v>
      </c>
    </row>
    <row r="392" spans="1:18" x14ac:dyDescent="0.25">
      <c r="A392" s="3">
        <v>390</v>
      </c>
      <c r="B392" s="3" t="s">
        <v>2979</v>
      </c>
      <c r="C392" t="s">
        <v>1967</v>
      </c>
      <c r="D392" t="s">
        <v>21</v>
      </c>
      <c r="E392"/>
      <c r="F392" s="9" t="s">
        <v>1968</v>
      </c>
      <c r="G392" t="s">
        <v>1946</v>
      </c>
      <c r="H392" t="s">
        <v>24</v>
      </c>
      <c r="I392" t="s">
        <v>32</v>
      </c>
      <c r="J392" t="s">
        <v>1969</v>
      </c>
      <c r="K392" t="s">
        <v>25</v>
      </c>
      <c r="L392" t="s">
        <v>1970</v>
      </c>
      <c r="M392" t="s">
        <v>27</v>
      </c>
      <c r="N392" t="s">
        <v>1971</v>
      </c>
      <c r="O392" t="s">
        <v>29</v>
      </c>
      <c r="P392" t="s">
        <v>30</v>
      </c>
      <c r="Q392">
        <f t="shared" si="12"/>
        <v>16</v>
      </c>
      <c r="R392">
        <f t="shared" si="13"/>
        <v>14</v>
      </c>
    </row>
    <row r="393" spans="1:18" x14ac:dyDescent="0.25">
      <c r="A393" s="2">
        <v>391</v>
      </c>
      <c r="B393" s="3" t="s">
        <v>2979</v>
      </c>
      <c r="C393" t="s">
        <v>1972</v>
      </c>
      <c r="D393" t="s">
        <v>21</v>
      </c>
      <c r="E393"/>
      <c r="F393" s="9" t="s">
        <v>1973</v>
      </c>
      <c r="G393" t="s">
        <v>1974</v>
      </c>
      <c r="H393" t="s">
        <v>1975</v>
      </c>
      <c r="I393" t="s">
        <v>32</v>
      </c>
      <c r="J393" t="s">
        <v>1976</v>
      </c>
      <c r="K393" t="s">
        <v>25</v>
      </c>
      <c r="L393" t="s">
        <v>1977</v>
      </c>
      <c r="M393" t="s">
        <v>27</v>
      </c>
      <c r="N393" t="s">
        <v>1978</v>
      </c>
      <c r="O393" t="s">
        <v>29</v>
      </c>
      <c r="P393" t="s">
        <v>30</v>
      </c>
      <c r="Q393">
        <f t="shared" si="12"/>
        <v>16</v>
      </c>
      <c r="R393">
        <f t="shared" si="13"/>
        <v>13</v>
      </c>
    </row>
    <row r="394" spans="1:18" x14ac:dyDescent="0.25">
      <c r="A394" s="3">
        <v>392</v>
      </c>
      <c r="B394" s="3" t="s">
        <v>2979</v>
      </c>
      <c r="C394" t="s">
        <v>1979</v>
      </c>
      <c r="D394" t="s">
        <v>21</v>
      </c>
      <c r="E394"/>
      <c r="F394" s="9" t="s">
        <v>1980</v>
      </c>
      <c r="G394" t="s">
        <v>1981</v>
      </c>
      <c r="H394" t="s">
        <v>36</v>
      </c>
      <c r="I394" t="s">
        <v>36</v>
      </c>
      <c r="J394" t="s">
        <v>1982</v>
      </c>
      <c r="K394" t="s">
        <v>25</v>
      </c>
      <c r="L394" t="s">
        <v>1983</v>
      </c>
      <c r="M394" t="s">
        <v>27</v>
      </c>
      <c r="N394" t="s">
        <v>1984</v>
      </c>
      <c r="O394" t="s">
        <v>29</v>
      </c>
      <c r="P394" t="s">
        <v>30</v>
      </c>
      <c r="Q394">
        <f t="shared" si="12"/>
        <v>16</v>
      </c>
      <c r="R394">
        <f t="shared" si="13"/>
        <v>15</v>
      </c>
    </row>
    <row r="395" spans="1:18" x14ac:dyDescent="0.25">
      <c r="A395" s="2">
        <v>393</v>
      </c>
      <c r="B395" s="3" t="s">
        <v>2979</v>
      </c>
      <c r="C395" t="s">
        <v>1985</v>
      </c>
      <c r="D395" t="s">
        <v>21</v>
      </c>
      <c r="E395"/>
      <c r="F395" s="9" t="s">
        <v>1980</v>
      </c>
      <c r="G395" t="s">
        <v>1981</v>
      </c>
      <c r="H395" t="s">
        <v>36</v>
      </c>
      <c r="I395" t="s">
        <v>37</v>
      </c>
      <c r="J395" t="s">
        <v>1986</v>
      </c>
      <c r="K395" t="s">
        <v>25</v>
      </c>
      <c r="L395" t="s">
        <v>1983</v>
      </c>
      <c r="M395" t="s">
        <v>27</v>
      </c>
      <c r="N395" t="s">
        <v>1984</v>
      </c>
      <c r="O395" t="s">
        <v>29</v>
      </c>
      <c r="P395" t="s">
        <v>30</v>
      </c>
      <c r="Q395">
        <f t="shared" si="12"/>
        <v>16</v>
      </c>
      <c r="R395">
        <f t="shared" si="13"/>
        <v>15</v>
      </c>
    </row>
    <row r="396" spans="1:18" x14ac:dyDescent="0.25">
      <c r="A396" s="3">
        <v>394</v>
      </c>
      <c r="B396" s="3" t="s">
        <v>2979</v>
      </c>
      <c r="C396" t="s">
        <v>1987</v>
      </c>
      <c r="D396" t="s">
        <v>21</v>
      </c>
      <c r="E396"/>
      <c r="F396" s="9" t="s">
        <v>1980</v>
      </c>
      <c r="G396" t="s">
        <v>1981</v>
      </c>
      <c r="H396" t="s">
        <v>36</v>
      </c>
      <c r="I396" t="s">
        <v>32</v>
      </c>
      <c r="J396" t="s">
        <v>1988</v>
      </c>
      <c r="K396" t="s">
        <v>25</v>
      </c>
      <c r="L396" t="s">
        <v>1983</v>
      </c>
      <c r="M396" t="s">
        <v>27</v>
      </c>
      <c r="N396" t="s">
        <v>1984</v>
      </c>
      <c r="O396" t="s">
        <v>29</v>
      </c>
      <c r="P396" t="s">
        <v>30</v>
      </c>
      <c r="Q396">
        <f t="shared" si="12"/>
        <v>16</v>
      </c>
      <c r="R396">
        <f t="shared" si="13"/>
        <v>15</v>
      </c>
    </row>
    <row r="397" spans="1:18" x14ac:dyDescent="0.25">
      <c r="A397" s="2">
        <v>395</v>
      </c>
      <c r="B397" s="3" t="s">
        <v>2979</v>
      </c>
      <c r="C397" t="s">
        <v>1989</v>
      </c>
      <c r="D397" t="s">
        <v>21</v>
      </c>
      <c r="E397"/>
      <c r="F397" s="9" t="s">
        <v>1990</v>
      </c>
      <c r="G397" t="s">
        <v>1991</v>
      </c>
      <c r="H397" t="s">
        <v>1907</v>
      </c>
      <c r="I397" t="s">
        <v>32</v>
      </c>
      <c r="J397" t="s">
        <v>1992</v>
      </c>
      <c r="K397" t="s">
        <v>25</v>
      </c>
      <c r="L397" t="s">
        <v>1993</v>
      </c>
      <c r="M397" t="s">
        <v>27</v>
      </c>
      <c r="N397" t="s">
        <v>1994</v>
      </c>
      <c r="O397" t="s">
        <v>29</v>
      </c>
      <c r="P397" t="s">
        <v>30</v>
      </c>
      <c r="Q397">
        <f t="shared" si="12"/>
        <v>16</v>
      </c>
      <c r="R397">
        <f t="shared" si="13"/>
        <v>15</v>
      </c>
    </row>
    <row r="398" spans="1:18" x14ac:dyDescent="0.25">
      <c r="A398" s="3">
        <v>396</v>
      </c>
      <c r="B398" s="3" t="s">
        <v>2979</v>
      </c>
      <c r="C398" t="s">
        <v>1995</v>
      </c>
      <c r="D398" t="s">
        <v>21</v>
      </c>
      <c r="E398"/>
      <c r="F398" s="9" t="s">
        <v>1996</v>
      </c>
      <c r="G398" t="s">
        <v>1991</v>
      </c>
      <c r="H398" t="s">
        <v>1997</v>
      </c>
      <c r="I398" t="s">
        <v>37</v>
      </c>
      <c r="J398" t="s">
        <v>1998</v>
      </c>
      <c r="K398" t="s">
        <v>25</v>
      </c>
      <c r="L398" t="s">
        <v>1999</v>
      </c>
      <c r="M398" t="s">
        <v>27</v>
      </c>
      <c r="N398" t="s">
        <v>2000</v>
      </c>
      <c r="O398" t="s">
        <v>29</v>
      </c>
      <c r="P398" t="s">
        <v>30</v>
      </c>
      <c r="Q398">
        <f t="shared" si="12"/>
        <v>16</v>
      </c>
      <c r="R398">
        <f t="shared" si="13"/>
        <v>15</v>
      </c>
    </row>
    <row r="399" spans="1:18" x14ac:dyDescent="0.25">
      <c r="A399" s="2">
        <v>397</v>
      </c>
      <c r="B399" s="3" t="s">
        <v>2979</v>
      </c>
      <c r="C399" t="s">
        <v>2001</v>
      </c>
      <c r="D399" t="s">
        <v>21</v>
      </c>
      <c r="E399"/>
      <c r="F399" s="9">
        <v>0</v>
      </c>
      <c r="G399" t="s">
        <v>1991</v>
      </c>
      <c r="H399" t="s">
        <v>1997</v>
      </c>
      <c r="I399" t="s">
        <v>24</v>
      </c>
      <c r="J399" t="s">
        <v>2002</v>
      </c>
      <c r="K399" t="s">
        <v>25</v>
      </c>
      <c r="L399" t="s">
        <v>1999</v>
      </c>
      <c r="M399" t="s">
        <v>27</v>
      </c>
      <c r="N399" t="s">
        <v>2000</v>
      </c>
      <c r="O399" t="s">
        <v>29</v>
      </c>
      <c r="P399" t="s">
        <v>30</v>
      </c>
      <c r="Q399">
        <f t="shared" si="12"/>
        <v>16</v>
      </c>
      <c r="R399">
        <f t="shared" si="13"/>
        <v>15</v>
      </c>
    </row>
    <row r="400" spans="1:18" x14ac:dyDescent="0.25">
      <c r="A400" s="3">
        <v>398</v>
      </c>
      <c r="B400" s="3" t="s">
        <v>2979</v>
      </c>
      <c r="C400" t="s">
        <v>2003</v>
      </c>
      <c r="D400" t="s">
        <v>21</v>
      </c>
      <c r="E400"/>
      <c r="F400" s="9" t="s">
        <v>2004</v>
      </c>
      <c r="G400" t="s">
        <v>1991</v>
      </c>
      <c r="H400" t="s">
        <v>1997</v>
      </c>
      <c r="I400" t="s">
        <v>32</v>
      </c>
      <c r="J400" t="s">
        <v>2005</v>
      </c>
      <c r="K400" t="s">
        <v>25</v>
      </c>
      <c r="L400" t="s">
        <v>1999</v>
      </c>
      <c r="M400" t="s">
        <v>27</v>
      </c>
      <c r="N400" t="s">
        <v>2000</v>
      </c>
      <c r="O400" t="s">
        <v>29</v>
      </c>
      <c r="P400" t="s">
        <v>30</v>
      </c>
      <c r="Q400">
        <f t="shared" si="12"/>
        <v>16</v>
      </c>
      <c r="R400">
        <f t="shared" si="13"/>
        <v>15</v>
      </c>
    </row>
    <row r="401" spans="1:19" x14ac:dyDescent="0.25">
      <c r="A401" s="2">
        <v>399</v>
      </c>
      <c r="B401" s="3" t="s">
        <v>2979</v>
      </c>
      <c r="C401" t="s">
        <v>2006</v>
      </c>
      <c r="D401" t="s">
        <v>21</v>
      </c>
      <c r="E401"/>
      <c r="F401" s="9" t="s">
        <v>2007</v>
      </c>
      <c r="G401" t="s">
        <v>2008</v>
      </c>
      <c r="H401" t="s">
        <v>36</v>
      </c>
      <c r="I401" t="s">
        <v>36</v>
      </c>
      <c r="J401" t="s">
        <v>2009</v>
      </c>
      <c r="K401" t="s">
        <v>25</v>
      </c>
      <c r="L401" t="s">
        <v>2010</v>
      </c>
      <c r="M401" t="s">
        <v>27</v>
      </c>
      <c r="N401" t="s">
        <v>2011</v>
      </c>
      <c r="O401" t="s">
        <v>29</v>
      </c>
      <c r="P401" t="s">
        <v>30</v>
      </c>
      <c r="Q401">
        <f t="shared" si="12"/>
        <v>16</v>
      </c>
      <c r="R401">
        <f t="shared" si="13"/>
        <v>15</v>
      </c>
    </row>
    <row r="402" spans="1:19" x14ac:dyDescent="0.25">
      <c r="A402" s="3">
        <v>400</v>
      </c>
      <c r="B402" s="3" t="s">
        <v>2979</v>
      </c>
      <c r="C402" t="s">
        <v>2012</v>
      </c>
      <c r="D402" t="s">
        <v>21</v>
      </c>
      <c r="E402"/>
      <c r="F402" s="9" t="s">
        <v>2013</v>
      </c>
      <c r="G402" t="s">
        <v>2014</v>
      </c>
      <c r="H402" t="s">
        <v>2015</v>
      </c>
      <c r="I402" t="s">
        <v>24</v>
      </c>
      <c r="J402" t="s">
        <v>2016</v>
      </c>
      <c r="K402" t="s">
        <v>25</v>
      </c>
      <c r="L402" t="s">
        <v>2017</v>
      </c>
      <c r="M402" t="s">
        <v>27</v>
      </c>
      <c r="N402" t="s">
        <v>2018</v>
      </c>
      <c r="O402" t="s">
        <v>29</v>
      </c>
      <c r="P402" t="s">
        <v>30</v>
      </c>
      <c r="Q402">
        <f t="shared" si="12"/>
        <v>16</v>
      </c>
      <c r="R402">
        <f t="shared" si="13"/>
        <v>15</v>
      </c>
    </row>
    <row r="403" spans="1:19" x14ac:dyDescent="0.25">
      <c r="A403" s="2">
        <v>401</v>
      </c>
      <c r="B403" s="3" t="s">
        <v>2979</v>
      </c>
      <c r="C403" t="s">
        <v>2019</v>
      </c>
      <c r="D403" t="s">
        <v>21</v>
      </c>
      <c r="E403"/>
      <c r="F403" s="9" t="s">
        <v>2020</v>
      </c>
      <c r="G403" t="s">
        <v>2014</v>
      </c>
      <c r="H403" t="s">
        <v>2015</v>
      </c>
      <c r="I403" t="s">
        <v>32</v>
      </c>
      <c r="J403" t="s">
        <v>2021</v>
      </c>
      <c r="K403" t="s">
        <v>25</v>
      </c>
      <c r="L403" t="s">
        <v>2017</v>
      </c>
      <c r="M403" t="s">
        <v>27</v>
      </c>
      <c r="N403" t="s">
        <v>2018</v>
      </c>
      <c r="O403" t="s">
        <v>29</v>
      </c>
      <c r="P403" t="s">
        <v>30</v>
      </c>
      <c r="Q403">
        <f t="shared" si="12"/>
        <v>16</v>
      </c>
      <c r="R403">
        <f t="shared" si="13"/>
        <v>15</v>
      </c>
    </row>
    <row r="404" spans="1:19" x14ac:dyDescent="0.25">
      <c r="A404" s="3">
        <v>402</v>
      </c>
      <c r="B404" s="3" t="s">
        <v>2979</v>
      </c>
      <c r="C404" t="s">
        <v>2022</v>
      </c>
      <c r="D404" t="s">
        <v>21</v>
      </c>
      <c r="E404"/>
      <c r="F404" s="9" t="s">
        <v>2023</v>
      </c>
      <c r="G404" t="s">
        <v>2014</v>
      </c>
      <c r="H404" t="s">
        <v>2024</v>
      </c>
      <c r="I404" t="s">
        <v>24</v>
      </c>
      <c r="J404" t="s">
        <v>2025</v>
      </c>
      <c r="K404" t="s">
        <v>25</v>
      </c>
      <c r="L404" t="s">
        <v>2026</v>
      </c>
      <c r="M404" t="s">
        <v>27</v>
      </c>
      <c r="N404" t="s">
        <v>2027</v>
      </c>
      <c r="O404" t="s">
        <v>29</v>
      </c>
      <c r="P404" t="s">
        <v>30</v>
      </c>
      <c r="Q404">
        <f t="shared" si="12"/>
        <v>16</v>
      </c>
      <c r="R404">
        <f t="shared" si="13"/>
        <v>15</v>
      </c>
    </row>
    <row r="405" spans="1:19" x14ac:dyDescent="0.25">
      <c r="A405" s="2">
        <v>403</v>
      </c>
      <c r="B405" s="3" t="s">
        <v>2979</v>
      </c>
      <c r="C405" t="s">
        <v>2028</v>
      </c>
      <c r="D405" t="s">
        <v>21</v>
      </c>
      <c r="E405"/>
      <c r="F405" s="9" t="s">
        <v>2029</v>
      </c>
      <c r="G405" t="s">
        <v>2014</v>
      </c>
      <c r="H405" t="s">
        <v>2030</v>
      </c>
      <c r="I405" t="s">
        <v>37</v>
      </c>
      <c r="J405" t="s">
        <v>2031</v>
      </c>
      <c r="K405" t="s">
        <v>25</v>
      </c>
      <c r="L405" t="s">
        <v>2032</v>
      </c>
      <c r="M405" t="s">
        <v>27</v>
      </c>
      <c r="N405" t="s">
        <v>2033</v>
      </c>
      <c r="O405" t="s">
        <v>29</v>
      </c>
      <c r="P405" t="s">
        <v>30</v>
      </c>
      <c r="Q405">
        <f t="shared" si="12"/>
        <v>16</v>
      </c>
      <c r="R405">
        <f t="shared" si="13"/>
        <v>10</v>
      </c>
    </row>
    <row r="406" spans="1:19" x14ac:dyDescent="0.25">
      <c r="A406" s="3">
        <v>404</v>
      </c>
      <c r="B406" s="3" t="s">
        <v>2979</v>
      </c>
      <c r="C406" t="s">
        <v>2034</v>
      </c>
      <c r="D406" t="s">
        <v>21</v>
      </c>
      <c r="E406"/>
      <c r="F406" s="9" t="s">
        <v>2035</v>
      </c>
      <c r="G406" t="s">
        <v>2014</v>
      </c>
      <c r="H406" t="s">
        <v>2036</v>
      </c>
      <c r="I406" t="s">
        <v>24</v>
      </c>
      <c r="J406" t="s">
        <v>2037</v>
      </c>
      <c r="K406" t="s">
        <v>25</v>
      </c>
      <c r="L406" t="s">
        <v>2038</v>
      </c>
      <c r="M406" t="s">
        <v>27</v>
      </c>
      <c r="N406" t="s">
        <v>2039</v>
      </c>
      <c r="O406" t="s">
        <v>29</v>
      </c>
      <c r="P406" t="s">
        <v>30</v>
      </c>
      <c r="Q406">
        <f t="shared" si="12"/>
        <v>16</v>
      </c>
      <c r="R406">
        <f t="shared" si="13"/>
        <v>13</v>
      </c>
    </row>
    <row r="407" spans="1:19" x14ac:dyDescent="0.25">
      <c r="A407" s="2">
        <v>405</v>
      </c>
      <c r="B407" s="3" t="s">
        <v>2979</v>
      </c>
      <c r="C407" t="s">
        <v>2040</v>
      </c>
      <c r="D407" t="s">
        <v>21</v>
      </c>
      <c r="E407"/>
      <c r="F407" s="9" t="s">
        <v>2041</v>
      </c>
      <c r="G407" t="s">
        <v>2014</v>
      </c>
      <c r="H407" t="s">
        <v>2036</v>
      </c>
      <c r="I407" t="s">
        <v>32</v>
      </c>
      <c r="J407" t="s">
        <v>2042</v>
      </c>
      <c r="K407" t="s">
        <v>25</v>
      </c>
      <c r="L407" t="s">
        <v>2038</v>
      </c>
      <c r="M407" t="s">
        <v>27</v>
      </c>
      <c r="N407" t="s">
        <v>2039</v>
      </c>
      <c r="O407" t="s">
        <v>29</v>
      </c>
      <c r="P407" t="s">
        <v>30</v>
      </c>
      <c r="Q407">
        <f t="shared" si="12"/>
        <v>16</v>
      </c>
      <c r="R407">
        <f t="shared" si="13"/>
        <v>13</v>
      </c>
    </row>
    <row r="408" spans="1:19" x14ac:dyDescent="0.25">
      <c r="A408" s="3">
        <v>406</v>
      </c>
      <c r="B408" s="3" t="s">
        <v>2979</v>
      </c>
      <c r="C408" t="s">
        <v>2043</v>
      </c>
      <c r="D408" t="s">
        <v>21</v>
      </c>
      <c r="E408"/>
      <c r="F408" s="9" t="s">
        <v>2044</v>
      </c>
      <c r="G408" t="s">
        <v>2045</v>
      </c>
      <c r="H408" t="s">
        <v>2046</v>
      </c>
      <c r="I408" t="s">
        <v>32</v>
      </c>
      <c r="J408" t="s">
        <v>2047</v>
      </c>
      <c r="K408" t="s">
        <v>25</v>
      </c>
      <c r="L408" t="s">
        <v>2048</v>
      </c>
      <c r="M408" t="s">
        <v>27</v>
      </c>
      <c r="N408" t="s">
        <v>2049</v>
      </c>
      <c r="O408" t="s">
        <v>29</v>
      </c>
      <c r="P408" t="s">
        <v>30</v>
      </c>
      <c r="Q408">
        <f t="shared" si="12"/>
        <v>16</v>
      </c>
      <c r="R408">
        <f t="shared" si="13"/>
        <v>13</v>
      </c>
    </row>
    <row r="409" spans="1:19" x14ac:dyDescent="0.25">
      <c r="A409" s="2">
        <v>407</v>
      </c>
      <c r="B409" s="3" t="s">
        <v>2979</v>
      </c>
      <c r="C409" t="s">
        <v>2050</v>
      </c>
      <c r="D409" t="s">
        <v>21</v>
      </c>
      <c r="E409"/>
      <c r="F409" s="9" t="s">
        <v>2051</v>
      </c>
      <c r="G409" t="s">
        <v>2045</v>
      </c>
      <c r="H409" t="s">
        <v>2052</v>
      </c>
      <c r="I409" t="s">
        <v>32</v>
      </c>
      <c r="J409" t="s">
        <v>2053</v>
      </c>
      <c r="K409" t="s">
        <v>25</v>
      </c>
      <c r="L409" t="s">
        <v>2054</v>
      </c>
      <c r="M409" t="s">
        <v>27</v>
      </c>
      <c r="N409" t="s">
        <v>2055</v>
      </c>
      <c r="O409" t="s">
        <v>29</v>
      </c>
      <c r="P409" t="s">
        <v>30</v>
      </c>
      <c r="Q409">
        <f t="shared" si="12"/>
        <v>16</v>
      </c>
      <c r="R409">
        <f t="shared" si="13"/>
        <v>8</v>
      </c>
    </row>
    <row r="410" spans="1:19" x14ac:dyDescent="0.25">
      <c r="A410" s="3">
        <v>408</v>
      </c>
      <c r="B410" s="3" t="s">
        <v>2979</v>
      </c>
      <c r="C410" t="s">
        <v>2056</v>
      </c>
      <c r="D410" t="s">
        <v>21</v>
      </c>
      <c r="E410"/>
      <c r="F410" s="9" t="s">
        <v>2057</v>
      </c>
      <c r="G410" t="s">
        <v>2045</v>
      </c>
      <c r="H410" t="s">
        <v>1593</v>
      </c>
      <c r="I410" t="s">
        <v>24</v>
      </c>
      <c r="J410" t="s">
        <v>2058</v>
      </c>
      <c r="K410" t="s">
        <v>25</v>
      </c>
      <c r="L410" t="s">
        <v>2059</v>
      </c>
      <c r="M410" t="s">
        <v>27</v>
      </c>
      <c r="N410" t="s">
        <v>2060</v>
      </c>
      <c r="O410" t="s">
        <v>29</v>
      </c>
      <c r="P410" t="s">
        <v>30</v>
      </c>
      <c r="Q410">
        <f t="shared" si="12"/>
        <v>16</v>
      </c>
      <c r="R410">
        <f t="shared" si="13"/>
        <v>13</v>
      </c>
    </row>
    <row r="411" spans="1:19" x14ac:dyDescent="0.25">
      <c r="A411" s="2">
        <v>409</v>
      </c>
      <c r="B411" s="3" t="s">
        <v>2979</v>
      </c>
      <c r="C411" t="s">
        <v>2061</v>
      </c>
      <c r="D411" t="s">
        <v>21</v>
      </c>
      <c r="E411"/>
      <c r="F411" s="9" t="s">
        <v>2062</v>
      </c>
      <c r="G411" t="s">
        <v>2045</v>
      </c>
      <c r="H411" t="s">
        <v>1593</v>
      </c>
      <c r="I411" t="s">
        <v>32</v>
      </c>
      <c r="J411" t="s">
        <v>2063</v>
      </c>
      <c r="K411" t="s">
        <v>25</v>
      </c>
      <c r="L411" t="s">
        <v>2059</v>
      </c>
      <c r="M411" t="s">
        <v>27</v>
      </c>
      <c r="N411" t="s">
        <v>2060</v>
      </c>
      <c r="O411" t="s">
        <v>29</v>
      </c>
      <c r="P411" t="s">
        <v>30</v>
      </c>
      <c r="Q411">
        <f t="shared" si="12"/>
        <v>16</v>
      </c>
      <c r="R411">
        <f t="shared" si="13"/>
        <v>13</v>
      </c>
    </row>
    <row r="412" spans="1:19" x14ac:dyDescent="0.25">
      <c r="A412" s="3">
        <v>410</v>
      </c>
      <c r="B412" s="3" t="s">
        <v>2979</v>
      </c>
      <c r="C412" t="s">
        <v>2064</v>
      </c>
      <c r="D412" t="s">
        <v>21</v>
      </c>
      <c r="E412"/>
      <c r="F412" s="9" t="s">
        <v>2065</v>
      </c>
      <c r="G412" t="s">
        <v>2045</v>
      </c>
      <c r="H412" t="s">
        <v>236</v>
      </c>
      <c r="I412" t="s">
        <v>36</v>
      </c>
      <c r="J412" t="s">
        <v>2066</v>
      </c>
      <c r="K412" t="s">
        <v>25</v>
      </c>
      <c r="L412" t="s">
        <v>2067</v>
      </c>
      <c r="M412" t="s">
        <v>27</v>
      </c>
      <c r="N412" t="s">
        <v>2068</v>
      </c>
      <c r="O412" t="s">
        <v>29</v>
      </c>
      <c r="P412" t="s">
        <v>30</v>
      </c>
      <c r="Q412">
        <f t="shared" si="12"/>
        <v>16</v>
      </c>
      <c r="R412">
        <f t="shared" si="13"/>
        <v>15</v>
      </c>
    </row>
    <row r="413" spans="1:19" x14ac:dyDescent="0.25">
      <c r="A413" s="2">
        <v>411</v>
      </c>
      <c r="B413" s="3" t="s">
        <v>2979</v>
      </c>
      <c r="C413" t="s">
        <v>2069</v>
      </c>
      <c r="D413" t="s">
        <v>21</v>
      </c>
      <c r="E413"/>
      <c r="F413" s="9" t="s">
        <v>2070</v>
      </c>
      <c r="G413" t="s">
        <v>2071</v>
      </c>
      <c r="H413" t="s">
        <v>355</v>
      </c>
      <c r="I413" t="s">
        <v>32</v>
      </c>
      <c r="J413" t="s">
        <v>2072</v>
      </c>
      <c r="K413" t="s">
        <v>25</v>
      </c>
      <c r="L413" t="s">
        <v>2073</v>
      </c>
      <c r="M413" t="s">
        <v>27</v>
      </c>
      <c r="N413" t="s">
        <v>2074</v>
      </c>
      <c r="O413" t="s">
        <v>29</v>
      </c>
      <c r="P413" t="s">
        <v>30</v>
      </c>
      <c r="Q413">
        <f t="shared" si="12"/>
        <v>16</v>
      </c>
      <c r="R413">
        <f t="shared" si="13"/>
        <v>15</v>
      </c>
    </row>
    <row r="414" spans="1:19" s="19" customFormat="1" hidden="1" x14ac:dyDescent="0.25">
      <c r="A414" s="17">
        <v>412</v>
      </c>
      <c r="B414" s="17" t="s">
        <v>2975</v>
      </c>
      <c r="C414" s="8" t="s">
        <v>2075</v>
      </c>
      <c r="D414" s="8" t="s">
        <v>21</v>
      </c>
      <c r="E414" s="8"/>
      <c r="F414" s="18" t="s">
        <v>2076</v>
      </c>
      <c r="G414" s="8" t="s">
        <v>2077</v>
      </c>
      <c r="H414" s="8" t="s">
        <v>278</v>
      </c>
      <c r="I414" s="8" t="s">
        <v>32</v>
      </c>
      <c r="J414" s="8" t="s">
        <v>2078</v>
      </c>
      <c r="K414" s="8" t="s">
        <v>2079</v>
      </c>
      <c r="L414" s="8" t="s">
        <v>2080</v>
      </c>
      <c r="M414" s="8" t="s">
        <v>27</v>
      </c>
      <c r="N414" s="8" t="s">
        <v>2081</v>
      </c>
      <c r="O414" s="8" t="s">
        <v>2082</v>
      </c>
      <c r="P414" s="8" t="s">
        <v>2083</v>
      </c>
      <c r="Q414" s="8">
        <f t="shared" si="12"/>
        <v>28</v>
      </c>
      <c r="R414" s="8">
        <f t="shared" si="13"/>
        <v>28</v>
      </c>
      <c r="S414" s="17" t="s">
        <v>2977</v>
      </c>
    </row>
    <row r="415" spans="1:19" hidden="1" x14ac:dyDescent="0.25">
      <c r="A415" s="2">
        <v>413</v>
      </c>
      <c r="B415" s="11" t="s">
        <v>2975</v>
      </c>
      <c r="C415" t="s">
        <v>2084</v>
      </c>
      <c r="D415" t="s">
        <v>21</v>
      </c>
      <c r="E415"/>
      <c r="F415" s="9">
        <v>55373337838</v>
      </c>
      <c r="G415" t="s">
        <v>2085</v>
      </c>
      <c r="H415" t="s">
        <v>37</v>
      </c>
      <c r="I415" t="s">
        <v>37</v>
      </c>
      <c r="J415" t="s">
        <v>2086</v>
      </c>
      <c r="K415" t="s">
        <v>2079</v>
      </c>
      <c r="L415" t="s">
        <v>2087</v>
      </c>
      <c r="M415" t="s">
        <v>27</v>
      </c>
      <c r="N415" t="s">
        <v>2087</v>
      </c>
      <c r="O415" t="s">
        <v>2082</v>
      </c>
      <c r="P415" t="s">
        <v>2083</v>
      </c>
      <c r="Q415">
        <f t="shared" si="12"/>
        <v>36</v>
      </c>
      <c r="R415">
        <f t="shared" si="13"/>
        <v>36</v>
      </c>
      <c r="S415" s="3" t="s">
        <v>2977</v>
      </c>
    </row>
    <row r="416" spans="1:19" hidden="1" x14ac:dyDescent="0.25">
      <c r="A416" s="3">
        <v>414</v>
      </c>
      <c r="B416" s="11" t="s">
        <v>2975</v>
      </c>
      <c r="C416" t="s">
        <v>2088</v>
      </c>
      <c r="D416" t="s">
        <v>21</v>
      </c>
      <c r="E416"/>
      <c r="F416" s="9" t="s">
        <v>2089</v>
      </c>
      <c r="G416" t="s">
        <v>2090</v>
      </c>
      <c r="H416" t="s">
        <v>32</v>
      </c>
      <c r="I416" t="s">
        <v>37</v>
      </c>
      <c r="J416" t="s">
        <v>2091</v>
      </c>
      <c r="K416" t="s">
        <v>2079</v>
      </c>
      <c r="L416" t="s">
        <v>2092</v>
      </c>
      <c r="M416" t="s">
        <v>27</v>
      </c>
      <c r="N416" t="s">
        <v>2093</v>
      </c>
      <c r="O416" t="s">
        <v>2082</v>
      </c>
      <c r="P416" t="s">
        <v>2083</v>
      </c>
      <c r="Q416">
        <f t="shared" si="12"/>
        <v>24</v>
      </c>
      <c r="R416">
        <f t="shared" si="13"/>
        <v>24</v>
      </c>
      <c r="S416" s="3" t="s">
        <v>2978</v>
      </c>
    </row>
    <row r="417" spans="1:19" hidden="1" x14ac:dyDescent="0.25">
      <c r="A417" s="2">
        <v>415</v>
      </c>
      <c r="B417" s="11" t="s">
        <v>2975</v>
      </c>
      <c r="C417" t="s">
        <v>2094</v>
      </c>
      <c r="D417" t="s">
        <v>21</v>
      </c>
      <c r="E417"/>
      <c r="F417" s="9" t="s">
        <v>2095</v>
      </c>
      <c r="G417" t="s">
        <v>2096</v>
      </c>
      <c r="H417" t="s">
        <v>278</v>
      </c>
      <c r="I417" t="s">
        <v>32</v>
      </c>
      <c r="J417" t="s">
        <v>2097</v>
      </c>
      <c r="K417" t="s">
        <v>2079</v>
      </c>
      <c r="L417" t="s">
        <v>2098</v>
      </c>
      <c r="M417" t="s">
        <v>27</v>
      </c>
      <c r="N417" t="s">
        <v>2099</v>
      </c>
      <c r="O417" t="s">
        <v>2082</v>
      </c>
      <c r="P417" t="s">
        <v>2083</v>
      </c>
      <c r="Q417">
        <f t="shared" si="12"/>
        <v>10</v>
      </c>
      <c r="R417">
        <f t="shared" si="13"/>
        <v>0</v>
      </c>
      <c r="S417" s="3" t="s">
        <v>2978</v>
      </c>
    </row>
    <row r="418" spans="1:19" s="15" customFormat="1" hidden="1" x14ac:dyDescent="0.25">
      <c r="A418" s="11">
        <v>416</v>
      </c>
      <c r="B418" s="11" t="s">
        <v>2975</v>
      </c>
      <c r="C418" s="12" t="s">
        <v>2100</v>
      </c>
      <c r="D418" s="12" t="s">
        <v>21</v>
      </c>
      <c r="E418" s="12"/>
      <c r="F418" s="16">
        <v>0</v>
      </c>
      <c r="G418" s="12" t="s">
        <v>2101</v>
      </c>
      <c r="H418" s="12" t="s">
        <v>37</v>
      </c>
      <c r="I418" s="12" t="s">
        <v>37</v>
      </c>
      <c r="J418" s="12" t="s">
        <v>2102</v>
      </c>
      <c r="K418" s="12" t="s">
        <v>2079</v>
      </c>
      <c r="L418" s="12" t="s">
        <v>2103</v>
      </c>
      <c r="M418" s="12" t="s">
        <v>27</v>
      </c>
      <c r="N418" s="12" t="s">
        <v>2099</v>
      </c>
      <c r="O418" s="12" t="s">
        <v>2082</v>
      </c>
      <c r="P418" s="12" t="s">
        <v>2083</v>
      </c>
      <c r="Q418" s="12">
        <f t="shared" ref="Q418:Q481" si="14">LEN(L418)</f>
        <v>12</v>
      </c>
      <c r="R418" s="12">
        <f t="shared" si="13"/>
        <v>0</v>
      </c>
      <c r="S418" s="11" t="s">
        <v>2978</v>
      </c>
    </row>
    <row r="419" spans="1:19" hidden="1" x14ac:dyDescent="0.25">
      <c r="A419" s="2">
        <v>417</v>
      </c>
      <c r="B419" s="11" t="s">
        <v>2975</v>
      </c>
      <c r="C419" t="s">
        <v>2104</v>
      </c>
      <c r="D419" t="s">
        <v>21</v>
      </c>
      <c r="E419"/>
      <c r="F419" s="9">
        <v>0</v>
      </c>
      <c r="G419" t="s">
        <v>2105</v>
      </c>
      <c r="H419" t="s">
        <v>24</v>
      </c>
      <c r="I419" t="s">
        <v>37</v>
      </c>
      <c r="J419" t="s">
        <v>2106</v>
      </c>
      <c r="K419" t="s">
        <v>2079</v>
      </c>
      <c r="L419" t="s">
        <v>2107</v>
      </c>
      <c r="M419" t="s">
        <v>27</v>
      </c>
      <c r="N419" t="s">
        <v>2108</v>
      </c>
      <c r="O419" t="s">
        <v>2082</v>
      </c>
      <c r="P419" t="s">
        <v>2083</v>
      </c>
      <c r="Q419">
        <f t="shared" si="14"/>
        <v>28</v>
      </c>
      <c r="R419">
        <f t="shared" si="13"/>
        <v>20</v>
      </c>
      <c r="S419" s="11" t="s">
        <v>2978</v>
      </c>
    </row>
    <row r="420" spans="1:19" hidden="1" x14ac:dyDescent="0.25">
      <c r="A420" s="3">
        <v>418</v>
      </c>
      <c r="B420" s="11" t="s">
        <v>2975</v>
      </c>
      <c r="C420" t="s">
        <v>2109</v>
      </c>
      <c r="D420" t="s">
        <v>21</v>
      </c>
      <c r="E420"/>
      <c r="F420" s="9" t="s">
        <v>2110</v>
      </c>
      <c r="G420" t="s">
        <v>2111</v>
      </c>
      <c r="H420" t="s">
        <v>32</v>
      </c>
      <c r="I420" t="s">
        <v>36</v>
      </c>
      <c r="J420" t="s">
        <v>2112</v>
      </c>
      <c r="K420" t="s">
        <v>2079</v>
      </c>
      <c r="L420" t="s">
        <v>2113</v>
      </c>
      <c r="M420" t="s">
        <v>27</v>
      </c>
      <c r="N420" t="s">
        <v>2114</v>
      </c>
      <c r="O420" t="s">
        <v>2082</v>
      </c>
      <c r="P420" t="s">
        <v>2083</v>
      </c>
      <c r="Q420">
        <f t="shared" si="14"/>
        <v>23</v>
      </c>
      <c r="R420">
        <f t="shared" si="13"/>
        <v>22</v>
      </c>
      <c r="S420" s="3" t="s">
        <v>2977</v>
      </c>
    </row>
    <row r="421" spans="1:19" hidden="1" x14ac:dyDescent="0.25">
      <c r="A421" s="2">
        <v>419</v>
      </c>
      <c r="B421" s="11" t="s">
        <v>2975</v>
      </c>
      <c r="C421" t="s">
        <v>2115</v>
      </c>
      <c r="D421" t="s">
        <v>21</v>
      </c>
      <c r="E421"/>
      <c r="F421" s="9" t="s">
        <v>2116</v>
      </c>
      <c r="G421" t="s">
        <v>2117</v>
      </c>
      <c r="H421" t="s">
        <v>440</v>
      </c>
      <c r="I421" t="s">
        <v>32</v>
      </c>
      <c r="J421" t="s">
        <v>2118</v>
      </c>
      <c r="K421" t="s">
        <v>2079</v>
      </c>
      <c r="L421" t="s">
        <v>2119</v>
      </c>
      <c r="M421" t="s">
        <v>27</v>
      </c>
      <c r="N421" t="s">
        <v>2120</v>
      </c>
      <c r="O421" t="s">
        <v>2082</v>
      </c>
      <c r="P421" t="s">
        <v>2083</v>
      </c>
      <c r="Q421">
        <f t="shared" si="14"/>
        <v>37</v>
      </c>
      <c r="R421">
        <f t="shared" si="13"/>
        <v>37</v>
      </c>
      <c r="S421" s="3" t="s">
        <v>2977</v>
      </c>
    </row>
    <row r="422" spans="1:19" hidden="1" x14ac:dyDescent="0.25">
      <c r="A422" s="3">
        <v>420</v>
      </c>
      <c r="B422" s="11" t="s">
        <v>2975</v>
      </c>
      <c r="C422" t="s">
        <v>2121</v>
      </c>
      <c r="D422" t="s">
        <v>21</v>
      </c>
      <c r="E422"/>
      <c r="F422" s="9" t="s">
        <v>2122</v>
      </c>
      <c r="G422" t="s">
        <v>2123</v>
      </c>
      <c r="H422" t="s">
        <v>24</v>
      </c>
      <c r="I422" t="s">
        <v>32</v>
      </c>
      <c r="J422" t="s">
        <v>2124</v>
      </c>
      <c r="K422" t="s">
        <v>2079</v>
      </c>
      <c r="L422" t="s">
        <v>2125</v>
      </c>
      <c r="M422" t="s">
        <v>27</v>
      </c>
      <c r="N422" t="s">
        <v>2099</v>
      </c>
      <c r="O422" t="s">
        <v>2082</v>
      </c>
      <c r="P422" t="s">
        <v>2083</v>
      </c>
      <c r="Q422">
        <f t="shared" si="14"/>
        <v>21</v>
      </c>
      <c r="R422">
        <f t="shared" si="13"/>
        <v>0</v>
      </c>
      <c r="S422" s="20" t="s">
        <v>2977</v>
      </c>
    </row>
    <row r="423" spans="1:19" hidden="1" x14ac:dyDescent="0.25">
      <c r="A423" s="2">
        <v>421</v>
      </c>
      <c r="B423" s="11" t="s">
        <v>2975</v>
      </c>
      <c r="C423" t="s">
        <v>2126</v>
      </c>
      <c r="D423" t="s">
        <v>21</v>
      </c>
      <c r="E423"/>
      <c r="F423" s="9" t="s">
        <v>2127</v>
      </c>
      <c r="G423" t="s">
        <v>2128</v>
      </c>
      <c r="H423" t="s">
        <v>413</v>
      </c>
      <c r="I423" t="s">
        <v>32</v>
      </c>
      <c r="J423" t="s">
        <v>2129</v>
      </c>
      <c r="K423" t="s">
        <v>2079</v>
      </c>
      <c r="L423" t="s">
        <v>2130</v>
      </c>
      <c r="M423" t="s">
        <v>27</v>
      </c>
      <c r="N423" t="s">
        <v>2131</v>
      </c>
      <c r="O423" t="s">
        <v>2082</v>
      </c>
      <c r="P423" t="s">
        <v>2083</v>
      </c>
      <c r="Q423">
        <f t="shared" si="14"/>
        <v>34</v>
      </c>
      <c r="R423">
        <f t="shared" si="13"/>
        <v>34</v>
      </c>
      <c r="S423" s="20" t="s">
        <v>2977</v>
      </c>
    </row>
    <row r="424" spans="1:19" hidden="1" x14ac:dyDescent="0.25">
      <c r="A424" s="3">
        <v>422</v>
      </c>
      <c r="B424" s="11" t="s">
        <v>2975</v>
      </c>
      <c r="C424" t="s">
        <v>2132</v>
      </c>
      <c r="D424" t="s">
        <v>21</v>
      </c>
      <c r="E424"/>
      <c r="F424" s="9" t="s">
        <v>2133</v>
      </c>
      <c r="G424" t="s">
        <v>2134</v>
      </c>
      <c r="H424" t="s">
        <v>670</v>
      </c>
      <c r="I424" t="s">
        <v>32</v>
      </c>
      <c r="J424" t="s">
        <v>2135</v>
      </c>
      <c r="K424" t="s">
        <v>2079</v>
      </c>
      <c r="L424" t="s">
        <v>2136</v>
      </c>
      <c r="M424" t="s">
        <v>27</v>
      </c>
      <c r="N424" t="s">
        <v>2137</v>
      </c>
      <c r="O424" t="s">
        <v>2082</v>
      </c>
      <c r="P424" t="s">
        <v>2083</v>
      </c>
      <c r="Q424">
        <f t="shared" si="14"/>
        <v>27</v>
      </c>
      <c r="R424">
        <f t="shared" si="13"/>
        <v>27</v>
      </c>
      <c r="S424" s="20" t="s">
        <v>2977</v>
      </c>
    </row>
    <row r="425" spans="1:19" hidden="1" x14ac:dyDescent="0.25">
      <c r="A425" s="2">
        <v>423</v>
      </c>
      <c r="B425" s="11" t="s">
        <v>2975</v>
      </c>
      <c r="C425" t="s">
        <v>2138</v>
      </c>
      <c r="D425" t="s">
        <v>21</v>
      </c>
      <c r="E425"/>
      <c r="F425" s="9" t="s">
        <v>2139</v>
      </c>
      <c r="G425" t="s">
        <v>2134</v>
      </c>
      <c r="H425" t="s">
        <v>90</v>
      </c>
      <c r="I425" t="s">
        <v>32</v>
      </c>
      <c r="J425" t="s">
        <v>2140</v>
      </c>
      <c r="K425" t="s">
        <v>2079</v>
      </c>
      <c r="L425" t="s">
        <v>2141</v>
      </c>
      <c r="M425" t="s">
        <v>27</v>
      </c>
      <c r="N425" t="s">
        <v>2142</v>
      </c>
      <c r="O425" t="s">
        <v>2082</v>
      </c>
      <c r="P425" t="s">
        <v>2083</v>
      </c>
      <c r="Q425">
        <f t="shared" si="14"/>
        <v>35</v>
      </c>
      <c r="R425">
        <f t="shared" si="13"/>
        <v>35</v>
      </c>
      <c r="S425" s="20" t="s">
        <v>2980</v>
      </c>
    </row>
    <row r="426" spans="1:19" hidden="1" x14ac:dyDescent="0.25">
      <c r="A426" s="3">
        <v>424</v>
      </c>
      <c r="B426" s="11" t="s">
        <v>2975</v>
      </c>
      <c r="C426" t="s">
        <v>2143</v>
      </c>
      <c r="D426" t="s">
        <v>21</v>
      </c>
      <c r="E426"/>
      <c r="F426" s="9" t="s">
        <v>2144</v>
      </c>
      <c r="G426" t="s">
        <v>2134</v>
      </c>
      <c r="H426" t="s">
        <v>2145</v>
      </c>
      <c r="I426" t="s">
        <v>32</v>
      </c>
      <c r="J426" t="s">
        <v>2146</v>
      </c>
      <c r="K426" t="s">
        <v>2079</v>
      </c>
      <c r="L426" t="s">
        <v>2147</v>
      </c>
      <c r="M426" t="s">
        <v>27</v>
      </c>
      <c r="N426" t="s">
        <v>2148</v>
      </c>
      <c r="O426" t="s">
        <v>2082</v>
      </c>
      <c r="P426" t="s">
        <v>2083</v>
      </c>
      <c r="Q426">
        <f t="shared" si="14"/>
        <v>21</v>
      </c>
      <c r="R426">
        <f t="shared" si="13"/>
        <v>21</v>
      </c>
      <c r="S426" s="20" t="s">
        <v>2977</v>
      </c>
    </row>
    <row r="427" spans="1:19" hidden="1" x14ac:dyDescent="0.25">
      <c r="A427" s="2">
        <v>425</v>
      </c>
      <c r="B427" s="11" t="s">
        <v>2975</v>
      </c>
      <c r="C427" t="s">
        <v>2149</v>
      </c>
      <c r="D427" t="s">
        <v>21</v>
      </c>
      <c r="E427"/>
      <c r="F427" s="9" t="s">
        <v>2150</v>
      </c>
      <c r="G427" t="s">
        <v>2151</v>
      </c>
      <c r="H427" t="s">
        <v>2152</v>
      </c>
      <c r="I427" t="s">
        <v>32</v>
      </c>
      <c r="J427" t="s">
        <v>2153</v>
      </c>
      <c r="K427" t="s">
        <v>2079</v>
      </c>
      <c r="L427" t="s">
        <v>2154</v>
      </c>
      <c r="M427" t="s">
        <v>27</v>
      </c>
      <c r="N427" t="s">
        <v>2155</v>
      </c>
      <c r="O427" t="s">
        <v>2082</v>
      </c>
      <c r="P427" t="s">
        <v>2083</v>
      </c>
      <c r="Q427">
        <f t="shared" si="14"/>
        <v>43</v>
      </c>
      <c r="R427">
        <f t="shared" si="13"/>
        <v>43</v>
      </c>
      <c r="S427" s="20" t="s">
        <v>2977</v>
      </c>
    </row>
    <row r="428" spans="1:19" hidden="1" x14ac:dyDescent="0.25">
      <c r="A428" s="3">
        <v>426</v>
      </c>
      <c r="B428" s="11" t="s">
        <v>2975</v>
      </c>
      <c r="C428" t="s">
        <v>2156</v>
      </c>
      <c r="D428" t="s">
        <v>21</v>
      </c>
      <c r="E428"/>
      <c r="F428" s="9" t="s">
        <v>2157</v>
      </c>
      <c r="G428" t="s">
        <v>2151</v>
      </c>
      <c r="H428" t="s">
        <v>1888</v>
      </c>
      <c r="I428" t="s">
        <v>32</v>
      </c>
      <c r="J428" t="s">
        <v>2158</v>
      </c>
      <c r="K428" t="s">
        <v>2079</v>
      </c>
      <c r="L428" t="s">
        <v>2159</v>
      </c>
      <c r="M428" t="s">
        <v>27</v>
      </c>
      <c r="N428" t="s">
        <v>2160</v>
      </c>
      <c r="O428" t="s">
        <v>2082</v>
      </c>
      <c r="P428" t="s">
        <v>2083</v>
      </c>
      <c r="Q428">
        <f t="shared" si="14"/>
        <v>30</v>
      </c>
      <c r="R428">
        <f t="shared" si="13"/>
        <v>30</v>
      </c>
      <c r="S428" s="20" t="s">
        <v>2977</v>
      </c>
    </row>
    <row r="429" spans="1:19" hidden="1" x14ac:dyDescent="0.25">
      <c r="A429" s="2">
        <v>427</v>
      </c>
      <c r="B429" s="11" t="s">
        <v>2975</v>
      </c>
      <c r="C429" t="s">
        <v>2161</v>
      </c>
      <c r="D429" t="s">
        <v>21</v>
      </c>
      <c r="E429"/>
      <c r="F429" s="9" t="s">
        <v>2162</v>
      </c>
      <c r="G429" t="s">
        <v>2163</v>
      </c>
      <c r="H429" t="s">
        <v>494</v>
      </c>
      <c r="I429" t="s">
        <v>32</v>
      </c>
      <c r="J429" t="s">
        <v>2164</v>
      </c>
      <c r="K429" t="s">
        <v>2079</v>
      </c>
      <c r="L429" t="s">
        <v>2165</v>
      </c>
      <c r="M429" t="s">
        <v>27</v>
      </c>
      <c r="N429" t="s">
        <v>2166</v>
      </c>
      <c r="O429" t="s">
        <v>2082</v>
      </c>
      <c r="P429" t="s">
        <v>2083</v>
      </c>
      <c r="Q429">
        <f t="shared" si="14"/>
        <v>31</v>
      </c>
      <c r="R429">
        <f t="shared" si="13"/>
        <v>31</v>
      </c>
      <c r="S429" s="20" t="s">
        <v>2977</v>
      </c>
    </row>
    <row r="430" spans="1:19" hidden="1" x14ac:dyDescent="0.25">
      <c r="A430" s="3">
        <v>428</v>
      </c>
      <c r="B430" s="11" t="s">
        <v>2975</v>
      </c>
      <c r="C430" t="s">
        <v>2167</v>
      </c>
      <c r="D430" t="s">
        <v>21</v>
      </c>
      <c r="E430"/>
      <c r="F430" s="9" t="s">
        <v>2168</v>
      </c>
      <c r="G430" t="s">
        <v>287</v>
      </c>
      <c r="H430" t="s">
        <v>1612</v>
      </c>
      <c r="I430" t="s">
        <v>24</v>
      </c>
      <c r="J430" t="s">
        <v>2169</v>
      </c>
      <c r="K430" t="s">
        <v>2079</v>
      </c>
      <c r="L430" t="s">
        <v>2170</v>
      </c>
      <c r="M430" t="s">
        <v>27</v>
      </c>
      <c r="N430" t="s">
        <v>2171</v>
      </c>
      <c r="O430" t="s">
        <v>2082</v>
      </c>
      <c r="P430" t="s">
        <v>2083</v>
      </c>
      <c r="Q430">
        <f t="shared" si="14"/>
        <v>19</v>
      </c>
      <c r="R430">
        <f t="shared" si="13"/>
        <v>19</v>
      </c>
      <c r="S430" s="20" t="s">
        <v>2977</v>
      </c>
    </row>
    <row r="431" spans="1:19" hidden="1" x14ac:dyDescent="0.25">
      <c r="A431" s="2">
        <v>429</v>
      </c>
      <c r="B431" s="11" t="s">
        <v>2975</v>
      </c>
      <c r="C431" t="s">
        <v>2172</v>
      </c>
      <c r="D431" t="s">
        <v>21</v>
      </c>
      <c r="E431"/>
      <c r="F431" s="9" t="s">
        <v>2173</v>
      </c>
      <c r="G431" t="s">
        <v>287</v>
      </c>
      <c r="H431" t="s">
        <v>2174</v>
      </c>
      <c r="I431" t="s">
        <v>24</v>
      </c>
      <c r="J431" t="s">
        <v>2175</v>
      </c>
      <c r="K431" t="s">
        <v>2079</v>
      </c>
      <c r="L431" t="s">
        <v>2176</v>
      </c>
      <c r="M431" t="s">
        <v>27</v>
      </c>
      <c r="N431" t="s">
        <v>2177</v>
      </c>
      <c r="O431" t="s">
        <v>2082</v>
      </c>
      <c r="P431" t="s">
        <v>2083</v>
      </c>
      <c r="Q431">
        <f t="shared" si="14"/>
        <v>25</v>
      </c>
      <c r="R431">
        <f t="shared" si="13"/>
        <v>23</v>
      </c>
      <c r="S431" s="20" t="s">
        <v>2977</v>
      </c>
    </row>
    <row r="432" spans="1:19" hidden="1" x14ac:dyDescent="0.25">
      <c r="A432" s="3">
        <v>430</v>
      </c>
      <c r="B432" s="11" t="s">
        <v>2975</v>
      </c>
      <c r="C432" t="s">
        <v>2178</v>
      </c>
      <c r="D432" t="s">
        <v>21</v>
      </c>
      <c r="E432"/>
      <c r="F432" s="9" t="s">
        <v>2179</v>
      </c>
      <c r="G432" t="s">
        <v>2180</v>
      </c>
      <c r="H432" t="s">
        <v>24</v>
      </c>
      <c r="I432" t="s">
        <v>32</v>
      </c>
      <c r="J432" t="s">
        <v>2181</v>
      </c>
      <c r="K432" t="s">
        <v>2079</v>
      </c>
      <c r="L432" t="s">
        <v>2182</v>
      </c>
      <c r="M432" t="s">
        <v>27</v>
      </c>
      <c r="N432" t="s">
        <v>2183</v>
      </c>
      <c r="O432" t="s">
        <v>2082</v>
      </c>
      <c r="P432" t="s">
        <v>2083</v>
      </c>
      <c r="Q432">
        <f t="shared" si="14"/>
        <v>36</v>
      </c>
      <c r="R432">
        <f t="shared" si="13"/>
        <v>35</v>
      </c>
      <c r="S432" s="20" t="s">
        <v>2977</v>
      </c>
    </row>
    <row r="433" spans="1:19" hidden="1" x14ac:dyDescent="0.25">
      <c r="A433" s="2">
        <v>431</v>
      </c>
      <c r="B433" s="11" t="s">
        <v>2975</v>
      </c>
      <c r="C433" t="s">
        <v>2184</v>
      </c>
      <c r="D433" t="s">
        <v>21</v>
      </c>
      <c r="E433"/>
      <c r="F433" s="9" t="s">
        <v>2185</v>
      </c>
      <c r="G433" t="s">
        <v>2186</v>
      </c>
      <c r="H433" t="s">
        <v>806</v>
      </c>
      <c r="I433" t="s">
        <v>32</v>
      </c>
      <c r="J433" t="s">
        <v>2187</v>
      </c>
      <c r="K433" t="s">
        <v>2079</v>
      </c>
      <c r="L433" t="s">
        <v>2188</v>
      </c>
      <c r="M433" t="s">
        <v>27</v>
      </c>
      <c r="N433" t="s">
        <v>2189</v>
      </c>
      <c r="O433" t="s">
        <v>2082</v>
      </c>
      <c r="P433" t="s">
        <v>2083</v>
      </c>
      <c r="Q433">
        <f t="shared" si="14"/>
        <v>25</v>
      </c>
      <c r="R433">
        <f t="shared" si="13"/>
        <v>25</v>
      </c>
      <c r="S433" s="20" t="s">
        <v>2977</v>
      </c>
    </row>
    <row r="434" spans="1:19" hidden="1" x14ac:dyDescent="0.25">
      <c r="A434" s="3">
        <v>432</v>
      </c>
      <c r="B434" s="11" t="s">
        <v>2975</v>
      </c>
      <c r="C434" t="s">
        <v>2190</v>
      </c>
      <c r="D434" t="s">
        <v>21</v>
      </c>
      <c r="E434"/>
      <c r="F434" s="9" t="s">
        <v>2191</v>
      </c>
      <c r="G434" t="s">
        <v>166</v>
      </c>
      <c r="H434" t="s">
        <v>2192</v>
      </c>
      <c r="I434" t="s">
        <v>32</v>
      </c>
      <c r="J434" t="s">
        <v>2193</v>
      </c>
      <c r="K434" t="s">
        <v>2079</v>
      </c>
      <c r="L434" t="s">
        <v>2194</v>
      </c>
      <c r="M434" t="s">
        <v>27</v>
      </c>
      <c r="N434" t="s">
        <v>2099</v>
      </c>
      <c r="O434" t="s">
        <v>2082</v>
      </c>
      <c r="P434" t="s">
        <v>2083</v>
      </c>
      <c r="Q434">
        <f t="shared" si="14"/>
        <v>8</v>
      </c>
      <c r="R434">
        <f t="shared" si="13"/>
        <v>0</v>
      </c>
      <c r="S434" s="20" t="s">
        <v>2977</v>
      </c>
    </row>
    <row r="435" spans="1:19" hidden="1" x14ac:dyDescent="0.25">
      <c r="A435" s="2">
        <v>433</v>
      </c>
      <c r="B435" s="11" t="s">
        <v>2975</v>
      </c>
      <c r="C435" t="s">
        <v>2195</v>
      </c>
      <c r="D435" t="s">
        <v>21</v>
      </c>
      <c r="E435"/>
      <c r="F435" s="9" t="s">
        <v>2196</v>
      </c>
      <c r="G435" t="s">
        <v>2197</v>
      </c>
      <c r="H435" t="s">
        <v>36</v>
      </c>
      <c r="I435" t="s">
        <v>32</v>
      </c>
      <c r="J435" t="s">
        <v>2198</v>
      </c>
      <c r="K435" t="s">
        <v>2079</v>
      </c>
      <c r="L435" t="s">
        <v>2199</v>
      </c>
      <c r="M435" t="s">
        <v>27</v>
      </c>
      <c r="N435" t="s">
        <v>2200</v>
      </c>
      <c r="O435" t="s">
        <v>2082</v>
      </c>
      <c r="P435" t="s">
        <v>2083</v>
      </c>
      <c r="Q435">
        <f t="shared" si="14"/>
        <v>31</v>
      </c>
      <c r="R435">
        <f t="shared" si="13"/>
        <v>36</v>
      </c>
      <c r="S435" s="20" t="s">
        <v>2977</v>
      </c>
    </row>
    <row r="436" spans="1:19" hidden="1" x14ac:dyDescent="0.25">
      <c r="A436" s="3">
        <v>434</v>
      </c>
      <c r="B436" s="11" t="s">
        <v>2975</v>
      </c>
      <c r="C436" t="s">
        <v>2201</v>
      </c>
      <c r="D436" t="s">
        <v>21</v>
      </c>
      <c r="E436"/>
      <c r="F436" s="9" t="s">
        <v>2202</v>
      </c>
      <c r="G436" t="s">
        <v>166</v>
      </c>
      <c r="H436" t="s">
        <v>2203</v>
      </c>
      <c r="I436" t="s">
        <v>32</v>
      </c>
      <c r="J436" t="s">
        <v>2204</v>
      </c>
      <c r="K436" t="s">
        <v>2079</v>
      </c>
      <c r="L436" t="s">
        <v>2205</v>
      </c>
      <c r="M436" t="s">
        <v>27</v>
      </c>
      <c r="N436" t="s">
        <v>2099</v>
      </c>
      <c r="O436" t="s">
        <v>2082</v>
      </c>
      <c r="P436" t="s">
        <v>2083</v>
      </c>
      <c r="Q436">
        <f t="shared" si="14"/>
        <v>5</v>
      </c>
      <c r="R436">
        <f t="shared" si="13"/>
        <v>0</v>
      </c>
      <c r="S436" s="20" t="s">
        <v>2977</v>
      </c>
    </row>
    <row r="437" spans="1:19" hidden="1" x14ac:dyDescent="0.25">
      <c r="A437" s="2">
        <v>435</v>
      </c>
      <c r="B437" s="11" t="s">
        <v>2975</v>
      </c>
      <c r="C437" t="s">
        <v>2206</v>
      </c>
      <c r="D437" t="s">
        <v>21</v>
      </c>
      <c r="E437"/>
      <c r="F437" s="9" t="s">
        <v>2207</v>
      </c>
      <c r="G437" t="s">
        <v>2208</v>
      </c>
      <c r="H437" t="s">
        <v>37</v>
      </c>
      <c r="I437" t="s">
        <v>37</v>
      </c>
      <c r="J437" t="s">
        <v>2209</v>
      </c>
      <c r="K437" t="s">
        <v>2079</v>
      </c>
      <c r="L437" t="s">
        <v>2210</v>
      </c>
      <c r="M437" t="s">
        <v>27</v>
      </c>
      <c r="N437" t="s">
        <v>2211</v>
      </c>
      <c r="O437" t="s">
        <v>2082</v>
      </c>
      <c r="P437" t="s">
        <v>2083</v>
      </c>
      <c r="Q437">
        <f t="shared" si="14"/>
        <v>20</v>
      </c>
      <c r="R437">
        <f t="shared" si="13"/>
        <v>19</v>
      </c>
      <c r="S437" s="20" t="s">
        <v>2977</v>
      </c>
    </row>
    <row r="438" spans="1:19" hidden="1" x14ac:dyDescent="0.25">
      <c r="A438" s="3">
        <v>436</v>
      </c>
      <c r="B438" s="11" t="s">
        <v>2975</v>
      </c>
      <c r="C438" t="s">
        <v>2212</v>
      </c>
      <c r="D438" t="s">
        <v>21</v>
      </c>
      <c r="E438"/>
      <c r="F438" s="9" t="s">
        <v>2213</v>
      </c>
      <c r="G438" t="s">
        <v>406</v>
      </c>
      <c r="H438" t="s">
        <v>37</v>
      </c>
      <c r="I438" t="s">
        <v>32</v>
      </c>
      <c r="J438" t="s">
        <v>2214</v>
      </c>
      <c r="K438" t="s">
        <v>2079</v>
      </c>
      <c r="L438" t="s">
        <v>2215</v>
      </c>
      <c r="M438" t="s">
        <v>27</v>
      </c>
      <c r="N438" t="s">
        <v>2216</v>
      </c>
      <c r="O438" t="s">
        <v>2082</v>
      </c>
      <c r="P438" t="s">
        <v>2083</v>
      </c>
      <c r="Q438">
        <f t="shared" si="14"/>
        <v>28</v>
      </c>
      <c r="R438">
        <f t="shared" si="13"/>
        <v>28</v>
      </c>
      <c r="S438" s="20" t="s">
        <v>2977</v>
      </c>
    </row>
    <row r="439" spans="1:19" hidden="1" x14ac:dyDescent="0.25">
      <c r="A439" s="2">
        <v>437</v>
      </c>
      <c r="B439" s="11" t="s">
        <v>2975</v>
      </c>
      <c r="C439" t="s">
        <v>2217</v>
      </c>
      <c r="D439" t="s">
        <v>21</v>
      </c>
      <c r="E439"/>
      <c r="F439" s="9" t="s">
        <v>2218</v>
      </c>
      <c r="G439" t="s">
        <v>2219</v>
      </c>
      <c r="H439" t="s">
        <v>213</v>
      </c>
      <c r="I439" t="s">
        <v>32</v>
      </c>
      <c r="J439" t="s">
        <v>2220</v>
      </c>
      <c r="K439" t="s">
        <v>2079</v>
      </c>
      <c r="L439" t="s">
        <v>2221</v>
      </c>
      <c r="M439" t="s">
        <v>27</v>
      </c>
      <c r="N439"/>
      <c r="O439" t="s">
        <v>2082</v>
      </c>
      <c r="P439" t="s">
        <v>2083</v>
      </c>
      <c r="Q439">
        <f t="shared" si="14"/>
        <v>15</v>
      </c>
      <c r="R439">
        <f t="shared" si="13"/>
        <v>0</v>
      </c>
      <c r="S439" s="20" t="s">
        <v>2977</v>
      </c>
    </row>
    <row r="440" spans="1:19" hidden="1" x14ac:dyDescent="0.25">
      <c r="A440" s="3">
        <v>438</v>
      </c>
      <c r="B440" s="11" t="s">
        <v>2975</v>
      </c>
      <c r="C440" t="s">
        <v>2222</v>
      </c>
      <c r="D440" t="s">
        <v>21</v>
      </c>
      <c r="E440"/>
      <c r="F440" s="9" t="s">
        <v>2223</v>
      </c>
      <c r="G440" t="s">
        <v>2224</v>
      </c>
      <c r="H440" t="s">
        <v>24</v>
      </c>
      <c r="I440" t="s">
        <v>24</v>
      </c>
      <c r="J440" t="s">
        <v>2225</v>
      </c>
      <c r="K440" t="s">
        <v>2079</v>
      </c>
      <c r="L440" t="s">
        <v>2224</v>
      </c>
      <c r="M440" t="s">
        <v>27</v>
      </c>
      <c r="N440" t="s">
        <v>2099</v>
      </c>
      <c r="O440" t="s">
        <v>2082</v>
      </c>
      <c r="P440" t="s">
        <v>2083</v>
      </c>
      <c r="Q440">
        <f t="shared" si="14"/>
        <v>9</v>
      </c>
      <c r="R440">
        <f t="shared" si="13"/>
        <v>0</v>
      </c>
      <c r="S440" s="20" t="s">
        <v>2977</v>
      </c>
    </row>
    <row r="441" spans="1:19" hidden="1" x14ac:dyDescent="0.25">
      <c r="A441" s="2">
        <v>439</v>
      </c>
      <c r="B441" s="11" t="s">
        <v>2975</v>
      </c>
      <c r="C441" t="s">
        <v>2226</v>
      </c>
      <c r="D441" t="s">
        <v>21</v>
      </c>
      <c r="E441"/>
      <c r="F441" s="9" t="s">
        <v>2227</v>
      </c>
      <c r="G441" t="s">
        <v>2228</v>
      </c>
      <c r="H441" t="s">
        <v>24</v>
      </c>
      <c r="I441" t="s">
        <v>32</v>
      </c>
      <c r="J441" t="s">
        <v>2229</v>
      </c>
      <c r="K441" t="s">
        <v>2079</v>
      </c>
      <c r="L441" t="s">
        <v>2230</v>
      </c>
      <c r="M441" t="s">
        <v>27</v>
      </c>
      <c r="N441" t="s">
        <v>2231</v>
      </c>
      <c r="O441" t="s">
        <v>2082</v>
      </c>
      <c r="P441" t="s">
        <v>2083</v>
      </c>
      <c r="Q441">
        <f t="shared" si="14"/>
        <v>18</v>
      </c>
      <c r="R441">
        <f t="shared" si="13"/>
        <v>18</v>
      </c>
      <c r="S441" s="20" t="s">
        <v>2977</v>
      </c>
    </row>
    <row r="442" spans="1:19" hidden="1" x14ac:dyDescent="0.25">
      <c r="A442" s="3">
        <v>440</v>
      </c>
      <c r="B442" s="11" t="s">
        <v>2975</v>
      </c>
      <c r="C442" t="s">
        <v>2232</v>
      </c>
      <c r="D442" t="s">
        <v>21</v>
      </c>
      <c r="E442"/>
      <c r="F442" s="9" t="s">
        <v>2233</v>
      </c>
      <c r="G442" t="s">
        <v>511</v>
      </c>
      <c r="H442" t="s">
        <v>153</v>
      </c>
      <c r="I442" t="s">
        <v>24</v>
      </c>
      <c r="J442" t="s">
        <v>2234</v>
      </c>
      <c r="K442" t="s">
        <v>2079</v>
      </c>
      <c r="L442" t="s">
        <v>2235</v>
      </c>
      <c r="M442" t="s">
        <v>27</v>
      </c>
      <c r="N442" t="s">
        <v>2099</v>
      </c>
      <c r="O442" t="s">
        <v>2082</v>
      </c>
      <c r="P442" t="s">
        <v>2083</v>
      </c>
      <c r="Q442">
        <f t="shared" si="14"/>
        <v>1</v>
      </c>
      <c r="R442">
        <f t="shared" si="13"/>
        <v>0</v>
      </c>
      <c r="S442" s="20" t="s">
        <v>2977</v>
      </c>
    </row>
    <row r="443" spans="1:19" hidden="1" x14ac:dyDescent="0.25">
      <c r="A443" s="2">
        <v>441</v>
      </c>
      <c r="B443" s="11" t="s">
        <v>2975</v>
      </c>
      <c r="C443" t="s">
        <v>2236</v>
      </c>
      <c r="D443" t="s">
        <v>21</v>
      </c>
      <c r="E443"/>
      <c r="F443" s="9" t="s">
        <v>2237</v>
      </c>
      <c r="G443" t="s">
        <v>511</v>
      </c>
      <c r="H443" t="s">
        <v>153</v>
      </c>
      <c r="I443" t="s">
        <v>32</v>
      </c>
      <c r="J443" t="s">
        <v>2238</v>
      </c>
      <c r="K443" t="s">
        <v>2079</v>
      </c>
      <c r="L443" t="s">
        <v>2239</v>
      </c>
      <c r="M443" t="s">
        <v>27</v>
      </c>
      <c r="N443" t="s">
        <v>2099</v>
      </c>
      <c r="O443" t="s">
        <v>2082</v>
      </c>
      <c r="P443" t="s">
        <v>2083</v>
      </c>
      <c r="Q443">
        <f t="shared" si="14"/>
        <v>3</v>
      </c>
      <c r="R443">
        <f t="shared" si="13"/>
        <v>0</v>
      </c>
      <c r="S443" s="20" t="s">
        <v>2977</v>
      </c>
    </row>
    <row r="444" spans="1:19" hidden="1" x14ac:dyDescent="0.25">
      <c r="A444" s="3">
        <v>442</v>
      </c>
      <c r="B444" s="11" t="s">
        <v>2975</v>
      </c>
      <c r="C444" t="s">
        <v>2240</v>
      </c>
      <c r="D444" t="s">
        <v>21</v>
      </c>
      <c r="E444"/>
      <c r="F444" s="9" t="s">
        <v>2241</v>
      </c>
      <c r="G444" t="s">
        <v>2242</v>
      </c>
      <c r="H444" t="s">
        <v>806</v>
      </c>
      <c r="I444" t="s">
        <v>32</v>
      </c>
      <c r="J444" t="s">
        <v>2243</v>
      </c>
      <c r="K444" t="s">
        <v>2079</v>
      </c>
      <c r="L444" t="s">
        <v>2244</v>
      </c>
      <c r="M444" t="s">
        <v>27</v>
      </c>
      <c r="N444" t="s">
        <v>2245</v>
      </c>
      <c r="O444" t="s">
        <v>2082</v>
      </c>
      <c r="P444" t="s">
        <v>2083</v>
      </c>
      <c r="Q444">
        <f t="shared" si="14"/>
        <v>26</v>
      </c>
      <c r="R444">
        <f t="shared" si="13"/>
        <v>26</v>
      </c>
      <c r="S444" s="20" t="s">
        <v>2977</v>
      </c>
    </row>
    <row r="445" spans="1:19" hidden="1" x14ac:dyDescent="0.25">
      <c r="A445" s="2">
        <v>443</v>
      </c>
      <c r="B445" s="11" t="s">
        <v>2975</v>
      </c>
      <c r="C445" t="s">
        <v>2246</v>
      </c>
      <c r="D445" t="s">
        <v>21</v>
      </c>
      <c r="E445"/>
      <c r="F445" s="9" t="s">
        <v>2247</v>
      </c>
      <c r="G445" t="s">
        <v>763</v>
      </c>
      <c r="H445" t="s">
        <v>2248</v>
      </c>
      <c r="I445" t="s">
        <v>32</v>
      </c>
      <c r="J445" t="s">
        <v>2249</v>
      </c>
      <c r="K445" t="s">
        <v>2079</v>
      </c>
      <c r="L445" t="s">
        <v>2250</v>
      </c>
      <c r="M445" t="s">
        <v>27</v>
      </c>
      <c r="N445" t="s">
        <v>2251</v>
      </c>
      <c r="O445" t="s">
        <v>2082</v>
      </c>
      <c r="P445" t="s">
        <v>2083</v>
      </c>
      <c r="Q445">
        <f t="shared" si="14"/>
        <v>43</v>
      </c>
      <c r="R445">
        <f t="shared" si="13"/>
        <v>43</v>
      </c>
      <c r="S445" s="20" t="s">
        <v>2977</v>
      </c>
    </row>
    <row r="446" spans="1:19" hidden="1" x14ac:dyDescent="0.25">
      <c r="A446" s="3">
        <v>444</v>
      </c>
      <c r="B446" s="11" t="s">
        <v>2975</v>
      </c>
      <c r="C446" t="s">
        <v>2252</v>
      </c>
      <c r="D446" t="s">
        <v>21</v>
      </c>
      <c r="E446"/>
      <c r="F446" s="9" t="s">
        <v>2253</v>
      </c>
      <c r="G446" t="s">
        <v>763</v>
      </c>
      <c r="H446" t="s">
        <v>2254</v>
      </c>
      <c r="I446" t="s">
        <v>32</v>
      </c>
      <c r="J446" t="s">
        <v>2255</v>
      </c>
      <c r="K446" t="s">
        <v>2079</v>
      </c>
      <c r="L446" t="s">
        <v>2256</v>
      </c>
      <c r="M446" t="s">
        <v>27</v>
      </c>
      <c r="N446" t="s">
        <v>2257</v>
      </c>
      <c r="O446" t="s">
        <v>2082</v>
      </c>
      <c r="P446" t="s">
        <v>2083</v>
      </c>
      <c r="Q446">
        <f t="shared" si="14"/>
        <v>24</v>
      </c>
      <c r="R446">
        <f t="shared" si="13"/>
        <v>24</v>
      </c>
      <c r="S446" s="20" t="s">
        <v>2977</v>
      </c>
    </row>
    <row r="447" spans="1:19" hidden="1" x14ac:dyDescent="0.25">
      <c r="A447" s="2">
        <v>445</v>
      </c>
      <c r="B447" s="11" t="s">
        <v>2975</v>
      </c>
      <c r="C447" t="s">
        <v>2258</v>
      </c>
      <c r="D447" t="s">
        <v>21</v>
      </c>
      <c r="E447"/>
      <c r="F447" s="9">
        <v>37175213816</v>
      </c>
      <c r="G447" t="s">
        <v>2259</v>
      </c>
      <c r="H447" t="s">
        <v>2260</v>
      </c>
      <c r="I447" t="s">
        <v>32</v>
      </c>
      <c r="J447" t="s">
        <v>2261</v>
      </c>
      <c r="K447" t="s">
        <v>2079</v>
      </c>
      <c r="L447" t="s">
        <v>2262</v>
      </c>
      <c r="M447" t="s">
        <v>27</v>
      </c>
      <c r="N447" t="s">
        <v>2262</v>
      </c>
      <c r="O447" t="s">
        <v>2082</v>
      </c>
      <c r="P447" t="s">
        <v>2083</v>
      </c>
      <c r="Q447">
        <f t="shared" si="14"/>
        <v>27</v>
      </c>
      <c r="R447">
        <f t="shared" si="13"/>
        <v>27</v>
      </c>
      <c r="S447" s="20" t="s">
        <v>2977</v>
      </c>
    </row>
    <row r="448" spans="1:19" hidden="1" x14ac:dyDescent="0.25">
      <c r="A448" s="3">
        <v>446</v>
      </c>
      <c r="B448" s="11" t="s">
        <v>2975</v>
      </c>
      <c r="C448" t="s">
        <v>2263</v>
      </c>
      <c r="D448" t="s">
        <v>21</v>
      </c>
      <c r="E448"/>
      <c r="F448" s="9" t="s">
        <v>2264</v>
      </c>
      <c r="G448" t="s">
        <v>2265</v>
      </c>
      <c r="H448" t="s">
        <v>24</v>
      </c>
      <c r="I448" t="s">
        <v>32</v>
      </c>
      <c r="J448" t="s">
        <v>2266</v>
      </c>
      <c r="K448" t="s">
        <v>2079</v>
      </c>
      <c r="L448" t="s">
        <v>2267</v>
      </c>
      <c r="M448" t="s">
        <v>27</v>
      </c>
      <c r="N448" t="s">
        <v>2268</v>
      </c>
      <c r="O448" t="s">
        <v>2082</v>
      </c>
      <c r="P448" t="s">
        <v>2083</v>
      </c>
      <c r="Q448">
        <f t="shared" si="14"/>
        <v>32</v>
      </c>
      <c r="R448">
        <f t="shared" si="13"/>
        <v>32</v>
      </c>
      <c r="S448" s="20" t="s">
        <v>2977</v>
      </c>
    </row>
    <row r="449" spans="1:19" hidden="1" x14ac:dyDescent="0.25">
      <c r="A449" s="2">
        <v>447</v>
      </c>
      <c r="B449" s="11" t="s">
        <v>2975</v>
      </c>
      <c r="C449" t="s">
        <v>2269</v>
      </c>
      <c r="D449" t="s">
        <v>21</v>
      </c>
      <c r="E449"/>
      <c r="F449" s="9" t="s">
        <v>2270</v>
      </c>
      <c r="G449" t="s">
        <v>2271</v>
      </c>
      <c r="H449" t="s">
        <v>348</v>
      </c>
      <c r="I449" t="s">
        <v>32</v>
      </c>
      <c r="J449" t="s">
        <v>2272</v>
      </c>
      <c r="K449" t="s">
        <v>2079</v>
      </c>
      <c r="L449" t="s">
        <v>2273</v>
      </c>
      <c r="M449" t="s">
        <v>27</v>
      </c>
      <c r="N449" t="s">
        <v>2274</v>
      </c>
      <c r="O449" t="s">
        <v>2082</v>
      </c>
      <c r="P449" t="s">
        <v>2083</v>
      </c>
      <c r="Q449">
        <f t="shared" si="14"/>
        <v>35</v>
      </c>
      <c r="R449">
        <f t="shared" si="13"/>
        <v>35</v>
      </c>
      <c r="S449" s="20" t="s">
        <v>2977</v>
      </c>
    </row>
    <row r="450" spans="1:19" hidden="1" x14ac:dyDescent="0.25">
      <c r="A450" s="3">
        <v>448</v>
      </c>
      <c r="B450" s="11" t="s">
        <v>2975</v>
      </c>
      <c r="C450" t="s">
        <v>2275</v>
      </c>
      <c r="D450" t="s">
        <v>21</v>
      </c>
      <c r="E450"/>
      <c r="F450" s="9" t="s">
        <v>2276</v>
      </c>
      <c r="G450" t="s">
        <v>2277</v>
      </c>
      <c r="H450" t="s">
        <v>81</v>
      </c>
      <c r="I450" t="s">
        <v>213</v>
      </c>
      <c r="J450" t="s">
        <v>2278</v>
      </c>
      <c r="K450" t="s">
        <v>2079</v>
      </c>
      <c r="L450" t="s">
        <v>2279</v>
      </c>
      <c r="M450" t="s">
        <v>27</v>
      </c>
      <c r="N450" t="s">
        <v>2280</v>
      </c>
      <c r="O450" t="s">
        <v>2082</v>
      </c>
      <c r="P450" t="s">
        <v>2083</v>
      </c>
      <c r="Q450">
        <f t="shared" si="14"/>
        <v>20</v>
      </c>
      <c r="R450">
        <f t="shared" si="13"/>
        <v>20</v>
      </c>
      <c r="S450" s="20" t="s">
        <v>2977</v>
      </c>
    </row>
    <row r="451" spans="1:19" hidden="1" x14ac:dyDescent="0.25">
      <c r="A451" s="2">
        <v>449</v>
      </c>
      <c r="B451" s="11" t="s">
        <v>2975</v>
      </c>
      <c r="C451" t="s">
        <v>2281</v>
      </c>
      <c r="D451" t="s">
        <v>21</v>
      </c>
      <c r="E451"/>
      <c r="F451" s="9" t="s">
        <v>2282</v>
      </c>
      <c r="G451" t="s">
        <v>2283</v>
      </c>
      <c r="H451" t="s">
        <v>278</v>
      </c>
      <c r="I451" t="s">
        <v>32</v>
      </c>
      <c r="J451" t="s">
        <v>2284</v>
      </c>
      <c r="K451" t="s">
        <v>2079</v>
      </c>
      <c r="L451" t="s">
        <v>2285</v>
      </c>
      <c r="M451" t="s">
        <v>27</v>
      </c>
      <c r="N451" t="s">
        <v>2286</v>
      </c>
      <c r="O451" t="s">
        <v>2082</v>
      </c>
      <c r="P451" t="s">
        <v>2083</v>
      </c>
      <c r="Q451">
        <f t="shared" si="14"/>
        <v>24</v>
      </c>
      <c r="R451">
        <f t="shared" ref="R451:R514" si="15">LEN(N451)</f>
        <v>24</v>
      </c>
      <c r="S451" s="20" t="s">
        <v>2977</v>
      </c>
    </row>
    <row r="452" spans="1:19" hidden="1" x14ac:dyDescent="0.25">
      <c r="A452" s="3">
        <v>450</v>
      </c>
      <c r="B452" s="11" t="s">
        <v>2975</v>
      </c>
      <c r="C452" t="s">
        <v>2287</v>
      </c>
      <c r="D452" t="s">
        <v>21</v>
      </c>
      <c r="E452"/>
      <c r="F452" s="9" t="s">
        <v>2288</v>
      </c>
      <c r="G452" t="s">
        <v>2277</v>
      </c>
      <c r="H452" t="s">
        <v>81</v>
      </c>
      <c r="I452" t="s">
        <v>36</v>
      </c>
      <c r="J452" t="s">
        <v>2289</v>
      </c>
      <c r="K452" t="s">
        <v>2079</v>
      </c>
      <c r="L452" t="s">
        <v>2279</v>
      </c>
      <c r="M452" t="s">
        <v>27</v>
      </c>
      <c r="N452" t="s">
        <v>2280</v>
      </c>
      <c r="O452" t="s">
        <v>2082</v>
      </c>
      <c r="P452" t="s">
        <v>2083</v>
      </c>
      <c r="Q452">
        <f t="shared" si="14"/>
        <v>20</v>
      </c>
      <c r="R452">
        <f t="shared" si="15"/>
        <v>20</v>
      </c>
      <c r="S452" s="20" t="s">
        <v>2977</v>
      </c>
    </row>
    <row r="453" spans="1:19" hidden="1" x14ac:dyDescent="0.25">
      <c r="A453" s="2">
        <v>451</v>
      </c>
      <c r="B453" s="11" t="s">
        <v>2975</v>
      </c>
      <c r="C453" t="s">
        <v>2290</v>
      </c>
      <c r="D453" t="s">
        <v>21</v>
      </c>
      <c r="E453"/>
      <c r="F453" s="9" t="s">
        <v>2291</v>
      </c>
      <c r="G453" t="s">
        <v>2277</v>
      </c>
      <c r="H453" t="s">
        <v>81</v>
      </c>
      <c r="I453" t="s">
        <v>24</v>
      </c>
      <c r="J453" t="s">
        <v>2292</v>
      </c>
      <c r="K453" t="s">
        <v>2079</v>
      </c>
      <c r="L453" t="s">
        <v>2293</v>
      </c>
      <c r="M453" t="s">
        <v>27</v>
      </c>
      <c r="N453" t="s">
        <v>2294</v>
      </c>
      <c r="O453" t="s">
        <v>2082</v>
      </c>
      <c r="P453" t="s">
        <v>2083</v>
      </c>
      <c r="Q453">
        <f t="shared" si="14"/>
        <v>28</v>
      </c>
      <c r="R453">
        <f t="shared" si="15"/>
        <v>28</v>
      </c>
      <c r="S453" s="20" t="s">
        <v>2977</v>
      </c>
    </row>
    <row r="454" spans="1:19" hidden="1" x14ac:dyDescent="0.25">
      <c r="A454" s="3">
        <v>452</v>
      </c>
      <c r="B454" s="11" t="s">
        <v>2975</v>
      </c>
      <c r="C454" t="s">
        <v>2295</v>
      </c>
      <c r="D454" t="s">
        <v>21</v>
      </c>
      <c r="E454"/>
      <c r="F454" s="9" t="s">
        <v>2296</v>
      </c>
      <c r="G454" t="s">
        <v>2297</v>
      </c>
      <c r="H454" t="s">
        <v>749</v>
      </c>
      <c r="I454" t="s">
        <v>32</v>
      </c>
      <c r="J454" t="s">
        <v>2298</v>
      </c>
      <c r="K454" t="s">
        <v>2079</v>
      </c>
      <c r="L454" t="s">
        <v>2299</v>
      </c>
      <c r="M454" t="s">
        <v>27</v>
      </c>
      <c r="N454" t="s">
        <v>2300</v>
      </c>
      <c r="O454" t="s">
        <v>2082</v>
      </c>
      <c r="P454" t="s">
        <v>2083</v>
      </c>
      <c r="Q454">
        <f t="shared" si="14"/>
        <v>26</v>
      </c>
      <c r="R454">
        <f t="shared" si="15"/>
        <v>26</v>
      </c>
      <c r="S454" s="20" t="s">
        <v>2977</v>
      </c>
    </row>
    <row r="455" spans="1:19" hidden="1" x14ac:dyDescent="0.25">
      <c r="A455" s="2">
        <v>453</v>
      </c>
      <c r="B455" s="11" t="s">
        <v>2975</v>
      </c>
      <c r="C455" t="s">
        <v>2301</v>
      </c>
      <c r="D455" t="s">
        <v>21</v>
      </c>
      <c r="E455"/>
      <c r="F455" s="9" t="s">
        <v>2302</v>
      </c>
      <c r="G455" t="s">
        <v>2303</v>
      </c>
      <c r="H455" t="s">
        <v>120</v>
      </c>
      <c r="I455" t="s">
        <v>32</v>
      </c>
      <c r="J455" t="s">
        <v>2304</v>
      </c>
      <c r="K455" t="s">
        <v>2079</v>
      </c>
      <c r="L455" t="s">
        <v>2305</v>
      </c>
      <c r="M455" t="s">
        <v>27</v>
      </c>
      <c r="N455" t="s">
        <v>2306</v>
      </c>
      <c r="O455" t="s">
        <v>2082</v>
      </c>
      <c r="P455" t="s">
        <v>2083</v>
      </c>
      <c r="Q455">
        <f t="shared" si="14"/>
        <v>38</v>
      </c>
      <c r="R455">
        <f t="shared" si="15"/>
        <v>38</v>
      </c>
      <c r="S455" s="20" t="s">
        <v>2977</v>
      </c>
    </row>
    <row r="456" spans="1:19" hidden="1" x14ac:dyDescent="0.25">
      <c r="A456" s="3">
        <v>454</v>
      </c>
      <c r="B456" s="11" t="s">
        <v>2975</v>
      </c>
      <c r="C456" t="s">
        <v>2307</v>
      </c>
      <c r="D456" t="s">
        <v>21</v>
      </c>
      <c r="E456"/>
      <c r="F456" s="9" t="s">
        <v>2308</v>
      </c>
      <c r="G456" t="s">
        <v>2309</v>
      </c>
      <c r="H456" t="s">
        <v>192</v>
      </c>
      <c r="I456" t="s">
        <v>32</v>
      </c>
      <c r="J456" t="s">
        <v>2310</v>
      </c>
      <c r="K456" t="s">
        <v>2079</v>
      </c>
      <c r="L456" t="s">
        <v>2311</v>
      </c>
      <c r="M456" t="s">
        <v>27</v>
      </c>
      <c r="N456" t="s">
        <v>2312</v>
      </c>
      <c r="O456" t="s">
        <v>2082</v>
      </c>
      <c r="P456" t="s">
        <v>2083</v>
      </c>
      <c r="Q456">
        <f t="shared" si="14"/>
        <v>31</v>
      </c>
      <c r="R456">
        <f t="shared" si="15"/>
        <v>31</v>
      </c>
      <c r="S456" s="20" t="s">
        <v>2980</v>
      </c>
    </row>
    <row r="457" spans="1:19" hidden="1" x14ac:dyDescent="0.25">
      <c r="A457" s="2">
        <v>455</v>
      </c>
      <c r="B457" s="11" t="s">
        <v>2975</v>
      </c>
      <c r="C457" t="s">
        <v>2313</v>
      </c>
      <c r="D457" t="s">
        <v>21</v>
      </c>
      <c r="E457"/>
      <c r="F457" s="9" t="s">
        <v>2314</v>
      </c>
      <c r="G457" t="s">
        <v>2315</v>
      </c>
      <c r="H457" t="s">
        <v>1531</v>
      </c>
      <c r="I457" t="s">
        <v>32</v>
      </c>
      <c r="J457" t="s">
        <v>2316</v>
      </c>
      <c r="K457" t="s">
        <v>2079</v>
      </c>
      <c r="L457" t="s">
        <v>2317</v>
      </c>
      <c r="M457" t="s">
        <v>27</v>
      </c>
      <c r="N457" t="s">
        <v>2318</v>
      </c>
      <c r="O457" t="s">
        <v>2082</v>
      </c>
      <c r="P457" t="s">
        <v>2083</v>
      </c>
      <c r="Q457">
        <f t="shared" si="14"/>
        <v>50</v>
      </c>
      <c r="R457">
        <f t="shared" si="15"/>
        <v>50</v>
      </c>
      <c r="S457" s="20" t="s">
        <v>2977</v>
      </c>
    </row>
    <row r="458" spans="1:19" hidden="1" x14ac:dyDescent="0.25">
      <c r="A458" s="3">
        <v>456</v>
      </c>
      <c r="B458" s="11" t="s">
        <v>2975</v>
      </c>
      <c r="C458" t="s">
        <v>2319</v>
      </c>
      <c r="D458" t="s">
        <v>21</v>
      </c>
      <c r="E458"/>
      <c r="F458" s="9" t="s">
        <v>2320</v>
      </c>
      <c r="G458" t="s">
        <v>879</v>
      </c>
      <c r="H458" t="s">
        <v>2321</v>
      </c>
      <c r="I458" t="s">
        <v>24</v>
      </c>
      <c r="J458" t="s">
        <v>2322</v>
      </c>
      <c r="K458" t="s">
        <v>2079</v>
      </c>
      <c r="L458" t="s">
        <v>2323</v>
      </c>
      <c r="M458" t="s">
        <v>27</v>
      </c>
      <c r="N458" t="s">
        <v>2099</v>
      </c>
      <c r="O458" t="s">
        <v>2082</v>
      </c>
      <c r="P458" t="s">
        <v>2083</v>
      </c>
      <c r="Q458">
        <f t="shared" si="14"/>
        <v>24</v>
      </c>
      <c r="R458">
        <f t="shared" si="15"/>
        <v>0</v>
      </c>
      <c r="S458" s="20" t="s">
        <v>2977</v>
      </c>
    </row>
    <row r="459" spans="1:19" hidden="1" x14ac:dyDescent="0.25">
      <c r="A459" s="2">
        <v>457</v>
      </c>
      <c r="B459" s="11" t="s">
        <v>2975</v>
      </c>
      <c r="C459" t="s">
        <v>2324</v>
      </c>
      <c r="D459" t="s">
        <v>21</v>
      </c>
      <c r="E459"/>
      <c r="F459" s="9" t="s">
        <v>2325</v>
      </c>
      <c r="G459" t="s">
        <v>2326</v>
      </c>
      <c r="H459" t="s">
        <v>2327</v>
      </c>
      <c r="I459" t="s">
        <v>37</v>
      </c>
      <c r="J459" t="s">
        <v>2328</v>
      </c>
      <c r="K459" t="s">
        <v>2079</v>
      </c>
      <c r="L459" t="s">
        <v>2329</v>
      </c>
      <c r="M459" t="s">
        <v>27</v>
      </c>
      <c r="N459" t="s">
        <v>2330</v>
      </c>
      <c r="O459" t="s">
        <v>2082</v>
      </c>
      <c r="P459" t="s">
        <v>2083</v>
      </c>
      <c r="Q459">
        <f t="shared" si="14"/>
        <v>27</v>
      </c>
      <c r="R459">
        <f t="shared" si="15"/>
        <v>27</v>
      </c>
      <c r="S459" s="20" t="s">
        <v>2977</v>
      </c>
    </row>
    <row r="460" spans="1:19" hidden="1" x14ac:dyDescent="0.25">
      <c r="A460" s="3">
        <v>458</v>
      </c>
      <c r="B460" s="11" t="s">
        <v>2975</v>
      </c>
      <c r="C460" t="s">
        <v>2331</v>
      </c>
      <c r="D460" t="s">
        <v>21</v>
      </c>
      <c r="E460"/>
      <c r="F460" s="9" t="s">
        <v>2332</v>
      </c>
      <c r="G460" t="s">
        <v>908</v>
      </c>
      <c r="H460" t="s">
        <v>2333</v>
      </c>
      <c r="I460" t="s">
        <v>32</v>
      </c>
      <c r="J460" t="s">
        <v>2334</v>
      </c>
      <c r="K460" t="s">
        <v>2079</v>
      </c>
      <c r="L460" t="s">
        <v>2335</v>
      </c>
      <c r="M460" t="s">
        <v>27</v>
      </c>
      <c r="N460" t="s">
        <v>2336</v>
      </c>
      <c r="O460" t="s">
        <v>2082</v>
      </c>
      <c r="P460" t="s">
        <v>2083</v>
      </c>
      <c r="Q460">
        <f t="shared" si="14"/>
        <v>28</v>
      </c>
      <c r="R460">
        <f t="shared" si="15"/>
        <v>24</v>
      </c>
      <c r="S460" s="20" t="s">
        <v>2977</v>
      </c>
    </row>
    <row r="461" spans="1:19" hidden="1" x14ac:dyDescent="0.25">
      <c r="A461" s="2">
        <v>459</v>
      </c>
      <c r="B461" s="11" t="s">
        <v>2975</v>
      </c>
      <c r="C461" t="s">
        <v>2337</v>
      </c>
      <c r="D461" t="s">
        <v>21</v>
      </c>
      <c r="E461"/>
      <c r="F461" s="9" t="s">
        <v>2338</v>
      </c>
      <c r="G461" t="s">
        <v>908</v>
      </c>
      <c r="H461" t="s">
        <v>2339</v>
      </c>
      <c r="I461" t="s">
        <v>32</v>
      </c>
      <c r="J461" t="s">
        <v>2340</v>
      </c>
      <c r="K461" t="s">
        <v>2079</v>
      </c>
      <c r="L461" t="s">
        <v>2341</v>
      </c>
      <c r="M461" t="s">
        <v>27</v>
      </c>
      <c r="N461" t="s">
        <v>2342</v>
      </c>
      <c r="O461" t="s">
        <v>2082</v>
      </c>
      <c r="P461" t="s">
        <v>2083</v>
      </c>
      <c r="Q461">
        <f t="shared" si="14"/>
        <v>31</v>
      </c>
      <c r="R461">
        <f t="shared" si="15"/>
        <v>31</v>
      </c>
      <c r="S461" s="20" t="s">
        <v>2977</v>
      </c>
    </row>
    <row r="462" spans="1:19" hidden="1" x14ac:dyDescent="0.25">
      <c r="A462" s="3">
        <v>460</v>
      </c>
      <c r="B462" s="11" t="s">
        <v>2975</v>
      </c>
      <c r="C462" t="s">
        <v>2343</v>
      </c>
      <c r="D462" t="s">
        <v>21</v>
      </c>
      <c r="E462"/>
      <c r="F462" s="9" t="s">
        <v>2344</v>
      </c>
      <c r="G462" t="s">
        <v>257</v>
      </c>
      <c r="H462" t="s">
        <v>2345</v>
      </c>
      <c r="I462" t="s">
        <v>32</v>
      </c>
      <c r="J462" t="s">
        <v>2346</v>
      </c>
      <c r="K462" t="s">
        <v>2079</v>
      </c>
      <c r="L462" t="s">
        <v>2347</v>
      </c>
      <c r="M462" t="s">
        <v>27</v>
      </c>
      <c r="N462" t="s">
        <v>2348</v>
      </c>
      <c r="O462" t="s">
        <v>2082</v>
      </c>
      <c r="P462" t="s">
        <v>2083</v>
      </c>
      <c r="Q462">
        <f t="shared" si="14"/>
        <v>24</v>
      </c>
      <c r="R462">
        <f t="shared" si="15"/>
        <v>24</v>
      </c>
      <c r="S462" s="20" t="s">
        <v>2977</v>
      </c>
    </row>
    <row r="463" spans="1:19" hidden="1" x14ac:dyDescent="0.25">
      <c r="A463" s="2">
        <v>461</v>
      </c>
      <c r="B463" s="11" t="s">
        <v>2975</v>
      </c>
      <c r="C463" t="s">
        <v>2349</v>
      </c>
      <c r="D463" t="s">
        <v>21</v>
      </c>
      <c r="E463"/>
      <c r="F463" s="9">
        <v>0</v>
      </c>
      <c r="G463" t="s">
        <v>2350</v>
      </c>
      <c r="H463" t="s">
        <v>37</v>
      </c>
      <c r="I463" t="s">
        <v>24</v>
      </c>
      <c r="J463" t="s">
        <v>2351</v>
      </c>
      <c r="K463" t="s">
        <v>2079</v>
      </c>
      <c r="L463" t="s">
        <v>2352</v>
      </c>
      <c r="M463" t="s">
        <v>27</v>
      </c>
      <c r="N463" t="s">
        <v>2353</v>
      </c>
      <c r="O463" t="s">
        <v>2082</v>
      </c>
      <c r="P463" t="s">
        <v>2083</v>
      </c>
      <c r="Q463">
        <f t="shared" si="14"/>
        <v>34</v>
      </c>
      <c r="R463">
        <f t="shared" si="15"/>
        <v>34</v>
      </c>
      <c r="S463" s="20" t="s">
        <v>2978</v>
      </c>
    </row>
    <row r="464" spans="1:19" hidden="1" x14ac:dyDescent="0.25">
      <c r="A464" s="3">
        <v>462</v>
      </c>
      <c r="B464" s="11" t="s">
        <v>2975</v>
      </c>
      <c r="C464" t="s">
        <v>2354</v>
      </c>
      <c r="D464" t="s">
        <v>21</v>
      </c>
      <c r="E464"/>
      <c r="F464" s="9" t="s">
        <v>2355</v>
      </c>
      <c r="G464" t="s">
        <v>257</v>
      </c>
      <c r="H464" t="s">
        <v>2356</v>
      </c>
      <c r="I464" t="s">
        <v>32</v>
      </c>
      <c r="J464" t="s">
        <v>2357</v>
      </c>
      <c r="K464" t="s">
        <v>2079</v>
      </c>
      <c r="L464" t="s">
        <v>2358</v>
      </c>
      <c r="M464" t="s">
        <v>27</v>
      </c>
      <c r="N464" t="s">
        <v>2359</v>
      </c>
      <c r="O464" t="s">
        <v>2082</v>
      </c>
      <c r="P464" t="s">
        <v>2083</v>
      </c>
      <c r="Q464">
        <f t="shared" si="14"/>
        <v>24</v>
      </c>
      <c r="R464">
        <f t="shared" si="15"/>
        <v>24</v>
      </c>
      <c r="S464" s="20" t="s">
        <v>2977</v>
      </c>
    </row>
    <row r="465" spans="1:19" hidden="1" x14ac:dyDescent="0.25">
      <c r="A465" s="2">
        <v>463</v>
      </c>
      <c r="B465" s="11" t="s">
        <v>2975</v>
      </c>
      <c r="C465" t="s">
        <v>2360</v>
      </c>
      <c r="D465" t="s">
        <v>21</v>
      </c>
      <c r="E465"/>
      <c r="F465" s="9" t="s">
        <v>2361</v>
      </c>
      <c r="G465" t="s">
        <v>257</v>
      </c>
      <c r="H465" t="s">
        <v>2362</v>
      </c>
      <c r="I465" t="s">
        <v>32</v>
      </c>
      <c r="J465" t="s">
        <v>2363</v>
      </c>
      <c r="K465" t="s">
        <v>2079</v>
      </c>
      <c r="L465" t="s">
        <v>2364</v>
      </c>
      <c r="M465" t="s">
        <v>27</v>
      </c>
      <c r="N465" t="s">
        <v>2365</v>
      </c>
      <c r="O465" t="s">
        <v>2082</v>
      </c>
      <c r="P465" t="s">
        <v>2083</v>
      </c>
      <c r="Q465">
        <f t="shared" si="14"/>
        <v>34</v>
      </c>
      <c r="R465">
        <f t="shared" si="15"/>
        <v>33</v>
      </c>
      <c r="S465" s="20" t="s">
        <v>2977</v>
      </c>
    </row>
    <row r="466" spans="1:19" hidden="1" x14ac:dyDescent="0.25">
      <c r="A466" s="3">
        <v>464</v>
      </c>
      <c r="B466" s="11" t="s">
        <v>2975</v>
      </c>
      <c r="C466" t="s">
        <v>2366</v>
      </c>
      <c r="D466" t="s">
        <v>21</v>
      </c>
      <c r="E466"/>
      <c r="F466" s="9" t="s">
        <v>2367</v>
      </c>
      <c r="G466" t="s">
        <v>932</v>
      </c>
      <c r="H466" t="s">
        <v>2368</v>
      </c>
      <c r="I466" t="s">
        <v>36</v>
      </c>
      <c r="J466" t="s">
        <v>2369</v>
      </c>
      <c r="K466" t="s">
        <v>2079</v>
      </c>
      <c r="L466" t="s">
        <v>2370</v>
      </c>
      <c r="M466" t="s">
        <v>27</v>
      </c>
      <c r="N466" t="s">
        <v>2099</v>
      </c>
      <c r="O466" t="s">
        <v>2082</v>
      </c>
      <c r="P466" t="s">
        <v>2083</v>
      </c>
      <c r="Q466">
        <f t="shared" si="14"/>
        <v>3</v>
      </c>
      <c r="R466">
        <f t="shared" si="15"/>
        <v>0</v>
      </c>
      <c r="S466" s="20" t="s">
        <v>2977</v>
      </c>
    </row>
    <row r="467" spans="1:19" hidden="1" x14ac:dyDescent="0.25">
      <c r="A467" s="2">
        <v>465</v>
      </c>
      <c r="B467" s="11" t="s">
        <v>2975</v>
      </c>
      <c r="C467" t="s">
        <v>2371</v>
      </c>
      <c r="D467" t="s">
        <v>21</v>
      </c>
      <c r="E467"/>
      <c r="F467" s="9">
        <v>0</v>
      </c>
      <c r="G467" t="s">
        <v>932</v>
      </c>
      <c r="H467" t="s">
        <v>2372</v>
      </c>
      <c r="I467" t="s">
        <v>37</v>
      </c>
      <c r="J467" t="s">
        <v>2373</v>
      </c>
      <c r="K467" t="s">
        <v>2079</v>
      </c>
      <c r="L467" t="s">
        <v>2374</v>
      </c>
      <c r="M467" t="s">
        <v>27</v>
      </c>
      <c r="N467" t="s">
        <v>2099</v>
      </c>
      <c r="O467" t="s">
        <v>2082</v>
      </c>
      <c r="P467" t="s">
        <v>2083</v>
      </c>
      <c r="Q467">
        <f t="shared" si="14"/>
        <v>2</v>
      </c>
      <c r="R467">
        <f t="shared" si="15"/>
        <v>0</v>
      </c>
      <c r="S467" s="20" t="s">
        <v>2978</v>
      </c>
    </row>
    <row r="468" spans="1:19" hidden="1" x14ac:dyDescent="0.25">
      <c r="A468" s="3">
        <v>466</v>
      </c>
      <c r="B468" s="11" t="s">
        <v>2975</v>
      </c>
      <c r="C468" t="s">
        <v>2375</v>
      </c>
      <c r="D468" t="s">
        <v>21</v>
      </c>
      <c r="E468"/>
      <c r="F468" s="9" t="s">
        <v>2376</v>
      </c>
      <c r="G468" t="s">
        <v>932</v>
      </c>
      <c r="H468" t="s">
        <v>2377</v>
      </c>
      <c r="I468" t="s">
        <v>24</v>
      </c>
      <c r="J468" t="s">
        <v>2378</v>
      </c>
      <c r="K468" t="s">
        <v>2079</v>
      </c>
      <c r="L468" t="s">
        <v>2379</v>
      </c>
      <c r="M468" t="s">
        <v>27</v>
      </c>
      <c r="N468" t="s">
        <v>2380</v>
      </c>
      <c r="O468" t="s">
        <v>2082</v>
      </c>
      <c r="P468" t="s">
        <v>2083</v>
      </c>
      <c r="Q468">
        <f t="shared" si="14"/>
        <v>30</v>
      </c>
      <c r="R468">
        <f t="shared" si="15"/>
        <v>30</v>
      </c>
      <c r="S468" s="20" t="s">
        <v>2977</v>
      </c>
    </row>
    <row r="469" spans="1:19" hidden="1" x14ac:dyDescent="0.25">
      <c r="A469" s="2">
        <v>467</v>
      </c>
      <c r="B469" s="11" t="s">
        <v>2975</v>
      </c>
      <c r="C469" t="s">
        <v>2381</v>
      </c>
      <c r="D469" t="s">
        <v>21</v>
      </c>
      <c r="E469"/>
      <c r="F469" s="9" t="s">
        <v>2382</v>
      </c>
      <c r="G469" t="s">
        <v>932</v>
      </c>
      <c r="H469" t="s">
        <v>2383</v>
      </c>
      <c r="I469" t="s">
        <v>32</v>
      </c>
      <c r="J469" t="s">
        <v>2384</v>
      </c>
      <c r="K469" t="s">
        <v>2079</v>
      </c>
      <c r="L469" t="s">
        <v>2385</v>
      </c>
      <c r="M469" t="s">
        <v>27</v>
      </c>
      <c r="N469" t="s">
        <v>2099</v>
      </c>
      <c r="O469" t="s">
        <v>2082</v>
      </c>
      <c r="P469" t="s">
        <v>2083</v>
      </c>
      <c r="Q469">
        <f t="shared" si="14"/>
        <v>9</v>
      </c>
      <c r="R469">
        <f t="shared" si="15"/>
        <v>0</v>
      </c>
      <c r="S469" s="20" t="s">
        <v>2980</v>
      </c>
    </row>
    <row r="470" spans="1:19" hidden="1" x14ac:dyDescent="0.25">
      <c r="A470" s="3">
        <v>468</v>
      </c>
      <c r="B470" s="11" t="s">
        <v>2975</v>
      </c>
      <c r="C470" t="s">
        <v>2386</v>
      </c>
      <c r="D470" t="s">
        <v>21</v>
      </c>
      <c r="E470"/>
      <c r="F470" s="9" t="s">
        <v>2387</v>
      </c>
      <c r="G470" t="s">
        <v>932</v>
      </c>
      <c r="H470" t="s">
        <v>2388</v>
      </c>
      <c r="I470" t="s">
        <v>24</v>
      </c>
      <c r="J470" t="s">
        <v>2389</v>
      </c>
      <c r="K470" t="s">
        <v>2079</v>
      </c>
      <c r="L470" t="s">
        <v>2390</v>
      </c>
      <c r="M470" t="s">
        <v>27</v>
      </c>
      <c r="N470" t="s">
        <v>2391</v>
      </c>
      <c r="O470" t="s">
        <v>2082</v>
      </c>
      <c r="P470" t="s">
        <v>2083</v>
      </c>
      <c r="Q470">
        <f t="shared" si="14"/>
        <v>16</v>
      </c>
      <c r="R470">
        <f t="shared" si="15"/>
        <v>16</v>
      </c>
      <c r="S470" s="20" t="s">
        <v>2977</v>
      </c>
    </row>
    <row r="471" spans="1:19" hidden="1" x14ac:dyDescent="0.25">
      <c r="A471" s="2">
        <v>469</v>
      </c>
      <c r="B471" s="11" t="s">
        <v>2975</v>
      </c>
      <c r="C471" t="s">
        <v>2392</v>
      </c>
      <c r="D471" t="s">
        <v>21</v>
      </c>
      <c r="E471"/>
      <c r="F471" s="9">
        <v>0</v>
      </c>
      <c r="G471" t="s">
        <v>2393</v>
      </c>
      <c r="H471" t="s">
        <v>1791</v>
      </c>
      <c r="I471" t="s">
        <v>36</v>
      </c>
      <c r="J471" t="s">
        <v>2394</v>
      </c>
      <c r="K471" t="s">
        <v>2079</v>
      </c>
      <c r="L471" t="s">
        <v>2395</v>
      </c>
      <c r="M471" t="s">
        <v>27</v>
      </c>
      <c r="N471" t="s">
        <v>2396</v>
      </c>
      <c r="O471" t="s">
        <v>2082</v>
      </c>
      <c r="P471" t="s">
        <v>2083</v>
      </c>
      <c r="Q471">
        <f t="shared" si="14"/>
        <v>31</v>
      </c>
      <c r="R471">
        <f t="shared" si="15"/>
        <v>31</v>
      </c>
      <c r="S471" s="20" t="s">
        <v>2978</v>
      </c>
    </row>
    <row r="472" spans="1:19" hidden="1" x14ac:dyDescent="0.25">
      <c r="A472" s="3">
        <v>470</v>
      </c>
      <c r="B472" s="11" t="s">
        <v>2975</v>
      </c>
      <c r="C472" t="s">
        <v>2397</v>
      </c>
      <c r="D472" t="s">
        <v>21</v>
      </c>
      <c r="E472"/>
      <c r="F472" s="9">
        <v>0</v>
      </c>
      <c r="G472" t="s">
        <v>2393</v>
      </c>
      <c r="H472" t="s">
        <v>1791</v>
      </c>
      <c r="I472" t="s">
        <v>37</v>
      </c>
      <c r="J472" t="s">
        <v>2398</v>
      </c>
      <c r="K472" t="s">
        <v>2079</v>
      </c>
      <c r="L472" t="s">
        <v>2395</v>
      </c>
      <c r="M472" t="s">
        <v>27</v>
      </c>
      <c r="N472" t="s">
        <v>2396</v>
      </c>
      <c r="O472" t="s">
        <v>2082</v>
      </c>
      <c r="P472" t="s">
        <v>2083</v>
      </c>
      <c r="Q472">
        <f t="shared" si="14"/>
        <v>31</v>
      </c>
      <c r="R472">
        <f t="shared" si="15"/>
        <v>31</v>
      </c>
      <c r="S472" s="20" t="s">
        <v>2978</v>
      </c>
    </row>
    <row r="473" spans="1:19" s="15" customFormat="1" hidden="1" x14ac:dyDescent="0.25">
      <c r="A473" s="10">
        <v>471</v>
      </c>
      <c r="B473" s="11" t="s">
        <v>2975</v>
      </c>
      <c r="C473" s="12" t="s">
        <v>2399</v>
      </c>
      <c r="D473" s="12" t="s">
        <v>21</v>
      </c>
      <c r="E473" s="12"/>
      <c r="F473" s="13" t="s">
        <v>2400</v>
      </c>
      <c r="G473" s="14">
        <v>20011531</v>
      </c>
      <c r="H473" s="12" t="s">
        <v>213</v>
      </c>
      <c r="I473" s="12" t="s">
        <v>32</v>
      </c>
      <c r="J473" s="12" t="s">
        <v>2401</v>
      </c>
      <c r="K473" s="12" t="s">
        <v>2079</v>
      </c>
      <c r="L473" s="12" t="s">
        <v>2402</v>
      </c>
      <c r="M473" s="12" t="s">
        <v>27</v>
      </c>
      <c r="N473" s="12" t="s">
        <v>2403</v>
      </c>
      <c r="O473" s="12" t="s">
        <v>2082</v>
      </c>
      <c r="P473" s="12" t="s">
        <v>2083</v>
      </c>
      <c r="Q473" s="12">
        <f t="shared" si="14"/>
        <v>38</v>
      </c>
      <c r="R473" s="12">
        <f t="shared" si="15"/>
        <v>38</v>
      </c>
      <c r="S473" s="21" t="s">
        <v>2977</v>
      </c>
    </row>
    <row r="474" spans="1:19" hidden="1" x14ac:dyDescent="0.25">
      <c r="A474" s="3">
        <v>472</v>
      </c>
      <c r="B474" s="11" t="s">
        <v>2975</v>
      </c>
      <c r="C474" t="s">
        <v>2404</v>
      </c>
      <c r="D474" t="s">
        <v>21</v>
      </c>
      <c r="E474"/>
      <c r="F474" s="9" t="s">
        <v>2405</v>
      </c>
      <c r="G474" t="s">
        <v>1537</v>
      </c>
      <c r="H474" t="s">
        <v>2248</v>
      </c>
      <c r="I474" t="s">
        <v>36</v>
      </c>
      <c r="J474" t="s">
        <v>2406</v>
      </c>
      <c r="K474" t="s">
        <v>2079</v>
      </c>
      <c r="L474" t="s">
        <v>2407</v>
      </c>
      <c r="M474" t="s">
        <v>27</v>
      </c>
      <c r="N474" t="s">
        <v>2408</v>
      </c>
      <c r="O474" t="s">
        <v>2082</v>
      </c>
      <c r="P474" t="s">
        <v>2083</v>
      </c>
      <c r="Q474">
        <f t="shared" si="14"/>
        <v>41</v>
      </c>
      <c r="R474">
        <f t="shared" si="15"/>
        <v>41</v>
      </c>
      <c r="S474" s="20" t="s">
        <v>2977</v>
      </c>
    </row>
    <row r="475" spans="1:19" hidden="1" x14ac:dyDescent="0.25">
      <c r="A475" s="2">
        <v>473</v>
      </c>
      <c r="B475" s="11" t="s">
        <v>2975</v>
      </c>
      <c r="C475" t="s">
        <v>2409</v>
      </c>
      <c r="D475" t="s">
        <v>21</v>
      </c>
      <c r="E475"/>
      <c r="F475" s="9" t="s">
        <v>2405</v>
      </c>
      <c r="G475" t="s">
        <v>1537</v>
      </c>
      <c r="H475" t="s">
        <v>2248</v>
      </c>
      <c r="I475" t="s">
        <v>32</v>
      </c>
      <c r="J475" t="s">
        <v>2410</v>
      </c>
      <c r="K475" t="s">
        <v>2079</v>
      </c>
      <c r="L475" t="s">
        <v>2411</v>
      </c>
      <c r="M475" t="s">
        <v>27</v>
      </c>
      <c r="N475" t="s">
        <v>2099</v>
      </c>
      <c r="O475" t="s">
        <v>2082</v>
      </c>
      <c r="P475" t="s">
        <v>2083</v>
      </c>
      <c r="Q475">
        <f t="shared" si="14"/>
        <v>21</v>
      </c>
      <c r="R475">
        <f t="shared" si="15"/>
        <v>0</v>
      </c>
      <c r="S475" s="20" t="s">
        <v>2977</v>
      </c>
    </row>
    <row r="476" spans="1:19" hidden="1" x14ac:dyDescent="0.25">
      <c r="A476" s="3">
        <v>474</v>
      </c>
      <c r="B476" s="11" t="s">
        <v>2975</v>
      </c>
      <c r="C476" t="s">
        <v>2412</v>
      </c>
      <c r="D476" t="s">
        <v>21</v>
      </c>
      <c r="E476"/>
      <c r="F476" s="9" t="s">
        <v>2413</v>
      </c>
      <c r="G476" t="s">
        <v>2414</v>
      </c>
      <c r="H476" t="s">
        <v>113</v>
      </c>
      <c r="I476" t="s">
        <v>32</v>
      </c>
      <c r="J476" t="s">
        <v>2415</v>
      </c>
      <c r="K476" t="s">
        <v>2079</v>
      </c>
      <c r="L476" t="s">
        <v>2416</v>
      </c>
      <c r="M476" t="s">
        <v>27</v>
      </c>
      <c r="N476" t="s">
        <v>2417</v>
      </c>
      <c r="O476" t="s">
        <v>2082</v>
      </c>
      <c r="P476" t="s">
        <v>2083</v>
      </c>
      <c r="Q476">
        <f t="shared" si="14"/>
        <v>31</v>
      </c>
      <c r="R476">
        <f t="shared" si="15"/>
        <v>31</v>
      </c>
      <c r="S476" s="20" t="s">
        <v>2977</v>
      </c>
    </row>
    <row r="477" spans="1:19" hidden="1" x14ac:dyDescent="0.25">
      <c r="A477" s="2">
        <v>475</v>
      </c>
      <c r="B477" s="11" t="s">
        <v>2975</v>
      </c>
      <c r="C477" t="s">
        <v>2418</v>
      </c>
      <c r="D477" t="s">
        <v>21</v>
      </c>
      <c r="E477"/>
      <c r="F477" s="9" t="s">
        <v>2419</v>
      </c>
      <c r="G477" t="s">
        <v>2420</v>
      </c>
      <c r="H477" t="s">
        <v>1562</v>
      </c>
      <c r="I477" t="s">
        <v>24</v>
      </c>
      <c r="J477" t="s">
        <v>2421</v>
      </c>
      <c r="K477" t="s">
        <v>2079</v>
      </c>
      <c r="L477" t="s">
        <v>2422</v>
      </c>
      <c r="M477" t="s">
        <v>27</v>
      </c>
      <c r="N477" t="s">
        <v>2423</v>
      </c>
      <c r="O477" t="s">
        <v>2082</v>
      </c>
      <c r="P477" t="s">
        <v>2083</v>
      </c>
      <c r="Q477">
        <f t="shared" si="14"/>
        <v>26</v>
      </c>
      <c r="R477">
        <f t="shared" si="15"/>
        <v>26</v>
      </c>
      <c r="S477" s="20" t="s">
        <v>2977</v>
      </c>
    </row>
    <row r="478" spans="1:19" hidden="1" x14ac:dyDescent="0.25">
      <c r="A478" s="3">
        <v>476</v>
      </c>
      <c r="B478" s="11" t="s">
        <v>2975</v>
      </c>
      <c r="C478" t="s">
        <v>2424</v>
      </c>
      <c r="D478" t="s">
        <v>21</v>
      </c>
      <c r="E478"/>
      <c r="F478" s="9" t="s">
        <v>2425</v>
      </c>
      <c r="G478" t="s">
        <v>2426</v>
      </c>
      <c r="H478" t="s">
        <v>2427</v>
      </c>
      <c r="I478" t="s">
        <v>213</v>
      </c>
      <c r="J478" t="s">
        <v>2428</v>
      </c>
      <c r="K478" t="s">
        <v>2079</v>
      </c>
      <c r="L478" t="s">
        <v>2235</v>
      </c>
      <c r="M478" t="s">
        <v>27</v>
      </c>
      <c r="N478" t="s">
        <v>2099</v>
      </c>
      <c r="O478" t="s">
        <v>2082</v>
      </c>
      <c r="P478" t="s">
        <v>2083</v>
      </c>
      <c r="Q478">
        <f t="shared" si="14"/>
        <v>1</v>
      </c>
      <c r="R478">
        <f t="shared" si="15"/>
        <v>0</v>
      </c>
      <c r="S478" s="20" t="s">
        <v>2980</v>
      </c>
    </row>
    <row r="479" spans="1:19" hidden="1" x14ac:dyDescent="0.25">
      <c r="A479" s="2">
        <v>477</v>
      </c>
      <c r="B479" s="11" t="s">
        <v>2975</v>
      </c>
      <c r="C479" t="s">
        <v>2429</v>
      </c>
      <c r="D479" t="s">
        <v>21</v>
      </c>
      <c r="E479"/>
      <c r="F479" s="9" t="s">
        <v>2430</v>
      </c>
      <c r="G479" t="s">
        <v>2431</v>
      </c>
      <c r="H479" t="s">
        <v>2432</v>
      </c>
      <c r="I479" t="s">
        <v>36</v>
      </c>
      <c r="J479" t="s">
        <v>2433</v>
      </c>
      <c r="K479" t="s">
        <v>2079</v>
      </c>
      <c r="L479" t="s">
        <v>2434</v>
      </c>
      <c r="M479" t="s">
        <v>27</v>
      </c>
      <c r="N479" t="s">
        <v>2435</v>
      </c>
      <c r="O479" t="s">
        <v>2082</v>
      </c>
      <c r="P479" t="s">
        <v>2083</v>
      </c>
      <c r="Q479">
        <f t="shared" si="14"/>
        <v>30</v>
      </c>
      <c r="R479">
        <f t="shared" si="15"/>
        <v>30</v>
      </c>
      <c r="S479" s="20" t="s">
        <v>2980</v>
      </c>
    </row>
    <row r="480" spans="1:19" hidden="1" x14ac:dyDescent="0.25">
      <c r="A480" s="3">
        <v>478</v>
      </c>
      <c r="B480" s="11" t="s">
        <v>2975</v>
      </c>
      <c r="C480" t="s">
        <v>2436</v>
      </c>
      <c r="D480" t="s">
        <v>21</v>
      </c>
      <c r="E480"/>
      <c r="F480" s="9">
        <v>0</v>
      </c>
      <c r="G480" t="s">
        <v>1605</v>
      </c>
      <c r="H480" t="s">
        <v>670</v>
      </c>
      <c r="I480" t="s">
        <v>36</v>
      </c>
      <c r="J480" t="s">
        <v>2437</v>
      </c>
      <c r="K480" t="s">
        <v>2079</v>
      </c>
      <c r="L480" t="s">
        <v>2438</v>
      </c>
      <c r="M480" t="s">
        <v>27</v>
      </c>
      <c r="N480" t="s">
        <v>2439</v>
      </c>
      <c r="O480" t="s">
        <v>2082</v>
      </c>
      <c r="P480" t="s">
        <v>2083</v>
      </c>
      <c r="Q480">
        <f t="shared" si="14"/>
        <v>28</v>
      </c>
      <c r="R480">
        <f t="shared" si="15"/>
        <v>28</v>
      </c>
      <c r="S480" s="20" t="s">
        <v>2978</v>
      </c>
    </row>
    <row r="481" spans="1:19" hidden="1" x14ac:dyDescent="0.25">
      <c r="A481" s="2">
        <v>479</v>
      </c>
      <c r="B481" s="11" t="s">
        <v>2975</v>
      </c>
      <c r="C481" t="s">
        <v>2440</v>
      </c>
      <c r="D481" t="s">
        <v>21</v>
      </c>
      <c r="E481"/>
      <c r="F481" s="9" t="s">
        <v>2441</v>
      </c>
      <c r="G481" t="s">
        <v>1605</v>
      </c>
      <c r="H481" t="s">
        <v>670</v>
      </c>
      <c r="I481" t="s">
        <v>37</v>
      </c>
      <c r="J481" t="s">
        <v>2442</v>
      </c>
      <c r="K481" t="s">
        <v>2079</v>
      </c>
      <c r="L481" t="s">
        <v>2438</v>
      </c>
      <c r="M481" t="s">
        <v>27</v>
      </c>
      <c r="N481" t="s">
        <v>2439</v>
      </c>
      <c r="O481" t="s">
        <v>2082</v>
      </c>
      <c r="P481" t="s">
        <v>2083</v>
      </c>
      <c r="Q481">
        <f t="shared" si="14"/>
        <v>28</v>
      </c>
      <c r="R481">
        <f t="shared" si="15"/>
        <v>28</v>
      </c>
      <c r="S481" s="20" t="s">
        <v>2977</v>
      </c>
    </row>
    <row r="482" spans="1:19" hidden="1" x14ac:dyDescent="0.25">
      <c r="A482" s="3">
        <v>480</v>
      </c>
      <c r="B482" s="11" t="s">
        <v>2975</v>
      </c>
      <c r="C482" t="s">
        <v>2443</v>
      </c>
      <c r="D482" t="s">
        <v>21</v>
      </c>
      <c r="E482"/>
      <c r="F482" s="9" t="s">
        <v>2444</v>
      </c>
      <c r="G482" t="s">
        <v>1605</v>
      </c>
      <c r="H482" t="s">
        <v>670</v>
      </c>
      <c r="I482" t="s">
        <v>32</v>
      </c>
      <c r="J482" t="s">
        <v>2445</v>
      </c>
      <c r="K482" t="s">
        <v>2079</v>
      </c>
      <c r="L482" t="s">
        <v>2446</v>
      </c>
      <c r="M482" t="s">
        <v>27</v>
      </c>
      <c r="N482" t="s">
        <v>2447</v>
      </c>
      <c r="O482" t="s">
        <v>2082</v>
      </c>
      <c r="P482" t="s">
        <v>2083</v>
      </c>
      <c r="Q482">
        <f t="shared" ref="Q482:Q545" si="16">LEN(L482)</f>
        <v>35</v>
      </c>
      <c r="R482">
        <f t="shared" si="15"/>
        <v>35</v>
      </c>
      <c r="S482" s="20" t="s">
        <v>2977</v>
      </c>
    </row>
    <row r="483" spans="1:19" hidden="1" x14ac:dyDescent="0.25">
      <c r="A483" s="2">
        <v>481</v>
      </c>
      <c r="B483" s="11" t="s">
        <v>2975</v>
      </c>
      <c r="C483" t="s">
        <v>2448</v>
      </c>
      <c r="D483" t="s">
        <v>21</v>
      </c>
      <c r="E483"/>
      <c r="F483" s="9" t="s">
        <v>2449</v>
      </c>
      <c r="G483" t="s">
        <v>1605</v>
      </c>
      <c r="H483" t="s">
        <v>440</v>
      </c>
      <c r="I483" t="s">
        <v>32</v>
      </c>
      <c r="J483" t="s">
        <v>2450</v>
      </c>
      <c r="K483" t="s">
        <v>2079</v>
      </c>
      <c r="L483" t="s">
        <v>2451</v>
      </c>
      <c r="M483" t="s">
        <v>27</v>
      </c>
      <c r="N483" t="s">
        <v>2452</v>
      </c>
      <c r="O483" t="s">
        <v>2082</v>
      </c>
      <c r="P483" t="s">
        <v>2083</v>
      </c>
      <c r="Q483">
        <f t="shared" si="16"/>
        <v>36</v>
      </c>
      <c r="R483">
        <f t="shared" si="15"/>
        <v>36</v>
      </c>
      <c r="S483" s="20" t="s">
        <v>2977</v>
      </c>
    </row>
    <row r="484" spans="1:19" hidden="1" x14ac:dyDescent="0.25">
      <c r="A484" s="3">
        <v>482</v>
      </c>
      <c r="B484" s="11" t="s">
        <v>2975</v>
      </c>
      <c r="C484" t="s">
        <v>2453</v>
      </c>
      <c r="D484" t="s">
        <v>21</v>
      </c>
      <c r="E484"/>
      <c r="F484" s="9" t="s">
        <v>2454</v>
      </c>
      <c r="G484" t="s">
        <v>2455</v>
      </c>
      <c r="H484" t="s">
        <v>213</v>
      </c>
      <c r="I484" t="s">
        <v>24</v>
      </c>
      <c r="J484" t="s">
        <v>2456</v>
      </c>
      <c r="K484" t="s">
        <v>2079</v>
      </c>
      <c r="L484" t="s">
        <v>2457</v>
      </c>
      <c r="M484" t="s">
        <v>27</v>
      </c>
      <c r="N484" t="s">
        <v>2458</v>
      </c>
      <c r="O484" t="s">
        <v>2082</v>
      </c>
      <c r="P484" t="s">
        <v>2083</v>
      </c>
      <c r="Q484">
        <f t="shared" si="16"/>
        <v>31</v>
      </c>
      <c r="R484">
        <f t="shared" si="15"/>
        <v>31</v>
      </c>
      <c r="S484" s="20" t="s">
        <v>2980</v>
      </c>
    </row>
    <row r="485" spans="1:19" hidden="1" x14ac:dyDescent="0.25">
      <c r="A485" s="2">
        <v>483</v>
      </c>
      <c r="B485" s="11" t="s">
        <v>2975</v>
      </c>
      <c r="C485" t="s">
        <v>2459</v>
      </c>
      <c r="D485" t="s">
        <v>21</v>
      </c>
      <c r="E485"/>
      <c r="F485" s="9" t="s">
        <v>1678</v>
      </c>
      <c r="G485" t="s">
        <v>1663</v>
      </c>
      <c r="H485" t="s">
        <v>1664</v>
      </c>
      <c r="I485" t="s">
        <v>24</v>
      </c>
      <c r="J485" t="s">
        <v>1679</v>
      </c>
      <c r="K485" t="s">
        <v>2079</v>
      </c>
      <c r="L485" t="s">
        <v>2460</v>
      </c>
      <c r="M485" t="s">
        <v>27</v>
      </c>
      <c r="N485" t="s">
        <v>2461</v>
      </c>
      <c r="O485" t="s">
        <v>2082</v>
      </c>
      <c r="P485" t="s">
        <v>2083</v>
      </c>
      <c r="Q485">
        <f t="shared" si="16"/>
        <v>14</v>
      </c>
      <c r="R485">
        <f t="shared" si="15"/>
        <v>14</v>
      </c>
      <c r="S485" s="20" t="s">
        <v>2977</v>
      </c>
    </row>
    <row r="486" spans="1:19" hidden="1" x14ac:dyDescent="0.25">
      <c r="A486" s="3">
        <v>484</v>
      </c>
      <c r="B486" s="11" t="s">
        <v>2975</v>
      </c>
      <c r="C486" t="s">
        <v>2462</v>
      </c>
      <c r="D486" t="s">
        <v>21</v>
      </c>
      <c r="E486"/>
      <c r="F486" s="9" t="s">
        <v>2463</v>
      </c>
      <c r="G486" t="s">
        <v>1663</v>
      </c>
      <c r="H486" t="s">
        <v>2464</v>
      </c>
      <c r="I486" t="s">
        <v>32</v>
      </c>
      <c r="J486" t="s">
        <v>2465</v>
      </c>
      <c r="K486" t="s">
        <v>2079</v>
      </c>
      <c r="L486" t="s">
        <v>2466</v>
      </c>
      <c r="M486" t="s">
        <v>27</v>
      </c>
      <c r="N486" t="s">
        <v>2467</v>
      </c>
      <c r="O486" t="s">
        <v>2082</v>
      </c>
      <c r="P486" t="s">
        <v>2083</v>
      </c>
      <c r="Q486">
        <f t="shared" si="16"/>
        <v>24</v>
      </c>
      <c r="R486">
        <f t="shared" si="15"/>
        <v>24</v>
      </c>
      <c r="S486" s="20" t="s">
        <v>2977</v>
      </c>
    </row>
    <row r="487" spans="1:19" hidden="1" x14ac:dyDescent="0.25">
      <c r="A487" s="2">
        <v>485</v>
      </c>
      <c r="B487" s="11" t="s">
        <v>2975</v>
      </c>
      <c r="C487" t="s">
        <v>2468</v>
      </c>
      <c r="D487" t="s">
        <v>21</v>
      </c>
      <c r="E487"/>
      <c r="F487" s="9" t="s">
        <v>2469</v>
      </c>
      <c r="G487" t="s">
        <v>1685</v>
      </c>
      <c r="H487" t="s">
        <v>2470</v>
      </c>
      <c r="I487" t="s">
        <v>32</v>
      </c>
      <c r="J487" t="s">
        <v>2471</v>
      </c>
      <c r="K487" t="s">
        <v>2079</v>
      </c>
      <c r="L487" t="s">
        <v>2472</v>
      </c>
      <c r="M487" t="s">
        <v>27</v>
      </c>
      <c r="N487" t="s">
        <v>2473</v>
      </c>
      <c r="O487" t="s">
        <v>2082</v>
      </c>
      <c r="P487" t="s">
        <v>2083</v>
      </c>
      <c r="Q487">
        <f t="shared" si="16"/>
        <v>28</v>
      </c>
      <c r="R487">
        <f t="shared" si="15"/>
        <v>28</v>
      </c>
      <c r="S487" s="20" t="s">
        <v>2977</v>
      </c>
    </row>
    <row r="488" spans="1:19" hidden="1" x14ac:dyDescent="0.25">
      <c r="A488" s="3">
        <v>486</v>
      </c>
      <c r="B488" s="11" t="s">
        <v>2975</v>
      </c>
      <c r="C488" t="s">
        <v>2474</v>
      </c>
      <c r="D488" t="s">
        <v>21</v>
      </c>
      <c r="E488"/>
      <c r="F488" s="9">
        <v>0</v>
      </c>
      <c r="G488" t="s">
        <v>2475</v>
      </c>
      <c r="H488" t="s">
        <v>106</v>
      </c>
      <c r="I488" t="s">
        <v>37</v>
      </c>
      <c r="J488" t="s">
        <v>2476</v>
      </c>
      <c r="K488" t="s">
        <v>2079</v>
      </c>
      <c r="L488" t="s">
        <v>2477</v>
      </c>
      <c r="M488" t="s">
        <v>27</v>
      </c>
      <c r="N488" t="s">
        <v>2478</v>
      </c>
      <c r="O488" t="s">
        <v>2082</v>
      </c>
      <c r="P488" t="s">
        <v>2083</v>
      </c>
      <c r="Q488">
        <f t="shared" si="16"/>
        <v>33</v>
      </c>
      <c r="R488">
        <f t="shared" si="15"/>
        <v>33</v>
      </c>
      <c r="S488" s="20" t="s">
        <v>2978</v>
      </c>
    </row>
    <row r="489" spans="1:19" hidden="1" x14ac:dyDescent="0.25">
      <c r="A489" s="2">
        <v>487</v>
      </c>
      <c r="B489" s="11" t="s">
        <v>2975</v>
      </c>
      <c r="C489" t="s">
        <v>2479</v>
      </c>
      <c r="D489" t="s">
        <v>21</v>
      </c>
      <c r="E489"/>
      <c r="F489" s="9">
        <v>0</v>
      </c>
      <c r="G489" t="s">
        <v>2480</v>
      </c>
      <c r="H489" t="s">
        <v>37</v>
      </c>
      <c r="I489" t="s">
        <v>120</v>
      </c>
      <c r="J489" t="s">
        <v>2481</v>
      </c>
      <c r="K489" t="s">
        <v>2079</v>
      </c>
      <c r="L489" t="s">
        <v>2235</v>
      </c>
      <c r="M489" t="s">
        <v>27</v>
      </c>
      <c r="N489" t="s">
        <v>2099</v>
      </c>
      <c r="O489" t="s">
        <v>2082</v>
      </c>
      <c r="P489" t="s">
        <v>2083</v>
      </c>
      <c r="Q489">
        <f t="shared" si="16"/>
        <v>1</v>
      </c>
      <c r="R489">
        <f t="shared" si="15"/>
        <v>0</v>
      </c>
      <c r="S489" s="20" t="s">
        <v>2978</v>
      </c>
    </row>
    <row r="490" spans="1:19" hidden="1" x14ac:dyDescent="0.25">
      <c r="A490" s="3">
        <v>488</v>
      </c>
      <c r="B490" s="11" t="s">
        <v>2975</v>
      </c>
      <c r="C490" t="s">
        <v>2482</v>
      </c>
      <c r="D490" t="s">
        <v>21</v>
      </c>
      <c r="E490"/>
      <c r="F490" s="9" t="s">
        <v>2483</v>
      </c>
      <c r="G490" t="s">
        <v>2484</v>
      </c>
      <c r="H490" t="s">
        <v>1531</v>
      </c>
      <c r="I490" t="s">
        <v>32</v>
      </c>
      <c r="J490" t="s">
        <v>2485</v>
      </c>
      <c r="K490" t="s">
        <v>2079</v>
      </c>
      <c r="L490" t="s">
        <v>2486</v>
      </c>
      <c r="M490" t="s">
        <v>27</v>
      </c>
      <c r="N490" t="s">
        <v>2487</v>
      </c>
      <c r="O490" t="s">
        <v>2082</v>
      </c>
      <c r="P490" t="s">
        <v>2083</v>
      </c>
      <c r="Q490">
        <f t="shared" si="16"/>
        <v>32</v>
      </c>
      <c r="R490">
        <f t="shared" si="15"/>
        <v>32</v>
      </c>
      <c r="S490" s="20" t="s">
        <v>2977</v>
      </c>
    </row>
    <row r="491" spans="1:19" hidden="1" x14ac:dyDescent="0.25">
      <c r="A491" s="2">
        <v>489</v>
      </c>
      <c r="B491" s="11" t="s">
        <v>2975</v>
      </c>
      <c r="C491" t="s">
        <v>2488</v>
      </c>
      <c r="D491" t="s">
        <v>21</v>
      </c>
      <c r="E491"/>
      <c r="F491" s="9" t="s">
        <v>2489</v>
      </c>
      <c r="G491" t="s">
        <v>2490</v>
      </c>
      <c r="H491" t="s">
        <v>160</v>
      </c>
      <c r="I491" t="s">
        <v>32</v>
      </c>
      <c r="J491" t="s">
        <v>2491</v>
      </c>
      <c r="K491" t="s">
        <v>2079</v>
      </c>
      <c r="L491" t="s">
        <v>2235</v>
      </c>
      <c r="M491" t="s">
        <v>27</v>
      </c>
      <c r="N491" t="s">
        <v>2099</v>
      </c>
      <c r="O491" t="s">
        <v>2082</v>
      </c>
      <c r="P491" t="s">
        <v>2083</v>
      </c>
      <c r="Q491">
        <f t="shared" si="16"/>
        <v>1</v>
      </c>
      <c r="R491">
        <f t="shared" si="15"/>
        <v>0</v>
      </c>
      <c r="S491" s="20" t="s">
        <v>2977</v>
      </c>
    </row>
    <row r="492" spans="1:19" hidden="1" x14ac:dyDescent="0.25">
      <c r="A492" s="3">
        <v>490</v>
      </c>
      <c r="B492" s="11" t="s">
        <v>2975</v>
      </c>
      <c r="C492" t="s">
        <v>2492</v>
      </c>
      <c r="D492" t="s">
        <v>21</v>
      </c>
      <c r="E492"/>
      <c r="F492" s="9" t="s">
        <v>2493</v>
      </c>
      <c r="G492" t="s">
        <v>1748</v>
      </c>
      <c r="H492" t="s">
        <v>2494</v>
      </c>
      <c r="I492" t="s">
        <v>32</v>
      </c>
      <c r="J492" t="s">
        <v>2495</v>
      </c>
      <c r="K492" t="s">
        <v>2079</v>
      </c>
      <c r="L492" t="s">
        <v>2496</v>
      </c>
      <c r="M492" t="s">
        <v>27</v>
      </c>
      <c r="N492" t="s">
        <v>2497</v>
      </c>
      <c r="O492" t="s">
        <v>2082</v>
      </c>
      <c r="P492" t="s">
        <v>2083</v>
      </c>
      <c r="Q492">
        <f t="shared" si="16"/>
        <v>36</v>
      </c>
      <c r="R492">
        <f t="shared" si="15"/>
        <v>36</v>
      </c>
      <c r="S492" s="20" t="s">
        <v>2977</v>
      </c>
    </row>
    <row r="493" spans="1:19" hidden="1" x14ac:dyDescent="0.25">
      <c r="A493" s="2">
        <v>491</v>
      </c>
      <c r="B493" s="11" t="s">
        <v>2975</v>
      </c>
      <c r="C493" t="s">
        <v>2498</v>
      </c>
      <c r="D493" t="s">
        <v>21</v>
      </c>
      <c r="E493"/>
      <c r="F493" s="9" t="s">
        <v>2499</v>
      </c>
      <c r="G493" t="s">
        <v>2500</v>
      </c>
      <c r="H493" t="s">
        <v>120</v>
      </c>
      <c r="I493" t="s">
        <v>32</v>
      </c>
      <c r="J493" t="s">
        <v>2501</v>
      </c>
      <c r="K493" t="s">
        <v>2079</v>
      </c>
      <c r="L493" t="s">
        <v>2235</v>
      </c>
      <c r="M493" t="s">
        <v>27</v>
      </c>
      <c r="N493" t="s">
        <v>2099</v>
      </c>
      <c r="O493" t="s">
        <v>2082</v>
      </c>
      <c r="P493" t="s">
        <v>2083</v>
      </c>
      <c r="Q493">
        <f t="shared" si="16"/>
        <v>1</v>
      </c>
      <c r="R493">
        <f t="shared" si="15"/>
        <v>0</v>
      </c>
      <c r="S493" s="20" t="s">
        <v>2977</v>
      </c>
    </row>
    <row r="494" spans="1:19" hidden="1" x14ac:dyDescent="0.25">
      <c r="A494" s="3">
        <v>492</v>
      </c>
      <c r="B494" s="11" t="s">
        <v>2975</v>
      </c>
      <c r="C494" t="s">
        <v>2502</v>
      </c>
      <c r="D494" t="s">
        <v>21</v>
      </c>
      <c r="E494"/>
      <c r="F494" s="9" t="s">
        <v>2503</v>
      </c>
      <c r="G494" t="s">
        <v>2500</v>
      </c>
      <c r="H494" t="s">
        <v>213</v>
      </c>
      <c r="I494" t="s">
        <v>32</v>
      </c>
      <c r="J494" t="s">
        <v>2504</v>
      </c>
      <c r="K494" t="s">
        <v>2079</v>
      </c>
      <c r="L494" t="s">
        <v>2235</v>
      </c>
      <c r="M494" t="s">
        <v>27</v>
      </c>
      <c r="N494" t="s">
        <v>2099</v>
      </c>
      <c r="O494" t="s">
        <v>2082</v>
      </c>
      <c r="P494" t="s">
        <v>2083</v>
      </c>
      <c r="Q494">
        <f t="shared" si="16"/>
        <v>1</v>
      </c>
      <c r="R494">
        <f t="shared" si="15"/>
        <v>0</v>
      </c>
      <c r="S494" s="20" t="s">
        <v>2977</v>
      </c>
    </row>
    <row r="495" spans="1:19" hidden="1" x14ac:dyDescent="0.25">
      <c r="A495" s="2">
        <v>493</v>
      </c>
      <c r="B495" s="11" t="s">
        <v>2975</v>
      </c>
      <c r="C495" t="s">
        <v>2505</v>
      </c>
      <c r="D495" t="s">
        <v>21</v>
      </c>
      <c r="E495"/>
      <c r="F495" s="9" t="s">
        <v>2506</v>
      </c>
      <c r="G495" t="s">
        <v>2507</v>
      </c>
      <c r="H495" t="s">
        <v>1531</v>
      </c>
      <c r="I495" t="s">
        <v>24</v>
      </c>
      <c r="J495" t="s">
        <v>2508</v>
      </c>
      <c r="K495" t="s">
        <v>2079</v>
      </c>
      <c r="L495" t="s">
        <v>2509</v>
      </c>
      <c r="M495" t="s">
        <v>27</v>
      </c>
      <c r="N495" t="s">
        <v>2510</v>
      </c>
      <c r="O495" t="s">
        <v>2082</v>
      </c>
      <c r="P495" t="s">
        <v>2083</v>
      </c>
      <c r="Q495">
        <f t="shared" si="16"/>
        <v>33</v>
      </c>
      <c r="R495">
        <f t="shared" si="15"/>
        <v>33</v>
      </c>
      <c r="S495" s="20" t="s">
        <v>2977</v>
      </c>
    </row>
    <row r="496" spans="1:19" hidden="1" x14ac:dyDescent="0.25">
      <c r="A496" s="3">
        <v>494</v>
      </c>
      <c r="B496" s="11" t="s">
        <v>2975</v>
      </c>
      <c r="C496" t="s">
        <v>2511</v>
      </c>
      <c r="D496" t="s">
        <v>21</v>
      </c>
      <c r="E496"/>
      <c r="F496" s="9" t="s">
        <v>2512</v>
      </c>
      <c r="G496" t="s">
        <v>2507</v>
      </c>
      <c r="H496" t="s">
        <v>1531</v>
      </c>
      <c r="I496" t="s">
        <v>32</v>
      </c>
      <c r="J496" t="s">
        <v>2513</v>
      </c>
      <c r="K496" t="s">
        <v>2079</v>
      </c>
      <c r="L496" t="s">
        <v>2514</v>
      </c>
      <c r="M496" t="s">
        <v>27</v>
      </c>
      <c r="N496" t="s">
        <v>2515</v>
      </c>
      <c r="O496" t="s">
        <v>2082</v>
      </c>
      <c r="P496" t="s">
        <v>2083</v>
      </c>
      <c r="Q496">
        <f t="shared" si="16"/>
        <v>30</v>
      </c>
      <c r="R496">
        <f t="shared" si="15"/>
        <v>30</v>
      </c>
      <c r="S496" s="20" t="s">
        <v>2977</v>
      </c>
    </row>
    <row r="497" spans="1:19" hidden="1" x14ac:dyDescent="0.25">
      <c r="A497" s="2">
        <v>495</v>
      </c>
      <c r="B497" s="11" t="s">
        <v>2975</v>
      </c>
      <c r="C497" t="s">
        <v>2516</v>
      </c>
      <c r="D497" t="s">
        <v>21</v>
      </c>
      <c r="E497"/>
      <c r="F497" s="9" t="s">
        <v>2517</v>
      </c>
      <c r="G497" t="s">
        <v>2518</v>
      </c>
      <c r="H497" t="s">
        <v>120</v>
      </c>
      <c r="I497" t="s">
        <v>32</v>
      </c>
      <c r="J497" t="s">
        <v>2519</v>
      </c>
      <c r="K497" t="s">
        <v>2079</v>
      </c>
      <c r="L497" t="s">
        <v>2520</v>
      </c>
      <c r="M497" t="s">
        <v>27</v>
      </c>
      <c r="N497" t="s">
        <v>2099</v>
      </c>
      <c r="O497" t="s">
        <v>2082</v>
      </c>
      <c r="P497" t="s">
        <v>2083</v>
      </c>
      <c r="Q497">
        <f t="shared" si="16"/>
        <v>8</v>
      </c>
      <c r="R497">
        <f t="shared" si="15"/>
        <v>0</v>
      </c>
      <c r="S497" s="20" t="s">
        <v>2977</v>
      </c>
    </row>
    <row r="498" spans="1:19" hidden="1" x14ac:dyDescent="0.25">
      <c r="A498" s="3">
        <v>496</v>
      </c>
      <c r="B498" s="11" t="s">
        <v>2975</v>
      </c>
      <c r="C498" t="s">
        <v>2521</v>
      </c>
      <c r="D498" t="s">
        <v>21</v>
      </c>
      <c r="E498"/>
      <c r="F498" s="9" t="s">
        <v>2522</v>
      </c>
      <c r="G498" t="s">
        <v>2523</v>
      </c>
      <c r="H498" t="s">
        <v>24</v>
      </c>
      <c r="I498" t="s">
        <v>213</v>
      </c>
      <c r="J498" t="s">
        <v>2524</v>
      </c>
      <c r="K498" t="s">
        <v>2079</v>
      </c>
      <c r="L498" t="s">
        <v>2525</v>
      </c>
      <c r="M498" t="s">
        <v>27</v>
      </c>
      <c r="N498" t="s">
        <v>2526</v>
      </c>
      <c r="O498" t="s">
        <v>2082</v>
      </c>
      <c r="P498" t="s">
        <v>2083</v>
      </c>
      <c r="Q498">
        <f t="shared" si="16"/>
        <v>17</v>
      </c>
      <c r="R498">
        <f t="shared" si="15"/>
        <v>17</v>
      </c>
      <c r="S498" s="20" t="s">
        <v>2977</v>
      </c>
    </row>
    <row r="499" spans="1:19" hidden="1" x14ac:dyDescent="0.25">
      <c r="A499" s="2">
        <v>497</v>
      </c>
      <c r="B499" s="11" t="s">
        <v>2975</v>
      </c>
      <c r="C499" t="s">
        <v>2527</v>
      </c>
      <c r="D499" t="s">
        <v>21</v>
      </c>
      <c r="E499"/>
      <c r="F499" s="9" t="s">
        <v>2528</v>
      </c>
      <c r="G499" t="s">
        <v>2529</v>
      </c>
      <c r="H499" t="s">
        <v>24</v>
      </c>
      <c r="I499" t="s">
        <v>32</v>
      </c>
      <c r="J499" t="s">
        <v>2530</v>
      </c>
      <c r="K499" t="s">
        <v>2079</v>
      </c>
      <c r="L499" t="s">
        <v>2235</v>
      </c>
      <c r="M499" t="s">
        <v>27</v>
      </c>
      <c r="N499" t="s">
        <v>2099</v>
      </c>
      <c r="O499" t="s">
        <v>2082</v>
      </c>
      <c r="P499" t="s">
        <v>2083</v>
      </c>
      <c r="Q499">
        <f t="shared" si="16"/>
        <v>1</v>
      </c>
      <c r="R499">
        <f t="shared" si="15"/>
        <v>0</v>
      </c>
      <c r="S499" s="20" t="s">
        <v>2977</v>
      </c>
    </row>
    <row r="500" spans="1:19" hidden="1" x14ac:dyDescent="0.25">
      <c r="A500" s="3">
        <v>498</v>
      </c>
      <c r="B500" s="11" t="s">
        <v>2975</v>
      </c>
      <c r="C500" t="s">
        <v>2531</v>
      </c>
      <c r="D500" t="s">
        <v>21</v>
      </c>
      <c r="E500"/>
      <c r="F500" s="9" t="s">
        <v>2532</v>
      </c>
      <c r="G500" t="s">
        <v>1810</v>
      </c>
      <c r="H500" t="s">
        <v>482</v>
      </c>
      <c r="I500" t="s">
        <v>32</v>
      </c>
      <c r="J500" t="s">
        <v>2533</v>
      </c>
      <c r="K500" t="s">
        <v>2079</v>
      </c>
      <c r="L500" t="s">
        <v>2235</v>
      </c>
      <c r="M500" t="s">
        <v>27</v>
      </c>
      <c r="N500" t="s">
        <v>2099</v>
      </c>
      <c r="O500" t="s">
        <v>2082</v>
      </c>
      <c r="P500" t="s">
        <v>2083</v>
      </c>
      <c r="Q500">
        <f t="shared" si="16"/>
        <v>1</v>
      </c>
      <c r="R500">
        <f t="shared" si="15"/>
        <v>0</v>
      </c>
      <c r="S500" s="20" t="s">
        <v>2977</v>
      </c>
    </row>
    <row r="501" spans="1:19" hidden="1" x14ac:dyDescent="0.25">
      <c r="A501" s="2">
        <v>499</v>
      </c>
      <c r="B501" s="11" t="s">
        <v>2975</v>
      </c>
      <c r="C501" t="s">
        <v>2534</v>
      </c>
      <c r="D501" t="s">
        <v>21</v>
      </c>
      <c r="E501"/>
      <c r="F501" s="9" t="s">
        <v>2535</v>
      </c>
      <c r="G501" t="s">
        <v>1810</v>
      </c>
      <c r="H501" t="s">
        <v>440</v>
      </c>
      <c r="I501" t="s">
        <v>32</v>
      </c>
      <c r="J501" t="s">
        <v>2536</v>
      </c>
      <c r="K501" t="s">
        <v>2079</v>
      </c>
      <c r="L501" t="s">
        <v>2235</v>
      </c>
      <c r="M501" t="s">
        <v>27</v>
      </c>
      <c r="N501" t="s">
        <v>2099</v>
      </c>
      <c r="O501" t="s">
        <v>2082</v>
      </c>
      <c r="P501" t="s">
        <v>2083</v>
      </c>
      <c r="Q501">
        <f t="shared" si="16"/>
        <v>1</v>
      </c>
      <c r="R501">
        <f t="shared" si="15"/>
        <v>0</v>
      </c>
      <c r="S501" s="20" t="s">
        <v>2977</v>
      </c>
    </row>
    <row r="502" spans="1:19" hidden="1" x14ac:dyDescent="0.25">
      <c r="A502" s="3">
        <v>500</v>
      </c>
      <c r="B502" s="11" t="s">
        <v>2975</v>
      </c>
      <c r="C502" t="s">
        <v>2537</v>
      </c>
      <c r="D502" t="s">
        <v>21</v>
      </c>
      <c r="E502"/>
      <c r="F502" s="9" t="s">
        <v>2538</v>
      </c>
      <c r="G502" t="s">
        <v>2539</v>
      </c>
      <c r="H502" t="s">
        <v>192</v>
      </c>
      <c r="I502" t="s">
        <v>32</v>
      </c>
      <c r="J502" t="s">
        <v>2540</v>
      </c>
      <c r="K502" t="s">
        <v>2079</v>
      </c>
      <c r="L502" t="s">
        <v>2541</v>
      </c>
      <c r="M502" t="s">
        <v>27</v>
      </c>
      <c r="N502" t="s">
        <v>2542</v>
      </c>
      <c r="O502" t="s">
        <v>2082</v>
      </c>
      <c r="P502" t="s">
        <v>2083</v>
      </c>
      <c r="Q502">
        <f t="shared" si="16"/>
        <v>28</v>
      </c>
      <c r="R502">
        <f t="shared" si="15"/>
        <v>28</v>
      </c>
      <c r="S502" s="20" t="s">
        <v>2977</v>
      </c>
    </row>
    <row r="503" spans="1:19" hidden="1" x14ac:dyDescent="0.25">
      <c r="A503" s="2">
        <v>501</v>
      </c>
      <c r="B503" s="11" t="s">
        <v>2975</v>
      </c>
      <c r="C503" t="s">
        <v>2543</v>
      </c>
      <c r="D503" t="s">
        <v>21</v>
      </c>
      <c r="E503"/>
      <c r="F503" s="9">
        <v>0</v>
      </c>
      <c r="G503" t="s">
        <v>1826</v>
      </c>
      <c r="H503" t="s">
        <v>213</v>
      </c>
      <c r="I503" t="s">
        <v>24</v>
      </c>
      <c r="J503" t="s">
        <v>1834</v>
      </c>
      <c r="K503" t="s">
        <v>2079</v>
      </c>
      <c r="L503" t="s">
        <v>2544</v>
      </c>
      <c r="M503" t="s">
        <v>27</v>
      </c>
      <c r="N503" t="s">
        <v>2545</v>
      </c>
      <c r="O503" t="s">
        <v>2082</v>
      </c>
      <c r="P503" t="s">
        <v>2083</v>
      </c>
      <c r="Q503">
        <f t="shared" si="16"/>
        <v>27</v>
      </c>
      <c r="R503">
        <f t="shared" si="15"/>
        <v>26</v>
      </c>
      <c r="S503" s="20" t="s">
        <v>2978</v>
      </c>
    </row>
    <row r="504" spans="1:19" hidden="1" x14ac:dyDescent="0.25">
      <c r="A504" s="3">
        <v>502</v>
      </c>
      <c r="B504" s="11" t="s">
        <v>2975</v>
      </c>
      <c r="C504" t="s">
        <v>2546</v>
      </c>
      <c r="D504" t="s">
        <v>21</v>
      </c>
      <c r="E504"/>
      <c r="F504" s="9" t="s">
        <v>2547</v>
      </c>
      <c r="G504" t="s">
        <v>2548</v>
      </c>
      <c r="H504" t="s">
        <v>36</v>
      </c>
      <c r="I504" t="s">
        <v>37</v>
      </c>
      <c r="J504" t="s">
        <v>2549</v>
      </c>
      <c r="K504" t="s">
        <v>2079</v>
      </c>
      <c r="L504" t="s">
        <v>2547</v>
      </c>
      <c r="M504" t="s">
        <v>27</v>
      </c>
      <c r="N504" t="s">
        <v>2099</v>
      </c>
      <c r="O504" t="s">
        <v>2082</v>
      </c>
      <c r="P504" t="s">
        <v>2083</v>
      </c>
      <c r="Q504">
        <f t="shared" si="16"/>
        <v>11</v>
      </c>
      <c r="R504">
        <f t="shared" si="15"/>
        <v>0</v>
      </c>
      <c r="S504" s="20" t="s">
        <v>2977</v>
      </c>
    </row>
    <row r="505" spans="1:19" hidden="1" x14ac:dyDescent="0.25">
      <c r="A505" s="2">
        <v>503</v>
      </c>
      <c r="B505" s="11" t="s">
        <v>2975</v>
      </c>
      <c r="C505" t="s">
        <v>2550</v>
      </c>
      <c r="D505" t="s">
        <v>21</v>
      </c>
      <c r="E505"/>
      <c r="F505" s="9" t="s">
        <v>2547</v>
      </c>
      <c r="G505" t="s">
        <v>2548</v>
      </c>
      <c r="H505" t="s">
        <v>36</v>
      </c>
      <c r="I505" t="s">
        <v>24</v>
      </c>
      <c r="J505" t="s">
        <v>2551</v>
      </c>
      <c r="K505" t="s">
        <v>2079</v>
      </c>
      <c r="L505" t="s">
        <v>2547</v>
      </c>
      <c r="M505" t="s">
        <v>27</v>
      </c>
      <c r="N505" t="s">
        <v>2099</v>
      </c>
      <c r="O505" t="s">
        <v>2082</v>
      </c>
      <c r="P505" t="s">
        <v>2083</v>
      </c>
      <c r="Q505">
        <f t="shared" si="16"/>
        <v>11</v>
      </c>
      <c r="R505">
        <f t="shared" si="15"/>
        <v>0</v>
      </c>
      <c r="S505" s="20" t="s">
        <v>2977</v>
      </c>
    </row>
    <row r="506" spans="1:19" hidden="1" x14ac:dyDescent="0.25">
      <c r="A506" s="3">
        <v>504</v>
      </c>
      <c r="B506" s="11" t="s">
        <v>2975</v>
      </c>
      <c r="C506" t="s">
        <v>2552</v>
      </c>
      <c r="D506" t="s">
        <v>21</v>
      </c>
      <c r="E506"/>
      <c r="F506" s="9" t="s">
        <v>2553</v>
      </c>
      <c r="G506" t="s">
        <v>2554</v>
      </c>
      <c r="H506" t="s">
        <v>342</v>
      </c>
      <c r="I506" t="s">
        <v>32</v>
      </c>
      <c r="J506" t="s">
        <v>2555</v>
      </c>
      <c r="K506" t="s">
        <v>2079</v>
      </c>
      <c r="L506" t="s">
        <v>2556</v>
      </c>
      <c r="M506" t="s">
        <v>27</v>
      </c>
      <c r="N506" t="s">
        <v>2557</v>
      </c>
      <c r="O506" t="s">
        <v>2082</v>
      </c>
      <c r="P506" t="s">
        <v>2083</v>
      </c>
      <c r="Q506">
        <f t="shared" si="16"/>
        <v>42</v>
      </c>
      <c r="R506">
        <f t="shared" si="15"/>
        <v>42</v>
      </c>
      <c r="S506" s="20" t="s">
        <v>2977</v>
      </c>
    </row>
    <row r="507" spans="1:19" hidden="1" x14ac:dyDescent="0.25">
      <c r="A507" s="2">
        <v>505</v>
      </c>
      <c r="B507" s="11" t="s">
        <v>2975</v>
      </c>
      <c r="C507" t="s">
        <v>2558</v>
      </c>
      <c r="D507" t="s">
        <v>21</v>
      </c>
      <c r="E507"/>
      <c r="F507" s="9" t="s">
        <v>2559</v>
      </c>
      <c r="G507" t="s">
        <v>1852</v>
      </c>
      <c r="H507" t="s">
        <v>927</v>
      </c>
      <c r="I507" t="s">
        <v>24</v>
      </c>
      <c r="J507" t="s">
        <v>2560</v>
      </c>
      <c r="K507" t="s">
        <v>2079</v>
      </c>
      <c r="L507" t="s">
        <v>2561</v>
      </c>
      <c r="M507" t="s">
        <v>27</v>
      </c>
      <c r="N507" t="s">
        <v>2562</v>
      </c>
      <c r="O507" t="s">
        <v>2082</v>
      </c>
      <c r="P507" t="s">
        <v>2083</v>
      </c>
      <c r="Q507">
        <f t="shared" si="16"/>
        <v>13</v>
      </c>
      <c r="R507">
        <f t="shared" si="15"/>
        <v>13</v>
      </c>
      <c r="S507" s="20" t="s">
        <v>2977</v>
      </c>
    </row>
    <row r="508" spans="1:19" hidden="1" x14ac:dyDescent="0.25">
      <c r="A508" s="3">
        <v>506</v>
      </c>
      <c r="B508" s="11" t="s">
        <v>2975</v>
      </c>
      <c r="C508" t="s">
        <v>2563</v>
      </c>
      <c r="D508" t="s">
        <v>21</v>
      </c>
      <c r="E508"/>
      <c r="F508" s="9" t="s">
        <v>2564</v>
      </c>
      <c r="G508" t="s">
        <v>2565</v>
      </c>
      <c r="H508" t="s">
        <v>24</v>
      </c>
      <c r="I508" t="s">
        <v>32</v>
      </c>
      <c r="J508" t="s">
        <v>2566</v>
      </c>
      <c r="K508" t="s">
        <v>2079</v>
      </c>
      <c r="L508" t="s">
        <v>2567</v>
      </c>
      <c r="M508" t="s">
        <v>27</v>
      </c>
      <c r="N508" t="s">
        <v>2099</v>
      </c>
      <c r="O508" t="s">
        <v>2082</v>
      </c>
      <c r="P508" t="s">
        <v>2083</v>
      </c>
      <c r="Q508">
        <f t="shared" si="16"/>
        <v>9</v>
      </c>
      <c r="R508">
        <f t="shared" si="15"/>
        <v>0</v>
      </c>
      <c r="S508" s="20" t="s">
        <v>2977</v>
      </c>
    </row>
    <row r="509" spans="1:19" hidden="1" x14ac:dyDescent="0.25">
      <c r="A509" s="2">
        <v>507</v>
      </c>
      <c r="B509" s="11" t="s">
        <v>2975</v>
      </c>
      <c r="C509" t="s">
        <v>2568</v>
      </c>
      <c r="D509" t="s">
        <v>21</v>
      </c>
      <c r="E509"/>
      <c r="F509" s="9" t="s">
        <v>2569</v>
      </c>
      <c r="G509" t="s">
        <v>2570</v>
      </c>
      <c r="H509" t="s">
        <v>95</v>
      </c>
      <c r="I509" t="s">
        <v>32</v>
      </c>
      <c r="J509" t="s">
        <v>2571</v>
      </c>
      <c r="K509" t="s">
        <v>2079</v>
      </c>
      <c r="L509" t="s">
        <v>2572</v>
      </c>
      <c r="M509" t="s">
        <v>27</v>
      </c>
      <c r="N509" t="s">
        <v>2573</v>
      </c>
      <c r="O509" t="s">
        <v>2082</v>
      </c>
      <c r="P509" t="s">
        <v>2083</v>
      </c>
      <c r="Q509">
        <f t="shared" si="16"/>
        <v>24</v>
      </c>
      <c r="R509">
        <f t="shared" si="15"/>
        <v>24</v>
      </c>
      <c r="S509" s="20" t="s">
        <v>2977</v>
      </c>
    </row>
    <row r="510" spans="1:19" hidden="1" x14ac:dyDescent="0.25">
      <c r="A510" s="3">
        <v>508</v>
      </c>
      <c r="B510" s="11" t="s">
        <v>2975</v>
      </c>
      <c r="C510" t="s">
        <v>2574</v>
      </c>
      <c r="D510" t="s">
        <v>21</v>
      </c>
      <c r="E510"/>
      <c r="F510" s="9" t="s">
        <v>2575</v>
      </c>
      <c r="G510" t="s">
        <v>2576</v>
      </c>
      <c r="H510" t="s">
        <v>2577</v>
      </c>
      <c r="I510" t="s">
        <v>32</v>
      </c>
      <c r="J510" t="s">
        <v>2578</v>
      </c>
      <c r="K510" t="s">
        <v>2079</v>
      </c>
      <c r="L510" t="s">
        <v>2579</v>
      </c>
      <c r="M510" t="s">
        <v>27</v>
      </c>
      <c r="N510" t="s">
        <v>2580</v>
      </c>
      <c r="O510" t="s">
        <v>2082</v>
      </c>
      <c r="P510" t="s">
        <v>2083</v>
      </c>
      <c r="Q510">
        <f t="shared" si="16"/>
        <v>28</v>
      </c>
      <c r="R510">
        <f t="shared" si="15"/>
        <v>28</v>
      </c>
      <c r="S510" s="20" t="s">
        <v>2977</v>
      </c>
    </row>
    <row r="511" spans="1:19" hidden="1" x14ac:dyDescent="0.25">
      <c r="A511" s="2">
        <v>509</v>
      </c>
      <c r="B511" s="11" t="s">
        <v>2975</v>
      </c>
      <c r="C511" t="s">
        <v>2581</v>
      </c>
      <c r="D511" t="s">
        <v>21</v>
      </c>
      <c r="E511"/>
      <c r="F511" s="9" t="s">
        <v>2582</v>
      </c>
      <c r="G511" t="s">
        <v>2583</v>
      </c>
      <c r="H511" t="s">
        <v>32</v>
      </c>
      <c r="I511" t="s">
        <v>213</v>
      </c>
      <c r="J511" t="s">
        <v>2584</v>
      </c>
      <c r="K511" t="s">
        <v>2079</v>
      </c>
      <c r="L511" t="s">
        <v>2585</v>
      </c>
      <c r="M511" t="s">
        <v>27</v>
      </c>
      <c r="N511" t="s">
        <v>2586</v>
      </c>
      <c r="O511" t="s">
        <v>2082</v>
      </c>
      <c r="P511" t="s">
        <v>2083</v>
      </c>
      <c r="Q511">
        <f t="shared" si="16"/>
        <v>35</v>
      </c>
      <c r="R511">
        <f t="shared" si="15"/>
        <v>35</v>
      </c>
      <c r="S511" s="20" t="s">
        <v>2977</v>
      </c>
    </row>
    <row r="512" spans="1:19" hidden="1" x14ac:dyDescent="0.25">
      <c r="A512" s="3">
        <v>510</v>
      </c>
      <c r="B512" s="11" t="s">
        <v>2975</v>
      </c>
      <c r="C512" t="s">
        <v>2587</v>
      </c>
      <c r="D512" t="s">
        <v>21</v>
      </c>
      <c r="E512"/>
      <c r="F512" s="9" t="s">
        <v>2588</v>
      </c>
      <c r="G512" t="s">
        <v>1981</v>
      </c>
      <c r="H512" t="s">
        <v>2152</v>
      </c>
      <c r="I512" t="s">
        <v>32</v>
      </c>
      <c r="J512" t="s">
        <v>2589</v>
      </c>
      <c r="K512" t="s">
        <v>2079</v>
      </c>
      <c r="L512" t="s">
        <v>2374</v>
      </c>
      <c r="M512" t="s">
        <v>27</v>
      </c>
      <c r="N512" t="s">
        <v>2099</v>
      </c>
      <c r="O512" t="s">
        <v>2082</v>
      </c>
      <c r="P512" t="s">
        <v>2083</v>
      </c>
      <c r="Q512">
        <f t="shared" si="16"/>
        <v>2</v>
      </c>
      <c r="R512">
        <f t="shared" si="15"/>
        <v>0</v>
      </c>
      <c r="S512" s="20" t="s">
        <v>2977</v>
      </c>
    </row>
    <row r="513" spans="1:19" hidden="1" x14ac:dyDescent="0.25">
      <c r="A513" s="2">
        <v>511</v>
      </c>
      <c r="B513" s="11" t="s">
        <v>2975</v>
      </c>
      <c r="C513" t="s">
        <v>2590</v>
      </c>
      <c r="D513" t="s">
        <v>21</v>
      </c>
      <c r="E513"/>
      <c r="F513" s="9" t="s">
        <v>2591</v>
      </c>
      <c r="G513" t="s">
        <v>1981</v>
      </c>
      <c r="H513" t="s">
        <v>1888</v>
      </c>
      <c r="I513" t="s">
        <v>32</v>
      </c>
      <c r="J513" t="s">
        <v>2592</v>
      </c>
      <c r="K513" t="s">
        <v>2079</v>
      </c>
      <c r="L513" t="s">
        <v>2593</v>
      </c>
      <c r="M513" t="s">
        <v>27</v>
      </c>
      <c r="N513" t="s">
        <v>2099</v>
      </c>
      <c r="O513" t="s">
        <v>2082</v>
      </c>
      <c r="P513" t="s">
        <v>2083</v>
      </c>
      <c r="Q513">
        <f t="shared" si="16"/>
        <v>30</v>
      </c>
      <c r="R513">
        <f t="shared" si="15"/>
        <v>0</v>
      </c>
      <c r="S513" s="20" t="s">
        <v>2977</v>
      </c>
    </row>
    <row r="514" spans="1:19" hidden="1" x14ac:dyDescent="0.25">
      <c r="A514" s="3">
        <v>512</v>
      </c>
      <c r="B514" s="11" t="s">
        <v>2975</v>
      </c>
      <c r="C514" t="s">
        <v>2594</v>
      </c>
      <c r="D514" t="s">
        <v>21</v>
      </c>
      <c r="E514"/>
      <c r="F514" s="9">
        <v>0</v>
      </c>
      <c r="G514" t="s">
        <v>2595</v>
      </c>
      <c r="H514" t="s">
        <v>2596</v>
      </c>
      <c r="I514" t="s">
        <v>24</v>
      </c>
      <c r="J514" t="s">
        <v>2597</v>
      </c>
      <c r="K514" t="s">
        <v>2079</v>
      </c>
      <c r="L514" t="s">
        <v>2598</v>
      </c>
      <c r="M514" t="s">
        <v>27</v>
      </c>
      <c r="N514" t="s">
        <v>2599</v>
      </c>
      <c r="O514" t="s">
        <v>2082</v>
      </c>
      <c r="P514" t="s">
        <v>2083</v>
      </c>
      <c r="Q514">
        <f t="shared" si="16"/>
        <v>39</v>
      </c>
      <c r="R514">
        <f t="shared" si="15"/>
        <v>39</v>
      </c>
      <c r="S514" s="20" t="s">
        <v>2978</v>
      </c>
    </row>
    <row r="515" spans="1:19" hidden="1" x14ac:dyDescent="0.25">
      <c r="A515" s="2">
        <v>513</v>
      </c>
      <c r="B515" s="11" t="s">
        <v>2975</v>
      </c>
      <c r="C515" t="s">
        <v>2600</v>
      </c>
      <c r="D515" t="s">
        <v>21</v>
      </c>
      <c r="E515"/>
      <c r="F515" s="9" t="s">
        <v>2601</v>
      </c>
      <c r="G515" t="s">
        <v>2602</v>
      </c>
      <c r="H515" t="s">
        <v>783</v>
      </c>
      <c r="I515" t="s">
        <v>32</v>
      </c>
      <c r="J515" t="s">
        <v>2603</v>
      </c>
      <c r="K515" t="s">
        <v>2079</v>
      </c>
      <c r="L515" t="s">
        <v>2604</v>
      </c>
      <c r="M515" t="s">
        <v>27</v>
      </c>
      <c r="N515" t="s">
        <v>2605</v>
      </c>
      <c r="O515" t="s">
        <v>2082</v>
      </c>
      <c r="P515" t="s">
        <v>2083</v>
      </c>
      <c r="Q515">
        <f t="shared" si="16"/>
        <v>27</v>
      </c>
      <c r="R515">
        <f t="shared" ref="R515:R578" si="17">LEN(N515)</f>
        <v>27</v>
      </c>
      <c r="S515" s="20" t="s">
        <v>2977</v>
      </c>
    </row>
    <row r="516" spans="1:19" hidden="1" x14ac:dyDescent="0.25">
      <c r="A516" s="3">
        <v>514</v>
      </c>
      <c r="B516" s="11" t="s">
        <v>2975</v>
      </c>
      <c r="C516" t="s">
        <v>2606</v>
      </c>
      <c r="D516" t="s">
        <v>21</v>
      </c>
      <c r="E516"/>
      <c r="F516" s="9" t="s">
        <v>2007</v>
      </c>
      <c r="G516" t="s">
        <v>2008</v>
      </c>
      <c r="H516" t="s">
        <v>36</v>
      </c>
      <c r="I516" t="s">
        <v>36</v>
      </c>
      <c r="J516" t="s">
        <v>2009</v>
      </c>
      <c r="K516" t="s">
        <v>2079</v>
      </c>
      <c r="L516" t="s">
        <v>2607</v>
      </c>
      <c r="M516" t="s">
        <v>27</v>
      </c>
      <c r="N516" t="s">
        <v>2099</v>
      </c>
      <c r="O516" t="s">
        <v>2082</v>
      </c>
      <c r="P516" t="s">
        <v>2083</v>
      </c>
      <c r="Q516">
        <f t="shared" si="16"/>
        <v>11</v>
      </c>
      <c r="R516">
        <f t="shared" si="17"/>
        <v>0</v>
      </c>
      <c r="S516" s="20" t="s">
        <v>2977</v>
      </c>
    </row>
    <row r="517" spans="1:19" hidden="1" x14ac:dyDescent="0.25">
      <c r="A517" s="2">
        <v>515</v>
      </c>
      <c r="B517" s="11" t="s">
        <v>2975</v>
      </c>
      <c r="C517" t="s">
        <v>2608</v>
      </c>
      <c r="D517" t="s">
        <v>21</v>
      </c>
      <c r="E517"/>
      <c r="F517" s="9" t="s">
        <v>2609</v>
      </c>
      <c r="G517" t="s">
        <v>2014</v>
      </c>
      <c r="H517" t="s">
        <v>2610</v>
      </c>
      <c r="I517" t="s">
        <v>37</v>
      </c>
      <c r="J517" t="s">
        <v>2611</v>
      </c>
      <c r="K517" t="s">
        <v>2079</v>
      </c>
      <c r="L517" t="s">
        <v>2612</v>
      </c>
      <c r="M517" t="s">
        <v>27</v>
      </c>
      <c r="N517" t="s">
        <v>2613</v>
      </c>
      <c r="O517" t="s">
        <v>2082</v>
      </c>
      <c r="P517" t="s">
        <v>2083</v>
      </c>
      <c r="Q517">
        <f t="shared" si="16"/>
        <v>33</v>
      </c>
      <c r="R517">
        <f t="shared" si="17"/>
        <v>33</v>
      </c>
      <c r="S517" s="20" t="s">
        <v>2977</v>
      </c>
    </row>
    <row r="518" spans="1:19" hidden="1" x14ac:dyDescent="0.25">
      <c r="A518" s="3">
        <v>516</v>
      </c>
      <c r="B518" s="11" t="s">
        <v>2975</v>
      </c>
      <c r="C518" t="s">
        <v>2614</v>
      </c>
      <c r="D518" t="s">
        <v>21</v>
      </c>
      <c r="E518"/>
      <c r="F518" s="9" t="s">
        <v>2615</v>
      </c>
      <c r="G518" t="s">
        <v>2014</v>
      </c>
      <c r="H518" t="s">
        <v>2610</v>
      </c>
      <c r="I518" t="s">
        <v>32</v>
      </c>
      <c r="J518" t="s">
        <v>2616</v>
      </c>
      <c r="K518" t="s">
        <v>2079</v>
      </c>
      <c r="L518" t="s">
        <v>2617</v>
      </c>
      <c r="M518" t="s">
        <v>27</v>
      </c>
      <c r="N518" t="s">
        <v>2618</v>
      </c>
      <c r="O518" t="s">
        <v>2082</v>
      </c>
      <c r="P518" t="s">
        <v>2083</v>
      </c>
      <c r="Q518">
        <f t="shared" si="16"/>
        <v>29</v>
      </c>
      <c r="R518">
        <f t="shared" si="17"/>
        <v>29</v>
      </c>
      <c r="S518" s="20" t="s">
        <v>2977</v>
      </c>
    </row>
    <row r="519" spans="1:19" hidden="1" x14ac:dyDescent="0.25">
      <c r="A519" s="2">
        <v>517</v>
      </c>
      <c r="B519" s="11" t="s">
        <v>2975</v>
      </c>
      <c r="C519" t="s">
        <v>2619</v>
      </c>
      <c r="D519" t="s">
        <v>21</v>
      </c>
      <c r="E519"/>
      <c r="F519" s="9" t="s">
        <v>2620</v>
      </c>
      <c r="G519" t="s">
        <v>2045</v>
      </c>
      <c r="H519" t="s">
        <v>2621</v>
      </c>
      <c r="I519" t="s">
        <v>32</v>
      </c>
      <c r="J519" t="s">
        <v>2622</v>
      </c>
      <c r="K519" t="s">
        <v>2079</v>
      </c>
      <c r="L519" t="s">
        <v>2374</v>
      </c>
      <c r="M519" t="s">
        <v>27</v>
      </c>
      <c r="N519" t="s">
        <v>2099</v>
      </c>
      <c r="O519" t="s">
        <v>2082</v>
      </c>
      <c r="P519" t="s">
        <v>2083</v>
      </c>
      <c r="Q519">
        <f t="shared" si="16"/>
        <v>2</v>
      </c>
      <c r="R519">
        <f t="shared" si="17"/>
        <v>0</v>
      </c>
      <c r="S519" s="20" t="s">
        <v>2977</v>
      </c>
    </row>
    <row r="520" spans="1:19" hidden="1" x14ac:dyDescent="0.25">
      <c r="A520" s="3">
        <v>518</v>
      </c>
      <c r="B520" s="11" t="s">
        <v>2975</v>
      </c>
      <c r="C520" t="s">
        <v>2623</v>
      </c>
      <c r="D520" t="s">
        <v>21</v>
      </c>
      <c r="E520"/>
      <c r="F520" s="9" t="s">
        <v>2624</v>
      </c>
      <c r="G520" t="s">
        <v>2625</v>
      </c>
      <c r="H520" t="s">
        <v>24</v>
      </c>
      <c r="I520" t="s">
        <v>213</v>
      </c>
      <c r="J520" t="s">
        <v>2626</v>
      </c>
      <c r="K520" t="s">
        <v>2079</v>
      </c>
      <c r="L520" t="s">
        <v>2627</v>
      </c>
      <c r="M520" t="s">
        <v>27</v>
      </c>
      <c r="N520" t="s">
        <v>2628</v>
      </c>
      <c r="O520" t="s">
        <v>2082</v>
      </c>
      <c r="P520" t="s">
        <v>2083</v>
      </c>
      <c r="Q520">
        <f t="shared" si="16"/>
        <v>33</v>
      </c>
      <c r="R520">
        <f t="shared" si="17"/>
        <v>32</v>
      </c>
      <c r="S520" s="20" t="s">
        <v>2980</v>
      </c>
    </row>
    <row r="521" spans="1:19" hidden="1" x14ac:dyDescent="0.25">
      <c r="A521" s="2">
        <v>519</v>
      </c>
      <c r="B521" s="11" t="s">
        <v>2975</v>
      </c>
      <c r="C521" t="s">
        <v>2629</v>
      </c>
      <c r="D521" t="s">
        <v>21</v>
      </c>
      <c r="E521"/>
      <c r="F521" s="9" t="s">
        <v>2630</v>
      </c>
      <c r="G521" t="s">
        <v>2631</v>
      </c>
      <c r="H521" t="s">
        <v>160</v>
      </c>
      <c r="I521" t="s">
        <v>32</v>
      </c>
      <c r="J521" t="s">
        <v>2632</v>
      </c>
      <c r="K521" t="s">
        <v>2079</v>
      </c>
      <c r="L521" t="s">
        <v>2633</v>
      </c>
      <c r="M521" t="s">
        <v>27</v>
      </c>
      <c r="N521" t="s">
        <v>2099</v>
      </c>
      <c r="O521" t="s">
        <v>2082</v>
      </c>
      <c r="P521" t="s">
        <v>2083</v>
      </c>
      <c r="Q521">
        <f t="shared" si="16"/>
        <v>8</v>
      </c>
      <c r="R521">
        <f t="shared" si="17"/>
        <v>0</v>
      </c>
      <c r="S521" s="20" t="s">
        <v>2977</v>
      </c>
    </row>
    <row r="522" spans="1:19" hidden="1" x14ac:dyDescent="0.25">
      <c r="A522" s="3">
        <v>520</v>
      </c>
      <c r="B522" s="11" t="s">
        <v>2975</v>
      </c>
      <c r="C522" t="s">
        <v>2634</v>
      </c>
      <c r="D522" t="s">
        <v>21</v>
      </c>
      <c r="E522"/>
      <c r="F522" s="9" t="s">
        <v>2635</v>
      </c>
      <c r="G522" t="s">
        <v>2636</v>
      </c>
      <c r="H522" t="s">
        <v>2637</v>
      </c>
      <c r="I522" t="s">
        <v>37</v>
      </c>
      <c r="J522" t="s">
        <v>2638</v>
      </c>
      <c r="K522" t="s">
        <v>2079</v>
      </c>
      <c r="L522" t="s">
        <v>2639</v>
      </c>
      <c r="M522" t="s">
        <v>27</v>
      </c>
      <c r="N522" t="s">
        <v>2640</v>
      </c>
      <c r="O522" t="s">
        <v>2082</v>
      </c>
      <c r="P522" t="s">
        <v>2083</v>
      </c>
      <c r="Q522">
        <f t="shared" si="16"/>
        <v>31</v>
      </c>
      <c r="R522">
        <f t="shared" si="17"/>
        <v>30</v>
      </c>
      <c r="S522" s="20" t="s">
        <v>2980</v>
      </c>
    </row>
    <row r="523" spans="1:19" hidden="1" x14ac:dyDescent="0.25">
      <c r="A523" s="2">
        <v>521</v>
      </c>
      <c r="B523" s="11" t="s">
        <v>2975</v>
      </c>
      <c r="C523" t="s">
        <v>2641</v>
      </c>
      <c r="D523" t="s">
        <v>21</v>
      </c>
      <c r="E523"/>
      <c r="F523" s="9" t="s">
        <v>2642</v>
      </c>
      <c r="G523" t="s">
        <v>2636</v>
      </c>
      <c r="H523" t="s">
        <v>2637</v>
      </c>
      <c r="I523" t="s">
        <v>24</v>
      </c>
      <c r="J523" t="s">
        <v>2643</v>
      </c>
      <c r="K523" t="s">
        <v>2079</v>
      </c>
      <c r="L523" t="s">
        <v>2644</v>
      </c>
      <c r="M523" t="s">
        <v>27</v>
      </c>
      <c r="N523" t="s">
        <v>2645</v>
      </c>
      <c r="O523" t="s">
        <v>2082</v>
      </c>
      <c r="P523" t="s">
        <v>2083</v>
      </c>
      <c r="Q523">
        <f t="shared" si="16"/>
        <v>17</v>
      </c>
      <c r="R523">
        <f t="shared" si="17"/>
        <v>16</v>
      </c>
      <c r="S523" s="20" t="s">
        <v>2980</v>
      </c>
    </row>
    <row r="524" spans="1:19" hidden="1" x14ac:dyDescent="0.25">
      <c r="A524" s="3">
        <v>522</v>
      </c>
      <c r="B524" s="11" t="s">
        <v>2975</v>
      </c>
      <c r="C524" t="s">
        <v>2646</v>
      </c>
      <c r="D524" t="s">
        <v>21</v>
      </c>
      <c r="E524"/>
      <c r="F524" s="9" t="s">
        <v>2647</v>
      </c>
      <c r="G524" t="s">
        <v>2636</v>
      </c>
      <c r="H524" t="s">
        <v>2648</v>
      </c>
      <c r="I524" t="s">
        <v>32</v>
      </c>
      <c r="J524" t="s">
        <v>2649</v>
      </c>
      <c r="K524" t="s">
        <v>2079</v>
      </c>
      <c r="L524" t="s">
        <v>2650</v>
      </c>
      <c r="M524" t="s">
        <v>27</v>
      </c>
      <c r="N524" t="s">
        <v>2651</v>
      </c>
      <c r="O524" t="s">
        <v>2082</v>
      </c>
      <c r="P524" t="s">
        <v>2083</v>
      </c>
      <c r="Q524">
        <f t="shared" si="16"/>
        <v>25</v>
      </c>
      <c r="R524">
        <f t="shared" si="17"/>
        <v>24</v>
      </c>
      <c r="S524" s="20" t="s">
        <v>2977</v>
      </c>
    </row>
    <row r="525" spans="1:19" hidden="1" x14ac:dyDescent="0.25">
      <c r="A525" s="2">
        <v>523</v>
      </c>
      <c r="B525" s="11" t="s">
        <v>2975</v>
      </c>
      <c r="C525" t="s">
        <v>2652</v>
      </c>
      <c r="D525" t="s">
        <v>21</v>
      </c>
      <c r="E525"/>
      <c r="F525" s="9" t="s">
        <v>2653</v>
      </c>
      <c r="G525" t="s">
        <v>2636</v>
      </c>
      <c r="H525" t="s">
        <v>2654</v>
      </c>
      <c r="I525" t="s">
        <v>32</v>
      </c>
      <c r="J525" t="s">
        <v>2655</v>
      </c>
      <c r="K525" t="s">
        <v>2079</v>
      </c>
      <c r="L525" t="s">
        <v>2656</v>
      </c>
      <c r="M525" t="s">
        <v>27</v>
      </c>
      <c r="N525" t="s">
        <v>2657</v>
      </c>
      <c r="O525" t="s">
        <v>2082</v>
      </c>
      <c r="P525" t="s">
        <v>2083</v>
      </c>
      <c r="Q525">
        <f t="shared" si="16"/>
        <v>28</v>
      </c>
      <c r="R525">
        <f t="shared" si="17"/>
        <v>27</v>
      </c>
      <c r="S525" s="20" t="s">
        <v>2977</v>
      </c>
    </row>
    <row r="526" spans="1:19" hidden="1" x14ac:dyDescent="0.25">
      <c r="A526" s="3">
        <v>524</v>
      </c>
      <c r="B526" s="11" t="s">
        <v>2975</v>
      </c>
      <c r="C526" t="s">
        <v>2658</v>
      </c>
      <c r="D526" t="s">
        <v>21</v>
      </c>
      <c r="E526"/>
      <c r="F526" s="9" t="s">
        <v>2659</v>
      </c>
      <c r="G526" t="s">
        <v>2636</v>
      </c>
      <c r="H526" t="s">
        <v>2660</v>
      </c>
      <c r="I526" t="s">
        <v>32</v>
      </c>
      <c r="J526" t="s">
        <v>2661</v>
      </c>
      <c r="K526" t="s">
        <v>2079</v>
      </c>
      <c r="L526" t="s">
        <v>2662</v>
      </c>
      <c r="M526" t="s">
        <v>27</v>
      </c>
      <c r="N526" t="s">
        <v>2663</v>
      </c>
      <c r="O526" t="s">
        <v>2082</v>
      </c>
      <c r="P526" t="s">
        <v>2083</v>
      </c>
      <c r="Q526">
        <f t="shared" si="16"/>
        <v>25</v>
      </c>
      <c r="R526">
        <f t="shared" si="17"/>
        <v>24</v>
      </c>
      <c r="S526" s="20" t="s">
        <v>2980</v>
      </c>
    </row>
    <row r="527" spans="1:19" hidden="1" x14ac:dyDescent="0.25">
      <c r="A527" s="2">
        <v>525</v>
      </c>
      <c r="B527" s="11" t="s">
        <v>2975</v>
      </c>
      <c r="C527" t="s">
        <v>2664</v>
      </c>
      <c r="D527" t="s">
        <v>21</v>
      </c>
      <c r="E527"/>
      <c r="F527" s="9" t="s">
        <v>2665</v>
      </c>
      <c r="G527" t="s">
        <v>2636</v>
      </c>
      <c r="H527" t="s">
        <v>1900</v>
      </c>
      <c r="I527" t="s">
        <v>32</v>
      </c>
      <c r="J527" t="s">
        <v>2666</v>
      </c>
      <c r="K527" t="s">
        <v>2079</v>
      </c>
      <c r="L527" t="s">
        <v>2667</v>
      </c>
      <c r="M527" t="s">
        <v>27</v>
      </c>
      <c r="N527" t="s">
        <v>2668</v>
      </c>
      <c r="O527" t="s">
        <v>2082</v>
      </c>
      <c r="P527" t="s">
        <v>2083</v>
      </c>
      <c r="Q527">
        <f t="shared" si="16"/>
        <v>29</v>
      </c>
      <c r="R527">
        <f t="shared" si="17"/>
        <v>28</v>
      </c>
      <c r="S527" s="20" t="s">
        <v>2980</v>
      </c>
    </row>
    <row r="528" spans="1:19" hidden="1" x14ac:dyDescent="0.25">
      <c r="A528" s="3">
        <v>526</v>
      </c>
      <c r="B528" s="11" t="s">
        <v>2975</v>
      </c>
      <c r="C528" t="s">
        <v>2669</v>
      </c>
      <c r="D528" t="s">
        <v>21</v>
      </c>
      <c r="E528"/>
      <c r="F528" s="9" t="s">
        <v>2670</v>
      </c>
      <c r="G528" t="s">
        <v>2636</v>
      </c>
      <c r="H528" t="s">
        <v>2671</v>
      </c>
      <c r="I528" t="s">
        <v>32</v>
      </c>
      <c r="J528" t="s">
        <v>2672</v>
      </c>
      <c r="K528" t="s">
        <v>2079</v>
      </c>
      <c r="L528" t="s">
        <v>2673</v>
      </c>
      <c r="M528" t="s">
        <v>27</v>
      </c>
      <c r="N528" t="s">
        <v>2674</v>
      </c>
      <c r="O528" t="s">
        <v>2082</v>
      </c>
      <c r="P528" t="s">
        <v>2083</v>
      </c>
      <c r="Q528">
        <f t="shared" si="16"/>
        <v>37</v>
      </c>
      <c r="R528">
        <f t="shared" si="17"/>
        <v>36</v>
      </c>
      <c r="S528" s="20" t="s">
        <v>2977</v>
      </c>
    </row>
    <row r="529" spans="1:19" hidden="1" x14ac:dyDescent="0.25">
      <c r="A529" s="2">
        <v>527</v>
      </c>
      <c r="B529" s="11" t="s">
        <v>2975</v>
      </c>
      <c r="C529" t="s">
        <v>2675</v>
      </c>
      <c r="D529" t="s">
        <v>21</v>
      </c>
      <c r="E529"/>
      <c r="F529" s="9" t="s">
        <v>2676</v>
      </c>
      <c r="G529" t="s">
        <v>2636</v>
      </c>
      <c r="H529" t="s">
        <v>2677</v>
      </c>
      <c r="I529" t="s">
        <v>32</v>
      </c>
      <c r="J529" t="s">
        <v>2678</v>
      </c>
      <c r="K529" t="s">
        <v>2079</v>
      </c>
      <c r="L529" t="s">
        <v>2679</v>
      </c>
      <c r="M529" t="s">
        <v>27</v>
      </c>
      <c r="N529" t="s">
        <v>2680</v>
      </c>
      <c r="O529" t="s">
        <v>2082</v>
      </c>
      <c r="P529" t="s">
        <v>2083</v>
      </c>
      <c r="Q529">
        <f t="shared" si="16"/>
        <v>38</v>
      </c>
      <c r="R529">
        <f t="shared" si="17"/>
        <v>37</v>
      </c>
      <c r="S529" s="20" t="s">
        <v>2977</v>
      </c>
    </row>
    <row r="530" spans="1:19" hidden="1" x14ac:dyDescent="0.25">
      <c r="A530" s="3">
        <v>528</v>
      </c>
      <c r="B530" s="11" t="s">
        <v>2975</v>
      </c>
      <c r="C530" t="s">
        <v>2681</v>
      </c>
      <c r="D530" t="s">
        <v>21</v>
      </c>
      <c r="E530"/>
      <c r="F530" s="9" t="s">
        <v>2682</v>
      </c>
      <c r="G530" t="s">
        <v>2683</v>
      </c>
      <c r="H530" t="s">
        <v>2596</v>
      </c>
      <c r="I530" t="s">
        <v>36</v>
      </c>
      <c r="J530" t="s">
        <v>2684</v>
      </c>
      <c r="K530" t="s">
        <v>2079</v>
      </c>
      <c r="L530" t="s">
        <v>2685</v>
      </c>
      <c r="M530" t="s">
        <v>27</v>
      </c>
      <c r="N530" t="s">
        <v>2099</v>
      </c>
      <c r="O530" t="s">
        <v>2082</v>
      </c>
      <c r="P530" t="s">
        <v>2083</v>
      </c>
      <c r="Q530">
        <f t="shared" si="16"/>
        <v>1</v>
      </c>
      <c r="R530">
        <f t="shared" si="17"/>
        <v>0</v>
      </c>
      <c r="S530" s="20" t="s">
        <v>2977</v>
      </c>
    </row>
    <row r="531" spans="1:19" hidden="1" x14ac:dyDescent="0.25">
      <c r="A531" s="2">
        <v>529</v>
      </c>
      <c r="B531" s="11" t="s">
        <v>2975</v>
      </c>
      <c r="C531" t="s">
        <v>2686</v>
      </c>
      <c r="D531" t="s">
        <v>21</v>
      </c>
      <c r="E531"/>
      <c r="F531" s="9" t="s">
        <v>2687</v>
      </c>
      <c r="G531" t="s">
        <v>2688</v>
      </c>
      <c r="H531" t="s">
        <v>355</v>
      </c>
      <c r="I531" t="s">
        <v>24</v>
      </c>
      <c r="J531" t="s">
        <v>2689</v>
      </c>
      <c r="K531" t="s">
        <v>2079</v>
      </c>
      <c r="L531" t="s">
        <v>2690</v>
      </c>
      <c r="M531" t="s">
        <v>27</v>
      </c>
      <c r="N531" t="s">
        <v>2691</v>
      </c>
      <c r="O531" t="s">
        <v>2082</v>
      </c>
      <c r="P531" t="s">
        <v>2083</v>
      </c>
      <c r="Q531">
        <f t="shared" si="16"/>
        <v>25</v>
      </c>
      <c r="R531">
        <f t="shared" si="17"/>
        <v>24</v>
      </c>
      <c r="S531" s="20" t="s">
        <v>2977</v>
      </c>
    </row>
    <row r="532" spans="1:19" hidden="1" x14ac:dyDescent="0.25">
      <c r="A532" s="3">
        <v>530</v>
      </c>
      <c r="B532" s="11" t="s">
        <v>2975</v>
      </c>
      <c r="C532" t="s">
        <v>2692</v>
      </c>
      <c r="D532" t="s">
        <v>21</v>
      </c>
      <c r="E532"/>
      <c r="F532" s="9" t="s">
        <v>2693</v>
      </c>
      <c r="G532" t="s">
        <v>2694</v>
      </c>
      <c r="H532" t="s">
        <v>440</v>
      </c>
      <c r="I532" t="s">
        <v>36</v>
      </c>
      <c r="J532" t="s">
        <v>2695</v>
      </c>
      <c r="K532" t="s">
        <v>2079</v>
      </c>
      <c r="L532" t="s">
        <v>2696</v>
      </c>
      <c r="M532" t="s">
        <v>27</v>
      </c>
      <c r="N532" t="s">
        <v>2697</v>
      </c>
      <c r="O532" t="s">
        <v>2082</v>
      </c>
      <c r="P532" t="s">
        <v>2083</v>
      </c>
      <c r="Q532">
        <f t="shared" si="16"/>
        <v>23</v>
      </c>
      <c r="R532">
        <f t="shared" si="17"/>
        <v>23</v>
      </c>
      <c r="S532" s="20" t="s">
        <v>2977</v>
      </c>
    </row>
    <row r="533" spans="1:19" hidden="1" x14ac:dyDescent="0.25">
      <c r="A533" s="2">
        <v>531</v>
      </c>
      <c r="B533" s="11" t="s">
        <v>2975</v>
      </c>
      <c r="C533" t="s">
        <v>2698</v>
      </c>
      <c r="D533" t="s">
        <v>21</v>
      </c>
      <c r="E533"/>
      <c r="F533" s="9" t="s">
        <v>2699</v>
      </c>
      <c r="G533" t="s">
        <v>669</v>
      </c>
      <c r="H533" t="s">
        <v>1469</v>
      </c>
      <c r="I533" t="s">
        <v>32</v>
      </c>
      <c r="J533" t="s">
        <v>2700</v>
      </c>
      <c r="K533" t="s">
        <v>2079</v>
      </c>
      <c r="L533" t="s">
        <v>2701</v>
      </c>
      <c r="M533" t="s">
        <v>27</v>
      </c>
      <c r="N533" t="s">
        <v>2099</v>
      </c>
      <c r="O533" t="s">
        <v>2082</v>
      </c>
      <c r="P533" t="s">
        <v>2083</v>
      </c>
      <c r="Q533">
        <f t="shared" si="16"/>
        <v>9</v>
      </c>
      <c r="R533">
        <f t="shared" si="17"/>
        <v>0</v>
      </c>
      <c r="S533" s="20" t="s">
        <v>2977</v>
      </c>
    </row>
    <row r="534" spans="1:19" hidden="1" x14ac:dyDescent="0.25">
      <c r="A534" s="3">
        <v>532</v>
      </c>
      <c r="B534" s="11" t="s">
        <v>2975</v>
      </c>
      <c r="C534" t="s">
        <v>2702</v>
      </c>
      <c r="D534" t="s">
        <v>21</v>
      </c>
      <c r="E534"/>
      <c r="F534" s="9" t="s">
        <v>2703</v>
      </c>
      <c r="G534" t="s">
        <v>2694</v>
      </c>
      <c r="H534" t="s">
        <v>440</v>
      </c>
      <c r="I534" t="s">
        <v>37</v>
      </c>
      <c r="J534" t="s">
        <v>2704</v>
      </c>
      <c r="K534" t="s">
        <v>2079</v>
      </c>
      <c r="L534" t="s">
        <v>2696</v>
      </c>
      <c r="M534" t="s">
        <v>27</v>
      </c>
      <c r="N534" t="s">
        <v>2697</v>
      </c>
      <c r="O534" t="s">
        <v>2082</v>
      </c>
      <c r="P534" t="s">
        <v>2083</v>
      </c>
      <c r="Q534">
        <f t="shared" si="16"/>
        <v>23</v>
      </c>
      <c r="R534">
        <f t="shared" si="17"/>
        <v>23</v>
      </c>
      <c r="S534" s="20" t="s">
        <v>2977</v>
      </c>
    </row>
    <row r="535" spans="1:19" hidden="1" x14ac:dyDescent="0.25">
      <c r="A535" s="2">
        <v>533</v>
      </c>
      <c r="B535" s="11" t="s">
        <v>2975</v>
      </c>
      <c r="C535" t="s">
        <v>2705</v>
      </c>
      <c r="D535" t="s">
        <v>21</v>
      </c>
      <c r="E535"/>
      <c r="F535" s="9" t="s">
        <v>2706</v>
      </c>
      <c r="G535" t="s">
        <v>1289</v>
      </c>
      <c r="H535" t="s">
        <v>2707</v>
      </c>
      <c r="I535" t="s">
        <v>24</v>
      </c>
      <c r="J535" t="s">
        <v>2708</v>
      </c>
      <c r="K535" t="s">
        <v>2079</v>
      </c>
      <c r="L535" t="s">
        <v>2709</v>
      </c>
      <c r="M535" t="s">
        <v>27</v>
      </c>
      <c r="N535" t="s">
        <v>2710</v>
      </c>
      <c r="O535" t="s">
        <v>2082</v>
      </c>
      <c r="P535" t="s">
        <v>2083</v>
      </c>
      <c r="Q535">
        <f t="shared" si="16"/>
        <v>35</v>
      </c>
      <c r="R535">
        <f t="shared" si="17"/>
        <v>35</v>
      </c>
      <c r="S535" s="20" t="s">
        <v>2977</v>
      </c>
    </row>
    <row r="536" spans="1:19" hidden="1" x14ac:dyDescent="0.25">
      <c r="A536" s="3">
        <v>534</v>
      </c>
      <c r="B536" s="11" t="s">
        <v>2975</v>
      </c>
      <c r="C536" t="s">
        <v>2711</v>
      </c>
      <c r="D536" t="s">
        <v>21</v>
      </c>
      <c r="E536"/>
      <c r="F536" s="9" t="s">
        <v>2712</v>
      </c>
      <c r="G536" t="s">
        <v>1289</v>
      </c>
      <c r="H536" t="s">
        <v>524</v>
      </c>
      <c r="I536" t="s">
        <v>24</v>
      </c>
      <c r="J536" t="s">
        <v>2713</v>
      </c>
      <c r="K536" t="s">
        <v>2079</v>
      </c>
      <c r="L536" t="s">
        <v>2714</v>
      </c>
      <c r="M536" t="s">
        <v>27</v>
      </c>
      <c r="N536" t="s">
        <v>2715</v>
      </c>
      <c r="O536" t="s">
        <v>2082</v>
      </c>
      <c r="P536" t="s">
        <v>2083</v>
      </c>
      <c r="Q536">
        <f t="shared" si="16"/>
        <v>28</v>
      </c>
      <c r="R536">
        <f t="shared" si="17"/>
        <v>28</v>
      </c>
      <c r="S536" s="20" t="s">
        <v>2977</v>
      </c>
    </row>
    <row r="537" spans="1:19" hidden="1" x14ac:dyDescent="0.25">
      <c r="A537" s="2">
        <v>535</v>
      </c>
      <c r="B537" s="11" t="s">
        <v>2975</v>
      </c>
      <c r="C537" t="s">
        <v>2716</v>
      </c>
      <c r="D537" t="s">
        <v>21</v>
      </c>
      <c r="E537"/>
      <c r="F537" s="9" t="s">
        <v>2717</v>
      </c>
      <c r="G537" t="s">
        <v>718</v>
      </c>
      <c r="H537" t="s">
        <v>413</v>
      </c>
      <c r="I537" t="s">
        <v>32</v>
      </c>
      <c r="J537" t="s">
        <v>2718</v>
      </c>
      <c r="K537" t="s">
        <v>2079</v>
      </c>
      <c r="L537" t="s">
        <v>2235</v>
      </c>
      <c r="M537" t="s">
        <v>27</v>
      </c>
      <c r="N537" t="s">
        <v>2099</v>
      </c>
      <c r="O537" t="s">
        <v>2082</v>
      </c>
      <c r="P537" t="s">
        <v>2083</v>
      </c>
      <c r="Q537">
        <f t="shared" si="16"/>
        <v>1</v>
      </c>
      <c r="R537">
        <f t="shared" si="17"/>
        <v>0</v>
      </c>
      <c r="S537" s="20" t="s">
        <v>2980</v>
      </c>
    </row>
    <row r="538" spans="1:19" hidden="1" x14ac:dyDescent="0.25">
      <c r="A538" s="3">
        <v>536</v>
      </c>
      <c r="B538" s="11" t="s">
        <v>2975</v>
      </c>
      <c r="C538" t="s">
        <v>2719</v>
      </c>
      <c r="D538" t="s">
        <v>21</v>
      </c>
      <c r="E538"/>
      <c r="F538" s="9" t="s">
        <v>2720</v>
      </c>
      <c r="G538" t="s">
        <v>2721</v>
      </c>
      <c r="H538" t="s">
        <v>440</v>
      </c>
      <c r="I538" t="s">
        <v>24</v>
      </c>
      <c r="J538" t="s">
        <v>2722</v>
      </c>
      <c r="K538" t="s">
        <v>2079</v>
      </c>
      <c r="L538" t="s">
        <v>2723</v>
      </c>
      <c r="M538" t="s">
        <v>27</v>
      </c>
      <c r="N538" t="s">
        <v>2724</v>
      </c>
      <c r="O538" t="s">
        <v>2082</v>
      </c>
      <c r="P538" t="s">
        <v>2083</v>
      </c>
      <c r="Q538">
        <f t="shared" si="16"/>
        <v>18</v>
      </c>
      <c r="R538">
        <f t="shared" si="17"/>
        <v>18</v>
      </c>
      <c r="S538" s="20" t="s">
        <v>2977</v>
      </c>
    </row>
    <row r="539" spans="1:19" hidden="1" x14ac:dyDescent="0.25">
      <c r="A539" s="2">
        <v>537</v>
      </c>
      <c r="B539" s="11" t="s">
        <v>2975</v>
      </c>
      <c r="C539" t="s">
        <v>2725</v>
      </c>
      <c r="D539" t="s">
        <v>21</v>
      </c>
      <c r="E539"/>
      <c r="F539" s="9" t="s">
        <v>2726</v>
      </c>
      <c r="G539" t="s">
        <v>2727</v>
      </c>
      <c r="H539" t="s">
        <v>2728</v>
      </c>
      <c r="I539" t="s">
        <v>32</v>
      </c>
      <c r="J539" t="s">
        <v>2729</v>
      </c>
      <c r="K539" t="s">
        <v>2079</v>
      </c>
      <c r="L539" t="s">
        <v>2730</v>
      </c>
      <c r="M539" t="s">
        <v>27</v>
      </c>
      <c r="N539" t="s">
        <v>2731</v>
      </c>
      <c r="O539" t="s">
        <v>2082</v>
      </c>
      <c r="P539" t="s">
        <v>2083</v>
      </c>
      <c r="Q539">
        <f t="shared" si="16"/>
        <v>29</v>
      </c>
      <c r="R539">
        <f t="shared" si="17"/>
        <v>29</v>
      </c>
      <c r="S539" s="20" t="s">
        <v>2977</v>
      </c>
    </row>
    <row r="540" spans="1:19" hidden="1" x14ac:dyDescent="0.25">
      <c r="A540" s="3">
        <v>538</v>
      </c>
      <c r="B540" s="11" t="s">
        <v>2975</v>
      </c>
      <c r="C540" t="s">
        <v>2732</v>
      </c>
      <c r="D540" t="s">
        <v>21</v>
      </c>
      <c r="E540"/>
      <c r="F540" s="9" t="s">
        <v>2733</v>
      </c>
      <c r="G540" t="s">
        <v>1034</v>
      </c>
      <c r="H540" t="s">
        <v>2734</v>
      </c>
      <c r="I540" t="s">
        <v>32</v>
      </c>
      <c r="J540" t="s">
        <v>2735</v>
      </c>
      <c r="K540" t="s">
        <v>2079</v>
      </c>
      <c r="L540" t="s">
        <v>2235</v>
      </c>
      <c r="M540" t="s">
        <v>27</v>
      </c>
      <c r="N540" t="s">
        <v>2099</v>
      </c>
      <c r="O540" t="s">
        <v>2082</v>
      </c>
      <c r="P540" t="s">
        <v>2083</v>
      </c>
      <c r="Q540">
        <f t="shared" si="16"/>
        <v>1</v>
      </c>
      <c r="R540">
        <f t="shared" si="17"/>
        <v>0</v>
      </c>
      <c r="S540" s="20" t="s">
        <v>2977</v>
      </c>
    </row>
    <row r="541" spans="1:19" s="15" customFormat="1" hidden="1" x14ac:dyDescent="0.25">
      <c r="A541" s="10">
        <v>539</v>
      </c>
      <c r="B541" s="11" t="s">
        <v>2975</v>
      </c>
      <c r="C541" s="12" t="s">
        <v>2736</v>
      </c>
      <c r="D541" s="12" t="s">
        <v>21</v>
      </c>
      <c r="E541" s="12"/>
      <c r="F541" s="13" t="s">
        <v>2737</v>
      </c>
      <c r="G541" s="12" t="s">
        <v>2738</v>
      </c>
      <c r="H541" s="12" t="s">
        <v>90</v>
      </c>
      <c r="I541" s="12" t="s">
        <v>32</v>
      </c>
      <c r="J541" s="12" t="s">
        <v>2739</v>
      </c>
      <c r="K541" s="12" t="s">
        <v>2740</v>
      </c>
      <c r="L541" s="12" t="s">
        <v>2741</v>
      </c>
      <c r="M541" s="12" t="s">
        <v>27</v>
      </c>
      <c r="N541" s="12" t="str">
        <f>IF(Q541&lt;11,CONCATENATE(L541,0))</f>
        <v>20700207300</v>
      </c>
      <c r="O541" s="12" t="s">
        <v>2742</v>
      </c>
      <c r="P541" s="12" t="s">
        <v>2743</v>
      </c>
      <c r="Q541" s="12">
        <f t="shared" si="16"/>
        <v>10</v>
      </c>
      <c r="R541" s="12">
        <f t="shared" si="17"/>
        <v>11</v>
      </c>
      <c r="S541" s="21" t="s">
        <v>2977</v>
      </c>
    </row>
    <row r="542" spans="1:19" hidden="1" x14ac:dyDescent="0.25">
      <c r="A542" s="3">
        <v>540</v>
      </c>
      <c r="B542" s="11" t="s">
        <v>2975</v>
      </c>
      <c r="C542" t="s">
        <v>2744</v>
      </c>
      <c r="D542" t="s">
        <v>21</v>
      </c>
      <c r="E542"/>
      <c r="F542" s="9" t="s">
        <v>2745</v>
      </c>
      <c r="G542" t="s">
        <v>191</v>
      </c>
      <c r="H542" t="s">
        <v>229</v>
      </c>
      <c r="I542" t="s">
        <v>32</v>
      </c>
      <c r="J542" t="s">
        <v>2746</v>
      </c>
      <c r="K542" t="s">
        <v>2740</v>
      </c>
      <c r="L542" t="s">
        <v>2747</v>
      </c>
      <c r="M542" t="s">
        <v>27</v>
      </c>
      <c r="N542" t="str">
        <f t="shared" ref="N542:N592" si="18">IF(Q542&lt;11,CONCATENATE(L542,0))</f>
        <v>10206423520</v>
      </c>
      <c r="O542" t="s">
        <v>2742</v>
      </c>
      <c r="P542" t="s">
        <v>2743</v>
      </c>
      <c r="Q542">
        <f t="shared" si="16"/>
        <v>10</v>
      </c>
      <c r="R542">
        <f t="shared" si="17"/>
        <v>11</v>
      </c>
      <c r="S542" s="20" t="s">
        <v>2977</v>
      </c>
    </row>
    <row r="543" spans="1:19" hidden="1" x14ac:dyDescent="0.25">
      <c r="A543" s="2">
        <v>541</v>
      </c>
      <c r="B543" s="11" t="s">
        <v>2975</v>
      </c>
      <c r="C543" t="s">
        <v>2748</v>
      </c>
      <c r="D543" t="s">
        <v>21</v>
      </c>
      <c r="E543"/>
      <c r="F543" s="9" t="s">
        <v>2749</v>
      </c>
      <c r="G543" t="s">
        <v>2750</v>
      </c>
      <c r="H543" t="s">
        <v>36</v>
      </c>
      <c r="I543" t="s">
        <v>32</v>
      </c>
      <c r="J543" t="s">
        <v>2751</v>
      </c>
      <c r="K543" t="s">
        <v>2740</v>
      </c>
      <c r="L543" t="s">
        <v>2752</v>
      </c>
      <c r="M543" t="s">
        <v>27</v>
      </c>
      <c r="N543" t="str">
        <f t="shared" si="18"/>
        <v>63058118570</v>
      </c>
      <c r="O543" t="s">
        <v>2742</v>
      </c>
      <c r="P543" t="s">
        <v>2743</v>
      </c>
      <c r="Q543">
        <f t="shared" si="16"/>
        <v>10</v>
      </c>
      <c r="R543">
        <f t="shared" si="17"/>
        <v>11</v>
      </c>
      <c r="S543" s="20" t="s">
        <v>2977</v>
      </c>
    </row>
    <row r="544" spans="1:19" hidden="1" x14ac:dyDescent="0.25">
      <c r="A544" s="3">
        <v>542</v>
      </c>
      <c r="B544" s="11" t="s">
        <v>2975</v>
      </c>
      <c r="C544" t="s">
        <v>2753</v>
      </c>
      <c r="D544" t="s">
        <v>21</v>
      </c>
      <c r="E544"/>
      <c r="F544" s="9" t="s">
        <v>2754</v>
      </c>
      <c r="G544" t="s">
        <v>2755</v>
      </c>
      <c r="H544" t="s">
        <v>24</v>
      </c>
      <c r="I544" t="s">
        <v>37</v>
      </c>
      <c r="J544" t="s">
        <v>2756</v>
      </c>
      <c r="K544" t="s">
        <v>2740</v>
      </c>
      <c r="L544" t="s">
        <v>440</v>
      </c>
      <c r="M544" t="s">
        <v>27</v>
      </c>
      <c r="N544" t="str">
        <f>IF(Q544&lt;11,CONCATENATE(L544,"000000000"))</f>
        <v>11000000000</v>
      </c>
      <c r="O544" t="s">
        <v>2742</v>
      </c>
      <c r="P544" t="s">
        <v>2743</v>
      </c>
      <c r="Q544">
        <f t="shared" si="16"/>
        <v>2</v>
      </c>
      <c r="R544">
        <f t="shared" si="17"/>
        <v>11</v>
      </c>
      <c r="S544" s="20" t="s">
        <v>2977</v>
      </c>
    </row>
    <row r="545" spans="1:19" hidden="1" x14ac:dyDescent="0.25">
      <c r="A545" s="2">
        <v>543</v>
      </c>
      <c r="B545" s="11" t="s">
        <v>2975</v>
      </c>
      <c r="C545" t="s">
        <v>2757</v>
      </c>
      <c r="D545" t="s">
        <v>21</v>
      </c>
      <c r="E545"/>
      <c r="F545" s="9" t="s">
        <v>2758</v>
      </c>
      <c r="G545" t="s">
        <v>2759</v>
      </c>
      <c r="H545" t="s">
        <v>24</v>
      </c>
      <c r="I545" t="s">
        <v>32</v>
      </c>
      <c r="J545" t="s">
        <v>2760</v>
      </c>
      <c r="K545" t="s">
        <v>2740</v>
      </c>
      <c r="L545" t="s">
        <v>2761</v>
      </c>
      <c r="M545" t="s">
        <v>27</v>
      </c>
      <c r="N545" t="str">
        <f t="shared" si="18"/>
        <v>13112808980</v>
      </c>
      <c r="O545" t="s">
        <v>2742</v>
      </c>
      <c r="P545" t="s">
        <v>2743</v>
      </c>
      <c r="Q545">
        <f t="shared" si="16"/>
        <v>10</v>
      </c>
      <c r="R545">
        <f t="shared" si="17"/>
        <v>11</v>
      </c>
      <c r="S545" s="20" t="s">
        <v>2977</v>
      </c>
    </row>
    <row r="546" spans="1:19" hidden="1" x14ac:dyDescent="0.25">
      <c r="A546" s="3">
        <v>544</v>
      </c>
      <c r="B546" s="11" t="s">
        <v>2975</v>
      </c>
      <c r="C546" t="s">
        <v>2762</v>
      </c>
      <c r="D546" t="s">
        <v>21</v>
      </c>
      <c r="E546"/>
      <c r="F546" s="9" t="s">
        <v>3</v>
      </c>
      <c r="G546" t="s">
        <v>2163</v>
      </c>
      <c r="H546" t="s">
        <v>482</v>
      </c>
      <c r="I546" t="s">
        <v>32</v>
      </c>
      <c r="J546" t="s">
        <v>2763</v>
      </c>
      <c r="K546" t="s">
        <v>2740</v>
      </c>
      <c r="L546" t="s">
        <v>2</v>
      </c>
      <c r="M546" t="s">
        <v>27</v>
      </c>
      <c r="N546" t="str">
        <f t="shared" si="18"/>
        <v>12993299130</v>
      </c>
      <c r="O546" t="s">
        <v>2742</v>
      </c>
      <c r="P546" t="s">
        <v>2743</v>
      </c>
      <c r="Q546">
        <f t="shared" ref="Q546:Q592" si="19">LEN(L546)</f>
        <v>10</v>
      </c>
      <c r="R546">
        <f t="shared" si="17"/>
        <v>11</v>
      </c>
      <c r="S546" s="20" t="s">
        <v>2977</v>
      </c>
    </row>
    <row r="547" spans="1:19" hidden="1" x14ac:dyDescent="0.25">
      <c r="A547" s="2">
        <v>545</v>
      </c>
      <c r="B547" s="11" t="s">
        <v>2975</v>
      </c>
      <c r="C547" t="s">
        <v>2764</v>
      </c>
      <c r="D547" t="s">
        <v>21</v>
      </c>
      <c r="E547"/>
      <c r="F547" s="9" t="s">
        <v>2765</v>
      </c>
      <c r="G547" t="s">
        <v>2766</v>
      </c>
      <c r="H547" t="s">
        <v>296</v>
      </c>
      <c r="I547" t="s">
        <v>32</v>
      </c>
      <c r="J547" t="s">
        <v>2767</v>
      </c>
      <c r="K547" t="s">
        <v>2740</v>
      </c>
      <c r="L547">
        <v>2525685735</v>
      </c>
      <c r="M547" t="s">
        <v>27</v>
      </c>
      <c r="N547" t="str">
        <f t="shared" si="18"/>
        <v>25256857350</v>
      </c>
      <c r="O547" t="s">
        <v>2742</v>
      </c>
      <c r="P547" t="s">
        <v>2743</v>
      </c>
      <c r="Q547">
        <f t="shared" si="19"/>
        <v>10</v>
      </c>
      <c r="R547">
        <f t="shared" si="17"/>
        <v>11</v>
      </c>
      <c r="S547" s="20" t="s">
        <v>2977</v>
      </c>
    </row>
    <row r="548" spans="1:19" hidden="1" x14ac:dyDescent="0.25">
      <c r="A548" s="3">
        <v>546</v>
      </c>
      <c r="B548" s="11" t="s">
        <v>2975</v>
      </c>
      <c r="C548" t="s">
        <v>2768</v>
      </c>
      <c r="D548" t="s">
        <v>21</v>
      </c>
      <c r="E548"/>
      <c r="F548" s="9" t="s">
        <v>2769</v>
      </c>
      <c r="G548" t="s">
        <v>2770</v>
      </c>
      <c r="H548" t="s">
        <v>2771</v>
      </c>
      <c r="I548" t="s">
        <v>32</v>
      </c>
      <c r="J548" t="s">
        <v>2772</v>
      </c>
      <c r="K548" t="s">
        <v>2740</v>
      </c>
      <c r="L548" t="s">
        <v>2427</v>
      </c>
      <c r="M548" t="s">
        <v>27</v>
      </c>
      <c r="N548" t="str">
        <f>IF(Q548&lt;11,CONCATENATE(L548,"00000000"))</f>
        <v>10000000000</v>
      </c>
      <c r="O548" t="s">
        <v>2742</v>
      </c>
      <c r="P548" t="s">
        <v>2743</v>
      </c>
      <c r="Q548">
        <f t="shared" si="19"/>
        <v>3</v>
      </c>
      <c r="R548">
        <f t="shared" si="17"/>
        <v>11</v>
      </c>
      <c r="S548" s="20" t="s">
        <v>2977</v>
      </c>
    </row>
    <row r="549" spans="1:19" hidden="1" x14ac:dyDescent="0.25">
      <c r="A549" s="2">
        <v>547</v>
      </c>
      <c r="B549" s="11" t="s">
        <v>2975</v>
      </c>
      <c r="C549" t="s">
        <v>2773</v>
      </c>
      <c r="D549" t="s">
        <v>21</v>
      </c>
      <c r="E549"/>
      <c r="F549" s="9" t="s">
        <v>2774</v>
      </c>
      <c r="G549" t="s">
        <v>2775</v>
      </c>
      <c r="H549" t="s">
        <v>1791</v>
      </c>
      <c r="I549" t="s">
        <v>32</v>
      </c>
      <c r="J549" t="s">
        <v>2776</v>
      </c>
      <c r="K549" t="s">
        <v>2740</v>
      </c>
      <c r="L549" t="s">
        <v>2777</v>
      </c>
      <c r="M549" t="s">
        <v>27</v>
      </c>
      <c r="N549" t="str">
        <f t="shared" si="18"/>
        <v>14587349950</v>
      </c>
      <c r="O549" t="s">
        <v>2742</v>
      </c>
      <c r="P549" t="s">
        <v>2743</v>
      </c>
      <c r="Q549">
        <f t="shared" si="19"/>
        <v>10</v>
      </c>
      <c r="R549">
        <f t="shared" si="17"/>
        <v>11</v>
      </c>
      <c r="S549" s="20" t="s">
        <v>2977</v>
      </c>
    </row>
    <row r="550" spans="1:19" hidden="1" x14ac:dyDescent="0.25">
      <c r="A550" s="3">
        <v>548</v>
      </c>
      <c r="B550" s="11" t="s">
        <v>2975</v>
      </c>
      <c r="C550" t="s">
        <v>2778</v>
      </c>
      <c r="D550" t="s">
        <v>21</v>
      </c>
      <c r="E550"/>
      <c r="F550" s="9" t="s">
        <v>2779</v>
      </c>
      <c r="G550" t="s">
        <v>2780</v>
      </c>
      <c r="H550" t="s">
        <v>236</v>
      </c>
      <c r="I550" t="s">
        <v>32</v>
      </c>
      <c r="J550" t="s">
        <v>2781</v>
      </c>
      <c r="K550" t="s">
        <v>2740</v>
      </c>
      <c r="L550" t="s">
        <v>2782</v>
      </c>
      <c r="M550" t="s">
        <v>27</v>
      </c>
      <c r="N550" t="str">
        <f t="shared" si="18"/>
        <v>23703283070</v>
      </c>
      <c r="O550" t="s">
        <v>2742</v>
      </c>
      <c r="P550" t="s">
        <v>2743</v>
      </c>
      <c r="Q550">
        <f t="shared" si="19"/>
        <v>10</v>
      </c>
      <c r="R550">
        <f t="shared" si="17"/>
        <v>11</v>
      </c>
      <c r="S550" s="20" t="s">
        <v>2977</v>
      </c>
    </row>
    <row r="551" spans="1:19" hidden="1" x14ac:dyDescent="0.25">
      <c r="A551" s="2">
        <v>549</v>
      </c>
      <c r="B551" s="11" t="s">
        <v>2975</v>
      </c>
      <c r="C551" t="s">
        <v>2783</v>
      </c>
      <c r="D551" t="s">
        <v>21</v>
      </c>
      <c r="E551"/>
      <c r="F551" s="9" t="s">
        <v>2784</v>
      </c>
      <c r="G551" t="s">
        <v>2785</v>
      </c>
      <c r="H551" t="s">
        <v>278</v>
      </c>
      <c r="I551" t="s">
        <v>32</v>
      </c>
      <c r="J551" t="s">
        <v>2786</v>
      </c>
      <c r="K551" t="s">
        <v>2740</v>
      </c>
      <c r="L551" t="s">
        <v>2787</v>
      </c>
      <c r="M551" t="s">
        <v>27</v>
      </c>
      <c r="N551" t="str">
        <f t="shared" si="18"/>
        <v>12871613330</v>
      </c>
      <c r="O551" t="s">
        <v>2742</v>
      </c>
      <c r="P551" t="s">
        <v>2743</v>
      </c>
      <c r="Q551">
        <f t="shared" si="19"/>
        <v>10</v>
      </c>
      <c r="R551">
        <f t="shared" si="17"/>
        <v>11</v>
      </c>
      <c r="S551" s="20" t="s">
        <v>2977</v>
      </c>
    </row>
    <row r="552" spans="1:19" hidden="1" x14ac:dyDescent="0.25">
      <c r="A552" s="3">
        <v>550</v>
      </c>
      <c r="B552" s="11" t="s">
        <v>2975</v>
      </c>
      <c r="C552" t="s">
        <v>2788</v>
      </c>
      <c r="D552" t="s">
        <v>21</v>
      </c>
      <c r="E552"/>
      <c r="F552" s="9" t="s">
        <v>2789</v>
      </c>
      <c r="G552" t="s">
        <v>2219</v>
      </c>
      <c r="H552" t="s">
        <v>37</v>
      </c>
      <c r="I552" t="s">
        <v>32</v>
      </c>
      <c r="J552" t="s">
        <v>2790</v>
      </c>
      <c r="K552" t="s">
        <v>2740</v>
      </c>
      <c r="L552" t="s">
        <v>2791</v>
      </c>
      <c r="M552" t="s">
        <v>27</v>
      </c>
      <c r="N552" t="str">
        <f>IF(Q552&lt;11,CONCATENATE(L552,"00"))</f>
        <v>40901317100</v>
      </c>
      <c r="O552" t="s">
        <v>2742</v>
      </c>
      <c r="P552" t="s">
        <v>2743</v>
      </c>
      <c r="Q552">
        <f t="shared" si="19"/>
        <v>9</v>
      </c>
      <c r="R552">
        <f t="shared" si="17"/>
        <v>11</v>
      </c>
      <c r="S552" s="20" t="s">
        <v>2980</v>
      </c>
    </row>
    <row r="553" spans="1:19" hidden="1" x14ac:dyDescent="0.25">
      <c r="A553" s="2">
        <v>551</v>
      </c>
      <c r="B553" s="11" t="s">
        <v>2975</v>
      </c>
      <c r="C553" t="s">
        <v>2792</v>
      </c>
      <c r="D553" t="s">
        <v>21</v>
      </c>
      <c r="E553"/>
      <c r="F553" s="9" t="s">
        <v>2793</v>
      </c>
      <c r="G553" t="s">
        <v>2794</v>
      </c>
      <c r="H553" t="s">
        <v>2577</v>
      </c>
      <c r="I553" t="s">
        <v>32</v>
      </c>
      <c r="J553" t="s">
        <v>2795</v>
      </c>
      <c r="K553" t="s">
        <v>2740</v>
      </c>
      <c r="L553" t="s">
        <v>2796</v>
      </c>
      <c r="M553" t="s">
        <v>27</v>
      </c>
      <c r="N553" t="str">
        <f t="shared" si="18"/>
        <v>12157521380</v>
      </c>
      <c r="O553" t="s">
        <v>2742</v>
      </c>
      <c r="P553" t="s">
        <v>2743</v>
      </c>
      <c r="Q553">
        <f t="shared" si="19"/>
        <v>10</v>
      </c>
      <c r="R553">
        <f t="shared" si="17"/>
        <v>11</v>
      </c>
      <c r="S553" s="20" t="s">
        <v>2977</v>
      </c>
    </row>
    <row r="554" spans="1:19" hidden="1" x14ac:dyDescent="0.25">
      <c r="A554" s="3">
        <v>552</v>
      </c>
      <c r="B554" s="11" t="s">
        <v>2975</v>
      </c>
      <c r="C554" t="s">
        <v>2797</v>
      </c>
      <c r="D554" t="s">
        <v>21</v>
      </c>
      <c r="E554"/>
      <c r="F554" s="9" t="s">
        <v>2798</v>
      </c>
      <c r="G554" t="s">
        <v>2799</v>
      </c>
      <c r="H554" t="s">
        <v>2800</v>
      </c>
      <c r="I554" t="s">
        <v>32</v>
      </c>
      <c r="J554" t="s">
        <v>2801</v>
      </c>
      <c r="K554" t="s">
        <v>2740</v>
      </c>
      <c r="L554" t="s">
        <v>2802</v>
      </c>
      <c r="M554" t="s">
        <v>27</v>
      </c>
      <c r="N554" t="str">
        <f t="shared" si="18"/>
        <v>16345234500</v>
      </c>
      <c r="O554" t="s">
        <v>2742</v>
      </c>
      <c r="P554" t="s">
        <v>2743</v>
      </c>
      <c r="Q554">
        <f t="shared" si="19"/>
        <v>10</v>
      </c>
      <c r="R554">
        <f t="shared" si="17"/>
        <v>11</v>
      </c>
      <c r="S554" s="20" t="s">
        <v>2977</v>
      </c>
    </row>
    <row r="555" spans="1:19" hidden="1" x14ac:dyDescent="0.25">
      <c r="A555" s="2">
        <v>553</v>
      </c>
      <c r="B555" s="11" t="s">
        <v>2975</v>
      </c>
      <c r="C555" t="s">
        <v>2803</v>
      </c>
      <c r="D555" t="s">
        <v>21</v>
      </c>
      <c r="E555"/>
      <c r="F555" s="9" t="s">
        <v>2804</v>
      </c>
      <c r="G555" t="s">
        <v>2805</v>
      </c>
      <c r="H555" t="s">
        <v>1736</v>
      </c>
      <c r="I555" t="s">
        <v>32</v>
      </c>
      <c r="J555" t="s">
        <v>2806</v>
      </c>
      <c r="K555" t="s">
        <v>2740</v>
      </c>
      <c r="L555" t="s">
        <v>2807</v>
      </c>
      <c r="M555" t="s">
        <v>27</v>
      </c>
      <c r="N555" t="str">
        <f>IF(Q555&lt;11,CONCATENATE(L555,"00"))</f>
        <v>10307697200</v>
      </c>
      <c r="O555" t="s">
        <v>2742</v>
      </c>
      <c r="P555" t="s">
        <v>2743</v>
      </c>
      <c r="Q555">
        <f t="shared" si="19"/>
        <v>9</v>
      </c>
      <c r="R555">
        <f t="shared" si="17"/>
        <v>11</v>
      </c>
      <c r="S555" s="20" t="s">
        <v>2977</v>
      </c>
    </row>
    <row r="556" spans="1:19" hidden="1" x14ac:dyDescent="0.25">
      <c r="A556" s="3">
        <v>554</v>
      </c>
      <c r="B556" s="11" t="s">
        <v>2975</v>
      </c>
      <c r="C556" t="s">
        <v>2808</v>
      </c>
      <c r="D556" t="s">
        <v>21</v>
      </c>
      <c r="E556"/>
      <c r="F556" s="9" t="s">
        <v>2809</v>
      </c>
      <c r="G556" t="s">
        <v>2810</v>
      </c>
      <c r="H556" t="s">
        <v>36</v>
      </c>
      <c r="I556" t="s">
        <v>32</v>
      </c>
      <c r="J556" t="s">
        <v>2811</v>
      </c>
      <c r="K556" t="s">
        <v>2740</v>
      </c>
      <c r="L556" t="s">
        <v>2812</v>
      </c>
      <c r="M556" t="s">
        <v>27</v>
      </c>
      <c r="N556" t="str">
        <f>IF(Q556&lt;11,CONCATENATE(L556,"00"))</f>
        <v>17731683400</v>
      </c>
      <c r="O556" t="s">
        <v>2742</v>
      </c>
      <c r="P556" t="s">
        <v>2743</v>
      </c>
      <c r="Q556">
        <f t="shared" si="19"/>
        <v>9</v>
      </c>
      <c r="R556">
        <f t="shared" si="17"/>
        <v>11</v>
      </c>
      <c r="S556" s="20" t="s">
        <v>2977</v>
      </c>
    </row>
    <row r="557" spans="1:19" hidden="1" x14ac:dyDescent="0.25">
      <c r="A557" s="2">
        <v>555</v>
      </c>
      <c r="B557" s="11" t="s">
        <v>2975</v>
      </c>
      <c r="C557" t="s">
        <v>2813</v>
      </c>
      <c r="D557" t="s">
        <v>21</v>
      </c>
      <c r="E557"/>
      <c r="F557" s="9" t="s">
        <v>2814</v>
      </c>
      <c r="G557" t="s">
        <v>2815</v>
      </c>
      <c r="H557" t="s">
        <v>2432</v>
      </c>
      <c r="I557" t="s">
        <v>32</v>
      </c>
      <c r="J557" t="s">
        <v>2816</v>
      </c>
      <c r="K557" t="s">
        <v>2740</v>
      </c>
      <c r="L557" t="s">
        <v>2817</v>
      </c>
      <c r="M557" t="s">
        <v>27</v>
      </c>
      <c r="N557" t="str">
        <f t="shared" si="18"/>
        <v>13147257780</v>
      </c>
      <c r="O557" t="s">
        <v>2742</v>
      </c>
      <c r="P557" t="s">
        <v>2743</v>
      </c>
      <c r="Q557">
        <f t="shared" si="19"/>
        <v>10</v>
      </c>
      <c r="R557">
        <f t="shared" si="17"/>
        <v>11</v>
      </c>
      <c r="S557" s="20" t="s">
        <v>2977</v>
      </c>
    </row>
    <row r="558" spans="1:19" hidden="1" x14ac:dyDescent="0.25">
      <c r="A558" s="3">
        <v>556</v>
      </c>
      <c r="B558" s="11" t="s">
        <v>2975</v>
      </c>
      <c r="C558" t="s">
        <v>2818</v>
      </c>
      <c r="D558" t="s">
        <v>21</v>
      </c>
      <c r="E558"/>
      <c r="F558" s="9" t="s">
        <v>2819</v>
      </c>
      <c r="G558" t="s">
        <v>2820</v>
      </c>
      <c r="H558" t="s">
        <v>1888</v>
      </c>
      <c r="I558" t="s">
        <v>32</v>
      </c>
      <c r="J558" t="s">
        <v>2821</v>
      </c>
      <c r="K558" t="s">
        <v>2740</v>
      </c>
      <c r="L558" t="s">
        <v>2822</v>
      </c>
      <c r="M558" t="s">
        <v>27</v>
      </c>
      <c r="N558" t="str">
        <f t="shared" si="18"/>
        <v>16475767950</v>
      </c>
      <c r="O558" t="s">
        <v>2742</v>
      </c>
      <c r="P558" t="s">
        <v>2743</v>
      </c>
      <c r="Q558">
        <f t="shared" si="19"/>
        <v>10</v>
      </c>
      <c r="R558">
        <f t="shared" si="17"/>
        <v>11</v>
      </c>
      <c r="S558" s="20" t="s">
        <v>2977</v>
      </c>
    </row>
    <row r="559" spans="1:19" hidden="1" x14ac:dyDescent="0.25">
      <c r="A559" s="2">
        <v>557</v>
      </c>
      <c r="B559" s="11" t="s">
        <v>2975</v>
      </c>
      <c r="C559" t="s">
        <v>2823</v>
      </c>
      <c r="D559" t="s">
        <v>21</v>
      </c>
      <c r="E559"/>
      <c r="F559" s="9" t="s">
        <v>2824</v>
      </c>
      <c r="G559" t="s">
        <v>2309</v>
      </c>
      <c r="H559" t="s">
        <v>236</v>
      </c>
      <c r="I559" t="s">
        <v>32</v>
      </c>
      <c r="J559" t="s">
        <v>2825</v>
      </c>
      <c r="K559" t="s">
        <v>2740</v>
      </c>
      <c r="L559" t="s">
        <v>2826</v>
      </c>
      <c r="M559" t="s">
        <v>27</v>
      </c>
      <c r="N559" t="str">
        <f t="shared" si="18"/>
        <v>21071470870</v>
      </c>
      <c r="O559" t="s">
        <v>2742</v>
      </c>
      <c r="P559" t="s">
        <v>2743</v>
      </c>
      <c r="Q559">
        <f t="shared" si="19"/>
        <v>10</v>
      </c>
      <c r="R559">
        <f t="shared" si="17"/>
        <v>11</v>
      </c>
      <c r="S559" s="20" t="s">
        <v>2977</v>
      </c>
    </row>
    <row r="560" spans="1:19" hidden="1" x14ac:dyDescent="0.25">
      <c r="A560" s="3">
        <v>558</v>
      </c>
      <c r="B560" s="11" t="s">
        <v>2975</v>
      </c>
      <c r="C560" t="s">
        <v>2827</v>
      </c>
      <c r="D560" t="s">
        <v>21</v>
      </c>
      <c r="E560"/>
      <c r="F560" s="9" t="s">
        <v>2828</v>
      </c>
      <c r="G560" t="s">
        <v>932</v>
      </c>
      <c r="H560" t="s">
        <v>2470</v>
      </c>
      <c r="I560" t="s">
        <v>32</v>
      </c>
      <c r="J560" t="s">
        <v>2829</v>
      </c>
      <c r="K560" t="s">
        <v>2740</v>
      </c>
      <c r="L560" t="s">
        <v>2830</v>
      </c>
      <c r="M560" t="s">
        <v>27</v>
      </c>
      <c r="N560" t="str">
        <f>IF(Q560&lt;11,CONCATENATE(L560,"0000000"))</f>
        <v>77770000000</v>
      </c>
      <c r="O560" t="s">
        <v>2742</v>
      </c>
      <c r="P560" t="s">
        <v>2743</v>
      </c>
      <c r="Q560">
        <f t="shared" si="19"/>
        <v>4</v>
      </c>
      <c r="R560">
        <f t="shared" si="17"/>
        <v>11</v>
      </c>
      <c r="S560" s="20" t="s">
        <v>2977</v>
      </c>
    </row>
    <row r="561" spans="1:19" hidden="1" x14ac:dyDescent="0.25">
      <c r="A561" s="2">
        <v>559</v>
      </c>
      <c r="B561" s="11" t="s">
        <v>2975</v>
      </c>
      <c r="C561" t="s">
        <v>2831</v>
      </c>
      <c r="D561" t="s">
        <v>21</v>
      </c>
      <c r="E561"/>
      <c r="F561" s="9" t="s">
        <v>2832</v>
      </c>
      <c r="G561" t="s">
        <v>2833</v>
      </c>
      <c r="H561" t="s">
        <v>2432</v>
      </c>
      <c r="I561" t="s">
        <v>32</v>
      </c>
      <c r="J561" t="s">
        <v>2834</v>
      </c>
      <c r="K561" t="s">
        <v>2740</v>
      </c>
      <c r="L561" t="s">
        <v>2835</v>
      </c>
      <c r="M561" t="s">
        <v>27</v>
      </c>
      <c r="N561" t="str">
        <f t="shared" si="18"/>
        <v>21071413740</v>
      </c>
      <c r="O561" t="s">
        <v>2742</v>
      </c>
      <c r="P561" t="s">
        <v>2743</v>
      </c>
      <c r="Q561">
        <f t="shared" si="19"/>
        <v>10</v>
      </c>
      <c r="R561">
        <f t="shared" si="17"/>
        <v>11</v>
      </c>
      <c r="S561" s="20" t="s">
        <v>2977</v>
      </c>
    </row>
    <row r="562" spans="1:19" hidden="1" x14ac:dyDescent="0.25">
      <c r="A562" s="3">
        <v>560</v>
      </c>
      <c r="B562" s="11" t="s">
        <v>2975</v>
      </c>
      <c r="C562" t="s">
        <v>2836</v>
      </c>
      <c r="D562" t="s">
        <v>21</v>
      </c>
      <c r="E562"/>
      <c r="F562" s="9" t="s">
        <v>2837</v>
      </c>
      <c r="G562" t="s">
        <v>2838</v>
      </c>
      <c r="H562" t="s">
        <v>2839</v>
      </c>
      <c r="I562" t="s">
        <v>32</v>
      </c>
      <c r="J562" t="s">
        <v>2840</v>
      </c>
      <c r="K562" t="s">
        <v>2740</v>
      </c>
      <c r="L562" t="s">
        <v>2841</v>
      </c>
      <c r="M562" t="s">
        <v>27</v>
      </c>
      <c r="N562" t="str">
        <f t="shared" si="18"/>
        <v>16126531680</v>
      </c>
      <c r="O562" t="s">
        <v>2742</v>
      </c>
      <c r="P562" t="s">
        <v>2743</v>
      </c>
      <c r="Q562">
        <f t="shared" si="19"/>
        <v>10</v>
      </c>
      <c r="R562">
        <f t="shared" si="17"/>
        <v>11</v>
      </c>
      <c r="S562" s="20" t="s">
        <v>2977</v>
      </c>
    </row>
    <row r="563" spans="1:19" hidden="1" x14ac:dyDescent="0.25">
      <c r="A563" s="2">
        <v>561</v>
      </c>
      <c r="B563" s="11" t="s">
        <v>2975</v>
      </c>
      <c r="C563" t="s">
        <v>2842</v>
      </c>
      <c r="D563" t="s">
        <v>21</v>
      </c>
      <c r="E563"/>
      <c r="F563" s="9" t="s">
        <v>2843</v>
      </c>
      <c r="G563" t="s">
        <v>2838</v>
      </c>
      <c r="H563" t="s">
        <v>2844</v>
      </c>
      <c r="I563" t="s">
        <v>32</v>
      </c>
      <c r="J563" t="s">
        <v>2845</v>
      </c>
      <c r="K563" t="s">
        <v>2740</v>
      </c>
      <c r="L563" t="s">
        <v>2846</v>
      </c>
      <c r="M563" t="s">
        <v>27</v>
      </c>
      <c r="N563" t="str">
        <f t="shared" si="18"/>
        <v>13050607290</v>
      </c>
      <c r="O563" t="s">
        <v>2742</v>
      </c>
      <c r="P563" t="s">
        <v>2743</v>
      </c>
      <c r="Q563">
        <f t="shared" si="19"/>
        <v>10</v>
      </c>
      <c r="R563">
        <f t="shared" si="17"/>
        <v>11</v>
      </c>
      <c r="S563" s="20" t="s">
        <v>2977</v>
      </c>
    </row>
    <row r="564" spans="1:19" hidden="1" x14ac:dyDescent="0.25">
      <c r="A564" s="3">
        <v>562</v>
      </c>
      <c r="B564" s="11" t="s">
        <v>2975</v>
      </c>
      <c r="C564" t="s">
        <v>2847</v>
      </c>
      <c r="D564" t="s">
        <v>21</v>
      </c>
      <c r="E564"/>
      <c r="F564" s="9" t="s">
        <v>2848</v>
      </c>
      <c r="G564" t="s">
        <v>1611</v>
      </c>
      <c r="H564" t="s">
        <v>2849</v>
      </c>
      <c r="I564" t="s">
        <v>32</v>
      </c>
      <c r="J564" t="s">
        <v>2850</v>
      </c>
      <c r="K564" t="s">
        <v>2740</v>
      </c>
      <c r="L564" t="s">
        <v>2851</v>
      </c>
      <c r="M564" t="s">
        <v>27</v>
      </c>
      <c r="N564" t="str">
        <f>IF(Q564&lt;11,CONCATENATE(L564,"000000"))</f>
        <v>13728000000</v>
      </c>
      <c r="O564" t="s">
        <v>2742</v>
      </c>
      <c r="P564" t="s">
        <v>2743</v>
      </c>
      <c r="Q564">
        <f t="shared" si="19"/>
        <v>5</v>
      </c>
      <c r="R564">
        <f t="shared" si="17"/>
        <v>11</v>
      </c>
      <c r="S564" s="20" t="s">
        <v>2977</v>
      </c>
    </row>
    <row r="565" spans="1:19" hidden="1" x14ac:dyDescent="0.25">
      <c r="A565" s="2">
        <v>563</v>
      </c>
      <c r="B565" s="11" t="s">
        <v>2975</v>
      </c>
      <c r="C565" t="s">
        <v>2852</v>
      </c>
      <c r="D565" t="s">
        <v>21</v>
      </c>
      <c r="E565"/>
      <c r="F565" s="9" t="s">
        <v>2853</v>
      </c>
      <c r="G565" t="s">
        <v>1611</v>
      </c>
      <c r="H565" t="s">
        <v>2854</v>
      </c>
      <c r="I565" t="s">
        <v>32</v>
      </c>
      <c r="J565" t="s">
        <v>2855</v>
      </c>
      <c r="K565" t="s">
        <v>2740</v>
      </c>
      <c r="L565" t="s">
        <v>2856</v>
      </c>
      <c r="M565" t="s">
        <v>27</v>
      </c>
      <c r="N565" t="str">
        <f t="shared" si="18"/>
        <v>21073584830</v>
      </c>
      <c r="O565" t="s">
        <v>2742</v>
      </c>
      <c r="P565" t="s">
        <v>2743</v>
      </c>
      <c r="Q565">
        <f t="shared" si="19"/>
        <v>10</v>
      </c>
      <c r="R565">
        <f t="shared" si="17"/>
        <v>11</v>
      </c>
      <c r="S565" s="20" t="s">
        <v>2977</v>
      </c>
    </row>
    <row r="566" spans="1:19" hidden="1" x14ac:dyDescent="0.25">
      <c r="A566" s="3">
        <v>564</v>
      </c>
      <c r="B566" s="11" t="s">
        <v>2975</v>
      </c>
      <c r="C566" t="s">
        <v>2857</v>
      </c>
      <c r="D566" t="s">
        <v>21</v>
      </c>
      <c r="E566"/>
      <c r="F566" s="9" t="s">
        <v>2858</v>
      </c>
      <c r="G566" t="s">
        <v>2859</v>
      </c>
      <c r="H566" t="s">
        <v>1975</v>
      </c>
      <c r="I566" t="s">
        <v>32</v>
      </c>
      <c r="J566" t="s">
        <v>2860</v>
      </c>
      <c r="K566" t="s">
        <v>2740</v>
      </c>
      <c r="L566" t="s">
        <v>2861</v>
      </c>
      <c r="M566" t="s">
        <v>27</v>
      </c>
      <c r="N566" t="str">
        <f t="shared" si="18"/>
        <v>13095438510</v>
      </c>
      <c r="O566" t="s">
        <v>2742</v>
      </c>
      <c r="P566" t="s">
        <v>2743</v>
      </c>
      <c r="Q566">
        <f t="shared" si="19"/>
        <v>10</v>
      </c>
      <c r="R566">
        <f t="shared" si="17"/>
        <v>11</v>
      </c>
      <c r="S566" s="20" t="s">
        <v>2977</v>
      </c>
    </row>
    <row r="567" spans="1:19" hidden="1" x14ac:dyDescent="0.25">
      <c r="A567" s="2">
        <v>565</v>
      </c>
      <c r="B567" s="11" t="s">
        <v>2975</v>
      </c>
      <c r="C567" t="s">
        <v>2862</v>
      </c>
      <c r="D567" t="s">
        <v>21</v>
      </c>
      <c r="E567"/>
      <c r="F567" s="9" t="s">
        <v>2863</v>
      </c>
      <c r="G567" t="s">
        <v>1724</v>
      </c>
      <c r="H567" t="s">
        <v>413</v>
      </c>
      <c r="I567" t="s">
        <v>32</v>
      </c>
      <c r="J567" t="s">
        <v>2864</v>
      </c>
      <c r="K567" t="s">
        <v>2740</v>
      </c>
      <c r="L567" t="s">
        <v>32</v>
      </c>
      <c r="M567" t="s">
        <v>27</v>
      </c>
      <c r="N567" t="str">
        <f>IF(Q567&lt;11,CONCATENATE(L567,"0000000000"))</f>
        <v>10000000000</v>
      </c>
      <c r="O567" t="s">
        <v>2742</v>
      </c>
      <c r="P567" t="s">
        <v>2743</v>
      </c>
      <c r="Q567">
        <f t="shared" si="19"/>
        <v>1</v>
      </c>
      <c r="R567">
        <f t="shared" si="17"/>
        <v>11</v>
      </c>
      <c r="S567" s="20" t="s">
        <v>2977</v>
      </c>
    </row>
    <row r="568" spans="1:19" hidden="1" x14ac:dyDescent="0.25">
      <c r="A568" s="3">
        <v>566</v>
      </c>
      <c r="B568" s="11" t="s">
        <v>2975</v>
      </c>
      <c r="C568" t="s">
        <v>2865</v>
      </c>
      <c r="D568" t="s">
        <v>21</v>
      </c>
      <c r="E568"/>
      <c r="F568" s="9" t="s">
        <v>2866</v>
      </c>
      <c r="G568" t="s">
        <v>1748</v>
      </c>
      <c r="H568" t="s">
        <v>927</v>
      </c>
      <c r="I568" t="s">
        <v>32</v>
      </c>
      <c r="J568" t="s">
        <v>2867</v>
      </c>
      <c r="K568" t="s">
        <v>2740</v>
      </c>
      <c r="L568" t="s">
        <v>2868</v>
      </c>
      <c r="M568" t="s">
        <v>27</v>
      </c>
      <c r="N568" t="str">
        <f t="shared" si="18"/>
        <v>14819499380</v>
      </c>
      <c r="O568" t="s">
        <v>2742</v>
      </c>
      <c r="P568" t="s">
        <v>2743</v>
      </c>
      <c r="Q568">
        <f t="shared" si="19"/>
        <v>10</v>
      </c>
      <c r="R568">
        <f t="shared" si="17"/>
        <v>11</v>
      </c>
      <c r="S568" s="20" t="s">
        <v>2977</v>
      </c>
    </row>
    <row r="569" spans="1:19" hidden="1" x14ac:dyDescent="0.25">
      <c r="A569" s="2">
        <v>567</v>
      </c>
      <c r="B569" s="11" t="s">
        <v>2975</v>
      </c>
      <c r="C569" t="s">
        <v>2869</v>
      </c>
      <c r="D569" t="s">
        <v>21</v>
      </c>
      <c r="E569"/>
      <c r="F569" s="9" t="s">
        <v>2493</v>
      </c>
      <c r="G569" t="s">
        <v>1748</v>
      </c>
      <c r="H569" t="s">
        <v>2494</v>
      </c>
      <c r="I569" t="s">
        <v>32</v>
      </c>
      <c r="J569" t="s">
        <v>2495</v>
      </c>
      <c r="K569" t="s">
        <v>2740</v>
      </c>
      <c r="L569" t="s">
        <v>2870</v>
      </c>
      <c r="M569" t="s">
        <v>27</v>
      </c>
      <c r="N569" t="str">
        <f t="shared" si="18"/>
        <v>16526820080</v>
      </c>
      <c r="O569" t="s">
        <v>2742</v>
      </c>
      <c r="P569" t="s">
        <v>2743</v>
      </c>
      <c r="Q569">
        <f t="shared" si="19"/>
        <v>10</v>
      </c>
      <c r="R569">
        <f t="shared" si="17"/>
        <v>11</v>
      </c>
      <c r="S569" s="20" t="s">
        <v>2977</v>
      </c>
    </row>
    <row r="570" spans="1:19" hidden="1" x14ac:dyDescent="0.25">
      <c r="A570" s="3">
        <v>568</v>
      </c>
      <c r="B570" s="11" t="s">
        <v>2975</v>
      </c>
      <c r="C570" t="s">
        <v>2871</v>
      </c>
      <c r="D570" t="s">
        <v>21</v>
      </c>
      <c r="E570"/>
      <c r="F570" s="9" t="s">
        <v>2872</v>
      </c>
      <c r="G570" t="s">
        <v>2873</v>
      </c>
      <c r="H570" t="s">
        <v>213</v>
      </c>
      <c r="I570" t="s">
        <v>32</v>
      </c>
      <c r="J570" t="s">
        <v>2874</v>
      </c>
      <c r="K570" t="s">
        <v>2740</v>
      </c>
      <c r="L570" t="s">
        <v>2875</v>
      </c>
      <c r="M570" t="s">
        <v>27</v>
      </c>
      <c r="N570" t="str">
        <f t="shared" si="18"/>
        <v>12727971180</v>
      </c>
      <c r="O570" t="s">
        <v>2742</v>
      </c>
      <c r="P570" t="s">
        <v>2743</v>
      </c>
      <c r="Q570">
        <f t="shared" si="19"/>
        <v>10</v>
      </c>
      <c r="R570">
        <f t="shared" si="17"/>
        <v>11</v>
      </c>
      <c r="S570" s="20" t="s">
        <v>2977</v>
      </c>
    </row>
    <row r="571" spans="1:19" hidden="1" x14ac:dyDescent="0.25">
      <c r="A571" s="2">
        <v>569</v>
      </c>
      <c r="B571" s="11" t="s">
        <v>2975</v>
      </c>
      <c r="C571" t="s">
        <v>2876</v>
      </c>
      <c r="D571" t="s">
        <v>21</v>
      </c>
      <c r="E571"/>
      <c r="F571" s="9" t="s">
        <v>2877</v>
      </c>
      <c r="G571" t="s">
        <v>2878</v>
      </c>
      <c r="H571" t="s">
        <v>229</v>
      </c>
      <c r="I571" t="s">
        <v>32</v>
      </c>
      <c r="J571" t="s">
        <v>2879</v>
      </c>
      <c r="K571" t="s">
        <v>2740</v>
      </c>
      <c r="L571" t="s">
        <v>2880</v>
      </c>
      <c r="M571" t="s">
        <v>27</v>
      </c>
      <c r="N571" t="str">
        <f t="shared" si="18"/>
        <v>21069252640</v>
      </c>
      <c r="O571" t="s">
        <v>2742</v>
      </c>
      <c r="P571" t="s">
        <v>2743</v>
      </c>
      <c r="Q571">
        <f t="shared" si="19"/>
        <v>10</v>
      </c>
      <c r="R571">
        <f t="shared" si="17"/>
        <v>11</v>
      </c>
      <c r="S571" s="20" t="s">
        <v>2977</v>
      </c>
    </row>
    <row r="572" spans="1:19" hidden="1" x14ac:dyDescent="0.25">
      <c r="A572" s="3">
        <v>570</v>
      </c>
      <c r="B572" s="11" t="s">
        <v>2975</v>
      </c>
      <c r="C572" t="s">
        <v>2881</v>
      </c>
      <c r="D572" t="s">
        <v>21</v>
      </c>
      <c r="E572"/>
      <c r="F572" s="9">
        <v>49549154734</v>
      </c>
      <c r="G572" t="s">
        <v>2523</v>
      </c>
      <c r="H572" t="s">
        <v>2152</v>
      </c>
      <c r="I572" t="s">
        <v>32</v>
      </c>
      <c r="J572" t="s">
        <v>2882</v>
      </c>
      <c r="K572" t="s">
        <v>2740</v>
      </c>
      <c r="L572" t="s">
        <v>2883</v>
      </c>
      <c r="M572" t="s">
        <v>27</v>
      </c>
      <c r="N572" t="str">
        <f t="shared" si="18"/>
        <v>17538405690</v>
      </c>
      <c r="O572" t="s">
        <v>2742</v>
      </c>
      <c r="P572" t="s">
        <v>2743</v>
      </c>
      <c r="Q572">
        <f t="shared" si="19"/>
        <v>10</v>
      </c>
      <c r="R572">
        <f t="shared" si="17"/>
        <v>11</v>
      </c>
      <c r="S572" s="20" t="s">
        <v>2977</v>
      </c>
    </row>
    <row r="573" spans="1:19" hidden="1" x14ac:dyDescent="0.25">
      <c r="A573" s="2">
        <v>571</v>
      </c>
      <c r="B573" s="11" t="s">
        <v>2975</v>
      </c>
      <c r="C573" t="s">
        <v>2884</v>
      </c>
      <c r="D573" t="s">
        <v>21</v>
      </c>
      <c r="E573"/>
      <c r="F573" s="9" t="s">
        <v>2885</v>
      </c>
      <c r="G573" t="s">
        <v>1810</v>
      </c>
      <c r="H573" t="s">
        <v>2596</v>
      </c>
      <c r="I573" t="s">
        <v>32</v>
      </c>
      <c r="J573" t="s">
        <v>2886</v>
      </c>
      <c r="K573" t="s">
        <v>2740</v>
      </c>
      <c r="L573" t="s">
        <v>2887</v>
      </c>
      <c r="M573" t="s">
        <v>27</v>
      </c>
      <c r="N573" t="str">
        <f t="shared" si="18"/>
        <v>11111111110</v>
      </c>
      <c r="O573" t="s">
        <v>2742</v>
      </c>
      <c r="P573" t="s">
        <v>2743</v>
      </c>
      <c r="Q573">
        <f t="shared" si="19"/>
        <v>10</v>
      </c>
      <c r="R573">
        <f t="shared" si="17"/>
        <v>11</v>
      </c>
      <c r="S573" s="20" t="s">
        <v>2977</v>
      </c>
    </row>
    <row r="574" spans="1:19" hidden="1" x14ac:dyDescent="0.25">
      <c r="A574" s="3">
        <v>572</v>
      </c>
      <c r="B574" s="11" t="s">
        <v>2975</v>
      </c>
      <c r="C574" t="s">
        <v>2888</v>
      </c>
      <c r="D574" t="s">
        <v>21</v>
      </c>
      <c r="E574"/>
      <c r="F574" s="9" t="s">
        <v>2889</v>
      </c>
      <c r="G574" t="s">
        <v>2890</v>
      </c>
      <c r="H574" t="s">
        <v>153</v>
      </c>
      <c r="I574" t="s">
        <v>32</v>
      </c>
      <c r="J574" t="s">
        <v>2891</v>
      </c>
      <c r="K574" t="s">
        <v>2740</v>
      </c>
      <c r="L574" t="s">
        <v>2892</v>
      </c>
      <c r="M574" t="s">
        <v>27</v>
      </c>
      <c r="N574" t="str">
        <f t="shared" si="18"/>
        <v>12553062190</v>
      </c>
      <c r="O574" t="s">
        <v>2742</v>
      </c>
      <c r="P574" t="s">
        <v>2743</v>
      </c>
      <c r="Q574">
        <f t="shared" si="19"/>
        <v>10</v>
      </c>
      <c r="R574">
        <f t="shared" si="17"/>
        <v>11</v>
      </c>
      <c r="S574" s="20" t="s">
        <v>2977</v>
      </c>
    </row>
    <row r="575" spans="1:19" hidden="1" x14ac:dyDescent="0.25">
      <c r="A575" s="2">
        <v>573</v>
      </c>
      <c r="B575" s="11" t="s">
        <v>2975</v>
      </c>
      <c r="C575" t="s">
        <v>2893</v>
      </c>
      <c r="D575" t="s">
        <v>21</v>
      </c>
      <c r="E575"/>
      <c r="F575" s="9" t="s">
        <v>2894</v>
      </c>
      <c r="G575" t="s">
        <v>1826</v>
      </c>
      <c r="H575" t="s">
        <v>806</v>
      </c>
      <c r="I575" t="s">
        <v>32</v>
      </c>
      <c r="J575" t="s">
        <v>2895</v>
      </c>
      <c r="K575" t="s">
        <v>2740</v>
      </c>
      <c r="L575" t="s">
        <v>2896</v>
      </c>
      <c r="M575" t="s">
        <v>27</v>
      </c>
      <c r="N575" t="str">
        <f t="shared" si="18"/>
        <v>19043700660</v>
      </c>
      <c r="O575" t="s">
        <v>2742</v>
      </c>
      <c r="P575" t="s">
        <v>2743</v>
      </c>
      <c r="Q575">
        <f t="shared" si="19"/>
        <v>10</v>
      </c>
      <c r="R575">
        <f t="shared" si="17"/>
        <v>11</v>
      </c>
      <c r="S575" s="20" t="s">
        <v>2980</v>
      </c>
    </row>
    <row r="576" spans="1:19" hidden="1" x14ac:dyDescent="0.25">
      <c r="A576" s="3">
        <v>574</v>
      </c>
      <c r="B576" s="11" t="s">
        <v>2975</v>
      </c>
      <c r="C576" t="s">
        <v>2897</v>
      </c>
      <c r="D576" t="s">
        <v>21</v>
      </c>
      <c r="E576"/>
      <c r="F576" s="9" t="s">
        <v>2898</v>
      </c>
      <c r="G576" t="s">
        <v>2899</v>
      </c>
      <c r="H576" t="s">
        <v>2900</v>
      </c>
      <c r="I576" t="s">
        <v>32</v>
      </c>
      <c r="J576" t="s">
        <v>2901</v>
      </c>
      <c r="K576" t="s">
        <v>2740</v>
      </c>
      <c r="L576" t="s">
        <v>2902</v>
      </c>
      <c r="M576" t="s">
        <v>27</v>
      </c>
      <c r="N576" t="str">
        <f t="shared" si="18"/>
        <v>20647022980</v>
      </c>
      <c r="O576" t="s">
        <v>2742</v>
      </c>
      <c r="P576" t="s">
        <v>2743</v>
      </c>
      <c r="Q576">
        <f t="shared" si="19"/>
        <v>10</v>
      </c>
      <c r="R576">
        <f t="shared" si="17"/>
        <v>11</v>
      </c>
      <c r="S576" s="20" t="s">
        <v>2977</v>
      </c>
    </row>
    <row r="577" spans="1:19" hidden="1" x14ac:dyDescent="0.25">
      <c r="A577" s="2">
        <v>575</v>
      </c>
      <c r="B577" s="11" t="s">
        <v>2975</v>
      </c>
      <c r="C577" t="s">
        <v>2903</v>
      </c>
      <c r="D577" t="s">
        <v>21</v>
      </c>
      <c r="E577"/>
      <c r="F577" s="9" t="s">
        <v>2904</v>
      </c>
      <c r="G577" t="s">
        <v>1878</v>
      </c>
      <c r="H577" t="s">
        <v>1469</v>
      </c>
      <c r="I577" t="s">
        <v>32</v>
      </c>
      <c r="J577" t="s">
        <v>2905</v>
      </c>
      <c r="K577" t="s">
        <v>2740</v>
      </c>
      <c r="L577" t="s">
        <v>2906</v>
      </c>
      <c r="M577" t="s">
        <v>27</v>
      </c>
      <c r="N577" t="str">
        <f>IF(Q577&lt;11,CONCATENATE(L577,"00"))</f>
        <v>99999999900</v>
      </c>
      <c r="O577" t="s">
        <v>2742</v>
      </c>
      <c r="P577" t="s">
        <v>2743</v>
      </c>
      <c r="Q577">
        <f t="shared" si="19"/>
        <v>9</v>
      </c>
      <c r="R577">
        <f t="shared" si="17"/>
        <v>11</v>
      </c>
      <c r="S577" s="20" t="s">
        <v>2977</v>
      </c>
    </row>
    <row r="578" spans="1:19" hidden="1" x14ac:dyDescent="0.25">
      <c r="A578" s="3">
        <v>576</v>
      </c>
      <c r="B578" s="11" t="s">
        <v>2975</v>
      </c>
      <c r="C578" t="s">
        <v>2907</v>
      </c>
      <c r="D578" t="s">
        <v>21</v>
      </c>
      <c r="E578"/>
      <c r="F578" s="9" t="s">
        <v>2908</v>
      </c>
      <c r="G578" t="s">
        <v>2909</v>
      </c>
      <c r="H578" t="s">
        <v>198</v>
      </c>
      <c r="I578" t="s">
        <v>32</v>
      </c>
      <c r="J578" t="s">
        <v>2910</v>
      </c>
      <c r="K578" t="s">
        <v>2740</v>
      </c>
      <c r="L578" t="s">
        <v>2911</v>
      </c>
      <c r="M578" t="s">
        <v>27</v>
      </c>
      <c r="N578" t="str">
        <f t="shared" si="18"/>
        <v>16352455620</v>
      </c>
      <c r="O578" t="s">
        <v>2742</v>
      </c>
      <c r="P578" t="s">
        <v>2743</v>
      </c>
      <c r="Q578">
        <f t="shared" si="19"/>
        <v>10</v>
      </c>
      <c r="R578">
        <f t="shared" si="17"/>
        <v>11</v>
      </c>
      <c r="S578" s="20" t="s">
        <v>2977</v>
      </c>
    </row>
    <row r="579" spans="1:19" hidden="1" x14ac:dyDescent="0.25">
      <c r="A579" s="2">
        <v>577</v>
      </c>
      <c r="B579" s="11" t="s">
        <v>2975</v>
      </c>
      <c r="C579" t="s">
        <v>2912</v>
      </c>
      <c r="D579" t="s">
        <v>21</v>
      </c>
      <c r="E579"/>
      <c r="F579" s="9" t="s">
        <v>1973</v>
      </c>
      <c r="G579" t="s">
        <v>1974</v>
      </c>
      <c r="H579" t="s">
        <v>1975</v>
      </c>
      <c r="I579" t="s">
        <v>32</v>
      </c>
      <c r="J579" t="s">
        <v>1976</v>
      </c>
      <c r="K579" t="s">
        <v>2740</v>
      </c>
      <c r="L579" t="s">
        <v>2913</v>
      </c>
      <c r="M579" t="s">
        <v>27</v>
      </c>
      <c r="N579" t="str">
        <f t="shared" si="18"/>
        <v>12379557730</v>
      </c>
      <c r="O579" t="s">
        <v>2742</v>
      </c>
      <c r="P579" t="s">
        <v>2743</v>
      </c>
      <c r="Q579">
        <f t="shared" si="19"/>
        <v>10</v>
      </c>
      <c r="R579">
        <f t="shared" ref="R579:R592" si="20">LEN(N579)</f>
        <v>11</v>
      </c>
      <c r="S579" s="20" t="s">
        <v>2977</v>
      </c>
    </row>
    <row r="580" spans="1:19" hidden="1" x14ac:dyDescent="0.25">
      <c r="A580" s="3">
        <v>578</v>
      </c>
      <c r="B580" s="11" t="s">
        <v>2975</v>
      </c>
      <c r="C580" t="s">
        <v>2914</v>
      </c>
      <c r="D580" t="s">
        <v>21</v>
      </c>
      <c r="E580"/>
      <c r="F580" s="9" t="s">
        <v>2915</v>
      </c>
      <c r="G580" t="s">
        <v>2916</v>
      </c>
      <c r="H580" t="s">
        <v>48</v>
      </c>
      <c r="I580" t="s">
        <v>32</v>
      </c>
      <c r="J580" t="s">
        <v>2917</v>
      </c>
      <c r="K580" t="s">
        <v>2740</v>
      </c>
      <c r="L580" t="s">
        <v>2918</v>
      </c>
      <c r="M580" t="s">
        <v>27</v>
      </c>
      <c r="N580" t="str">
        <f>IF(Q580&lt;11,CONCATENATE(L580,"00"))</f>
        <v>33211995600</v>
      </c>
      <c r="O580" t="s">
        <v>2742</v>
      </c>
      <c r="P580" t="s">
        <v>2743</v>
      </c>
      <c r="Q580">
        <f t="shared" si="19"/>
        <v>9</v>
      </c>
      <c r="R580">
        <f t="shared" si="20"/>
        <v>11</v>
      </c>
      <c r="S580" s="20" t="s">
        <v>2977</v>
      </c>
    </row>
    <row r="581" spans="1:19" hidden="1" x14ac:dyDescent="0.25">
      <c r="A581" s="2">
        <v>579</v>
      </c>
      <c r="B581" s="11" t="s">
        <v>2975</v>
      </c>
      <c r="C581" t="s">
        <v>2919</v>
      </c>
      <c r="D581" t="s">
        <v>21</v>
      </c>
      <c r="E581"/>
      <c r="F581" s="9" t="s">
        <v>2920</v>
      </c>
      <c r="G581" t="s">
        <v>2921</v>
      </c>
      <c r="H581" t="s">
        <v>95</v>
      </c>
      <c r="I581" t="s">
        <v>32</v>
      </c>
      <c r="J581" t="s">
        <v>2922</v>
      </c>
      <c r="K581" t="s">
        <v>2740</v>
      </c>
      <c r="L581" t="s">
        <v>2923</v>
      </c>
      <c r="M581" t="s">
        <v>27</v>
      </c>
      <c r="N581" t="str">
        <f t="shared" si="18"/>
        <v>12484903450</v>
      </c>
      <c r="O581" t="s">
        <v>2742</v>
      </c>
      <c r="P581" t="s">
        <v>2743</v>
      </c>
      <c r="Q581">
        <f t="shared" si="19"/>
        <v>10</v>
      </c>
      <c r="R581">
        <f t="shared" si="20"/>
        <v>11</v>
      </c>
      <c r="S581" s="20" t="s">
        <v>2980</v>
      </c>
    </row>
    <row r="582" spans="1:19" hidden="1" x14ac:dyDescent="0.25">
      <c r="A582" s="3">
        <v>580</v>
      </c>
      <c r="B582" s="11" t="s">
        <v>2975</v>
      </c>
      <c r="C582" t="s">
        <v>2924</v>
      </c>
      <c r="D582" t="s">
        <v>21</v>
      </c>
      <c r="E582"/>
      <c r="F582" s="9" t="s">
        <v>2925</v>
      </c>
      <c r="G582" t="s">
        <v>2926</v>
      </c>
      <c r="H582" t="s">
        <v>2596</v>
      </c>
      <c r="I582" t="s">
        <v>32</v>
      </c>
      <c r="J582" t="s">
        <v>2927</v>
      </c>
      <c r="K582" t="s">
        <v>2740</v>
      </c>
      <c r="L582" t="s">
        <v>2596</v>
      </c>
      <c r="M582" t="s">
        <v>27</v>
      </c>
      <c r="N582" t="str">
        <f>IF(Q582&lt;11,CONCATENATE(L582,"000000000"))</f>
        <v>10000000000</v>
      </c>
      <c r="O582" t="s">
        <v>2742</v>
      </c>
      <c r="P582" t="s">
        <v>2743</v>
      </c>
      <c r="Q582">
        <f t="shared" si="19"/>
        <v>2</v>
      </c>
      <c r="R582">
        <f t="shared" si="20"/>
        <v>11</v>
      </c>
      <c r="S582" s="20" t="s">
        <v>2977</v>
      </c>
    </row>
    <row r="583" spans="1:19" hidden="1" x14ac:dyDescent="0.25">
      <c r="A583" s="2">
        <v>581</v>
      </c>
      <c r="B583" s="11" t="s">
        <v>2975</v>
      </c>
      <c r="C583" t="s">
        <v>2928</v>
      </c>
      <c r="D583" t="s">
        <v>21</v>
      </c>
      <c r="E583"/>
      <c r="F583" s="9" t="s">
        <v>2929</v>
      </c>
      <c r="G583" t="s">
        <v>2930</v>
      </c>
      <c r="H583" t="s">
        <v>2931</v>
      </c>
      <c r="I583" t="s">
        <v>32</v>
      </c>
      <c r="J583" t="s">
        <v>2932</v>
      </c>
      <c r="K583" t="s">
        <v>2740</v>
      </c>
      <c r="L583" t="s">
        <v>2933</v>
      </c>
      <c r="M583" t="s">
        <v>27</v>
      </c>
      <c r="N583" t="str">
        <f t="shared" si="18"/>
        <v>12581351780</v>
      </c>
      <c r="O583" t="s">
        <v>2742</v>
      </c>
      <c r="P583" t="s">
        <v>2743</v>
      </c>
      <c r="Q583">
        <f t="shared" si="19"/>
        <v>10</v>
      </c>
      <c r="R583">
        <f t="shared" si="20"/>
        <v>11</v>
      </c>
      <c r="S583" s="20" t="s">
        <v>2977</v>
      </c>
    </row>
    <row r="584" spans="1:19" hidden="1" x14ac:dyDescent="0.25">
      <c r="A584" s="3">
        <v>582</v>
      </c>
      <c r="B584" s="11" t="s">
        <v>2975</v>
      </c>
      <c r="C584" t="s">
        <v>2934</v>
      </c>
      <c r="D584" t="s">
        <v>21</v>
      </c>
      <c r="E584"/>
      <c r="F584" s="9" t="s">
        <v>2935</v>
      </c>
      <c r="G584" t="s">
        <v>2930</v>
      </c>
      <c r="H584" t="s">
        <v>2936</v>
      </c>
      <c r="I584" t="s">
        <v>32</v>
      </c>
      <c r="J584" t="s">
        <v>2937</v>
      </c>
      <c r="K584" t="s">
        <v>2740</v>
      </c>
      <c r="L584" t="s">
        <v>2938</v>
      </c>
      <c r="M584" t="s">
        <v>27</v>
      </c>
      <c r="N584" t="str">
        <f>IF(Q584&lt;11,CONCATENATE(L584,"00"))</f>
        <v>11111111000</v>
      </c>
      <c r="O584" t="s">
        <v>2742</v>
      </c>
      <c r="P584" t="s">
        <v>2743</v>
      </c>
      <c r="Q584">
        <f t="shared" si="19"/>
        <v>9</v>
      </c>
      <c r="R584">
        <f t="shared" si="20"/>
        <v>11</v>
      </c>
      <c r="S584" s="20" t="s">
        <v>2977</v>
      </c>
    </row>
    <row r="585" spans="1:19" hidden="1" x14ac:dyDescent="0.25">
      <c r="A585" s="2">
        <v>583</v>
      </c>
      <c r="B585" s="11" t="s">
        <v>2975</v>
      </c>
      <c r="C585" t="s">
        <v>2939</v>
      </c>
      <c r="D585" t="s">
        <v>21</v>
      </c>
      <c r="E585"/>
      <c r="F585" s="9" t="s">
        <v>2940</v>
      </c>
      <c r="G585" t="s">
        <v>2930</v>
      </c>
      <c r="H585" t="s">
        <v>368</v>
      </c>
      <c r="I585" t="s">
        <v>37</v>
      </c>
      <c r="J585" t="s">
        <v>2941</v>
      </c>
      <c r="K585" t="s">
        <v>2740</v>
      </c>
      <c r="L585" t="s">
        <v>2942</v>
      </c>
      <c r="M585" t="s">
        <v>27</v>
      </c>
      <c r="N585" t="str">
        <f>IF(Q585&lt;11,CONCATENATE(L585,"00"))</f>
        <v>11111111100</v>
      </c>
      <c r="O585" t="s">
        <v>2742</v>
      </c>
      <c r="P585" t="s">
        <v>2743</v>
      </c>
      <c r="Q585">
        <f t="shared" si="19"/>
        <v>9</v>
      </c>
      <c r="R585">
        <f t="shared" si="20"/>
        <v>11</v>
      </c>
      <c r="S585" s="20" t="s">
        <v>2977</v>
      </c>
    </row>
    <row r="586" spans="1:19" hidden="1" x14ac:dyDescent="0.25">
      <c r="A586" s="3">
        <v>584</v>
      </c>
      <c r="B586" s="11" t="s">
        <v>2975</v>
      </c>
      <c r="C586" t="s">
        <v>2943</v>
      </c>
      <c r="D586" t="s">
        <v>21</v>
      </c>
      <c r="E586"/>
      <c r="F586" s="9" t="s">
        <v>2944</v>
      </c>
      <c r="G586" t="s">
        <v>2930</v>
      </c>
      <c r="H586" t="s">
        <v>368</v>
      </c>
      <c r="I586" t="s">
        <v>24</v>
      </c>
      <c r="J586" t="s">
        <v>2945</v>
      </c>
      <c r="K586" t="s">
        <v>2740</v>
      </c>
      <c r="L586" t="s">
        <v>2946</v>
      </c>
      <c r="M586" t="s">
        <v>27</v>
      </c>
      <c r="N586" t="str">
        <f>IF(Q586&lt;11,CONCATENATE(L586,"000"))</f>
        <v>11111111000</v>
      </c>
      <c r="O586" t="s">
        <v>2742</v>
      </c>
      <c r="P586" t="s">
        <v>2743</v>
      </c>
      <c r="Q586">
        <f t="shared" si="19"/>
        <v>8</v>
      </c>
      <c r="R586">
        <f t="shared" si="20"/>
        <v>11</v>
      </c>
      <c r="S586" s="20" t="s">
        <v>2977</v>
      </c>
    </row>
    <row r="587" spans="1:19" hidden="1" x14ac:dyDescent="0.25">
      <c r="A587" s="2">
        <v>585</v>
      </c>
      <c r="B587" s="11" t="s">
        <v>2975</v>
      </c>
      <c r="C587" t="s">
        <v>2947</v>
      </c>
      <c r="D587" t="s">
        <v>21</v>
      </c>
      <c r="E587"/>
      <c r="F587" s="9" t="s">
        <v>2948</v>
      </c>
      <c r="G587" t="s">
        <v>2930</v>
      </c>
      <c r="H587" t="s">
        <v>95</v>
      </c>
      <c r="I587" t="s">
        <v>36</v>
      </c>
      <c r="J587" t="s">
        <v>2949</v>
      </c>
      <c r="K587" t="s">
        <v>2740</v>
      </c>
      <c r="L587" t="s">
        <v>2950</v>
      </c>
      <c r="M587" t="s">
        <v>27</v>
      </c>
      <c r="N587" t="str">
        <f>IF(Q587&lt;11,CONCATENATE(L587,"0000"))</f>
        <v>11111110000</v>
      </c>
      <c r="O587" t="s">
        <v>2742</v>
      </c>
      <c r="P587" t="s">
        <v>2743</v>
      </c>
      <c r="Q587">
        <f t="shared" si="19"/>
        <v>7</v>
      </c>
      <c r="R587">
        <f t="shared" si="20"/>
        <v>11</v>
      </c>
      <c r="S587" s="20" t="s">
        <v>2977</v>
      </c>
    </row>
    <row r="588" spans="1:19" hidden="1" x14ac:dyDescent="0.25">
      <c r="A588" s="3">
        <v>586</v>
      </c>
      <c r="B588" s="11" t="s">
        <v>2975</v>
      </c>
      <c r="C588" t="s">
        <v>2951</v>
      </c>
      <c r="D588" t="s">
        <v>21</v>
      </c>
      <c r="E588"/>
      <c r="F588" s="9" t="s">
        <v>2952</v>
      </c>
      <c r="G588" t="s">
        <v>2953</v>
      </c>
      <c r="H588" t="s">
        <v>120</v>
      </c>
      <c r="I588" t="s">
        <v>213</v>
      </c>
      <c r="J588" t="s">
        <v>2954</v>
      </c>
      <c r="K588" t="s">
        <v>2740</v>
      </c>
      <c r="L588" t="s">
        <v>2955</v>
      </c>
      <c r="M588" t="s">
        <v>27</v>
      </c>
      <c r="N588" t="str">
        <f>IF(Q588&lt;11,CONCATENATE(L588,"0000000"))</f>
        <v>11000000000</v>
      </c>
      <c r="O588" t="s">
        <v>2742</v>
      </c>
      <c r="P588" t="s">
        <v>2743</v>
      </c>
      <c r="Q588">
        <f t="shared" si="19"/>
        <v>4</v>
      </c>
      <c r="R588">
        <f t="shared" si="20"/>
        <v>11</v>
      </c>
      <c r="S588" s="20" t="s">
        <v>2978</v>
      </c>
    </row>
    <row r="589" spans="1:19" hidden="1" x14ac:dyDescent="0.25">
      <c r="A589" s="2">
        <v>587</v>
      </c>
      <c r="B589" s="11" t="s">
        <v>2975</v>
      </c>
      <c r="C589" t="s">
        <v>2956</v>
      </c>
      <c r="D589" t="s">
        <v>21</v>
      </c>
      <c r="E589"/>
      <c r="F589" s="9" t="s">
        <v>2957</v>
      </c>
      <c r="G589" t="s">
        <v>523</v>
      </c>
      <c r="H589" t="s">
        <v>2958</v>
      </c>
      <c r="I589" t="s">
        <v>32</v>
      </c>
      <c r="J589" t="s">
        <v>2959</v>
      </c>
      <c r="K589" t="s">
        <v>2740</v>
      </c>
      <c r="L589" t="s">
        <v>2960</v>
      </c>
      <c r="M589" t="s">
        <v>27</v>
      </c>
      <c r="N589" t="str">
        <f t="shared" si="18"/>
        <v>12718130260</v>
      </c>
      <c r="O589" t="s">
        <v>2742</v>
      </c>
      <c r="P589" t="s">
        <v>2743</v>
      </c>
      <c r="Q589">
        <f t="shared" si="19"/>
        <v>10</v>
      </c>
      <c r="R589">
        <f t="shared" si="20"/>
        <v>11</v>
      </c>
      <c r="S589" s="20" t="s">
        <v>2977</v>
      </c>
    </row>
    <row r="590" spans="1:19" hidden="1" x14ac:dyDescent="0.25">
      <c r="A590" s="3">
        <v>588</v>
      </c>
      <c r="B590" s="11" t="s">
        <v>2975</v>
      </c>
      <c r="C590" t="s">
        <v>2961</v>
      </c>
      <c r="D590" t="s">
        <v>21</v>
      </c>
      <c r="E590"/>
      <c r="F590" s="9" t="s">
        <v>2962</v>
      </c>
      <c r="G590" t="s">
        <v>257</v>
      </c>
      <c r="H590" t="s">
        <v>2963</v>
      </c>
      <c r="I590" t="s">
        <v>32</v>
      </c>
      <c r="J590" t="s">
        <v>2964</v>
      </c>
      <c r="K590" t="s">
        <v>2740</v>
      </c>
      <c r="L590" t="s">
        <v>2965</v>
      </c>
      <c r="M590" t="s">
        <v>27</v>
      </c>
      <c r="N590" t="str">
        <f t="shared" si="18"/>
        <v>20786549910</v>
      </c>
      <c r="O590" t="s">
        <v>2742</v>
      </c>
      <c r="P590" t="s">
        <v>2743</v>
      </c>
      <c r="Q590">
        <f t="shared" si="19"/>
        <v>10</v>
      </c>
      <c r="R590">
        <f t="shared" si="20"/>
        <v>11</v>
      </c>
      <c r="S590" s="20" t="s">
        <v>2977</v>
      </c>
    </row>
    <row r="591" spans="1:19" hidden="1" x14ac:dyDescent="0.25">
      <c r="A591" s="2">
        <v>589</v>
      </c>
      <c r="B591" s="11" t="s">
        <v>2975</v>
      </c>
      <c r="C591" t="s">
        <v>2966</v>
      </c>
      <c r="D591" t="s">
        <v>21</v>
      </c>
      <c r="E591"/>
      <c r="F591" s="9" t="s">
        <v>2967</v>
      </c>
      <c r="G591" t="s">
        <v>523</v>
      </c>
      <c r="H591" t="s">
        <v>2968</v>
      </c>
      <c r="I591" t="s">
        <v>32</v>
      </c>
      <c r="J591" t="s">
        <v>2969</v>
      </c>
      <c r="K591" t="s">
        <v>2740</v>
      </c>
      <c r="L591" t="s">
        <v>2970</v>
      </c>
      <c r="M591" t="s">
        <v>27</v>
      </c>
      <c r="N591" t="str">
        <f>IF(Q591&lt;11,CONCATENATE(L591,"0000000"))</f>
        <v>10000000000</v>
      </c>
      <c r="O591" t="s">
        <v>2742</v>
      </c>
      <c r="P591" t="s">
        <v>2743</v>
      </c>
      <c r="Q591">
        <f t="shared" si="19"/>
        <v>4</v>
      </c>
      <c r="R591">
        <f t="shared" si="20"/>
        <v>11</v>
      </c>
      <c r="S591" s="20" t="s">
        <v>2977</v>
      </c>
    </row>
    <row r="592" spans="1:19" hidden="1" x14ac:dyDescent="0.25">
      <c r="A592" s="3">
        <v>590</v>
      </c>
      <c r="B592" s="11" t="s">
        <v>2975</v>
      </c>
      <c r="C592" t="s">
        <v>2971</v>
      </c>
      <c r="D592" t="s">
        <v>21</v>
      </c>
      <c r="E592"/>
      <c r="F592" s="9" t="s">
        <v>2972</v>
      </c>
      <c r="G592" t="s">
        <v>449</v>
      </c>
      <c r="H592" t="s">
        <v>387</v>
      </c>
      <c r="I592" t="s">
        <v>32</v>
      </c>
      <c r="J592" t="s">
        <v>2973</v>
      </c>
      <c r="K592" t="s">
        <v>2740</v>
      </c>
      <c r="L592" t="s">
        <v>2974</v>
      </c>
      <c r="M592" t="s">
        <v>27</v>
      </c>
      <c r="N592" t="str">
        <f t="shared" si="18"/>
        <v>99999999990</v>
      </c>
      <c r="O592" t="s">
        <v>2742</v>
      </c>
      <c r="P592" t="s">
        <v>2743</v>
      </c>
      <c r="Q592">
        <f t="shared" si="19"/>
        <v>10</v>
      </c>
      <c r="R592">
        <f t="shared" si="20"/>
        <v>11</v>
      </c>
      <c r="S592" s="20" t="s">
        <v>2977</v>
      </c>
    </row>
  </sheetData>
  <autoFilter ref="A1:S592" xr:uid="{E6D0D339-152E-4A02-A8BC-923F96AED723}">
    <filterColumn colId="15">
      <filters>
        <filter val="Gestão de Clientes_Trem de Produção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CriticasSIB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ALZ ServiceQA</cp:lastModifiedBy>
  <dcterms:created xsi:type="dcterms:W3CDTF">2019-12-05T21:38:04Z</dcterms:created>
  <dcterms:modified xsi:type="dcterms:W3CDTF">2020-03-20T18:49:19Z</dcterms:modified>
</cp:coreProperties>
</file>