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Saude\Docs\"/>
    </mc:Choice>
  </mc:AlternateContent>
  <bookViews>
    <workbookView xWindow="-120" yWindow="-120" windowWidth="29040" windowHeight="15840"/>
  </bookViews>
  <sheets>
    <sheet name="CriticasSIB" sheetId="1" r:id="rId1"/>
  </sheets>
  <definedNames>
    <definedName name="_xlnm._FilterDatabase" localSheetId="0" hidden="1">CriticasSIB!$A$1:$S$592</definedName>
  </definedNames>
  <calcPr calcId="17102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16" i="1" l="1"/>
  <c r="Q516" i="1"/>
  <c r="R515" i="1"/>
  <c r="Q515" i="1"/>
  <c r="R514" i="1"/>
  <c r="Q514" i="1"/>
  <c r="R513" i="1"/>
  <c r="Q513" i="1"/>
  <c r="R512" i="1"/>
  <c r="Q512" i="1"/>
  <c r="R511" i="1"/>
  <c r="Q511" i="1"/>
  <c r="R510" i="1"/>
  <c r="Q510" i="1"/>
  <c r="R509" i="1"/>
  <c r="Q509" i="1"/>
  <c r="R508" i="1"/>
  <c r="Q508" i="1"/>
  <c r="R507" i="1"/>
  <c r="Q507" i="1"/>
  <c r="R506" i="1"/>
  <c r="Q506" i="1"/>
  <c r="R505" i="1"/>
  <c r="Q505" i="1"/>
  <c r="R504" i="1"/>
  <c r="Q504" i="1"/>
  <c r="R503" i="1"/>
  <c r="Q503" i="1"/>
  <c r="R502" i="1"/>
  <c r="Q502" i="1"/>
  <c r="R501" i="1"/>
  <c r="Q501" i="1"/>
  <c r="R500" i="1"/>
  <c r="Q500" i="1"/>
  <c r="R499" i="1"/>
  <c r="Q499" i="1"/>
  <c r="R498" i="1"/>
  <c r="Q498" i="1"/>
  <c r="R497" i="1"/>
  <c r="Q497" i="1"/>
  <c r="R496" i="1"/>
  <c r="Q496" i="1"/>
  <c r="R495" i="1"/>
  <c r="Q495" i="1"/>
  <c r="R494" i="1"/>
  <c r="Q494" i="1"/>
  <c r="R493" i="1"/>
  <c r="Q493" i="1"/>
  <c r="R492" i="1"/>
  <c r="Q492" i="1"/>
  <c r="R491" i="1"/>
  <c r="Q491" i="1"/>
  <c r="R490" i="1"/>
  <c r="Q490" i="1"/>
  <c r="R489" i="1"/>
  <c r="Q489" i="1"/>
  <c r="R488" i="1"/>
  <c r="Q488" i="1"/>
  <c r="R487" i="1"/>
  <c r="Q487" i="1"/>
  <c r="R486" i="1"/>
  <c r="Q486" i="1"/>
  <c r="R485" i="1"/>
  <c r="Q485" i="1"/>
  <c r="R484" i="1"/>
  <c r="Q484" i="1"/>
  <c r="R483" i="1"/>
  <c r="Q483" i="1"/>
  <c r="R482" i="1"/>
  <c r="Q482" i="1"/>
  <c r="R481" i="1"/>
  <c r="Q481" i="1"/>
  <c r="R480" i="1"/>
  <c r="Q480" i="1"/>
  <c r="R479" i="1"/>
  <c r="Q479" i="1"/>
  <c r="R478" i="1"/>
  <c r="Q478" i="1"/>
  <c r="R477" i="1"/>
  <c r="Q477" i="1"/>
  <c r="R476" i="1"/>
  <c r="Q476" i="1"/>
  <c r="R475" i="1"/>
  <c r="Q475" i="1"/>
  <c r="R474" i="1"/>
  <c r="Q474" i="1"/>
  <c r="R473" i="1"/>
  <c r="Q473" i="1"/>
  <c r="R472" i="1"/>
  <c r="Q472" i="1"/>
  <c r="R471" i="1"/>
  <c r="Q471" i="1"/>
  <c r="R470" i="1"/>
  <c r="Q470" i="1"/>
  <c r="R469" i="1"/>
  <c r="Q469" i="1"/>
  <c r="R468" i="1"/>
  <c r="Q468" i="1"/>
  <c r="R467" i="1"/>
  <c r="Q467" i="1"/>
  <c r="R466" i="1"/>
  <c r="Q466" i="1"/>
  <c r="R465" i="1"/>
  <c r="Q465" i="1"/>
  <c r="R464" i="1"/>
  <c r="Q464" i="1"/>
  <c r="R463" i="1"/>
  <c r="Q463" i="1"/>
  <c r="R462" i="1"/>
  <c r="Q462" i="1"/>
  <c r="R461" i="1"/>
  <c r="Q461" i="1"/>
  <c r="R460" i="1"/>
  <c r="Q460" i="1"/>
  <c r="R459" i="1"/>
  <c r="Q459" i="1"/>
  <c r="R458" i="1"/>
  <c r="Q458" i="1"/>
  <c r="R457" i="1"/>
  <c r="Q457" i="1"/>
  <c r="R456" i="1"/>
  <c r="Q456" i="1"/>
  <c r="R455" i="1"/>
  <c r="Q455" i="1"/>
  <c r="R454" i="1"/>
  <c r="Q454" i="1"/>
  <c r="R453" i="1"/>
  <c r="Q453" i="1"/>
  <c r="R452" i="1"/>
  <c r="Q452" i="1"/>
  <c r="R451" i="1"/>
  <c r="Q451" i="1"/>
  <c r="R450" i="1"/>
  <c r="Q450" i="1"/>
  <c r="R449" i="1"/>
  <c r="Q449" i="1"/>
  <c r="R448" i="1"/>
  <c r="Q448" i="1"/>
  <c r="R447" i="1"/>
  <c r="Q447" i="1"/>
  <c r="R446" i="1"/>
  <c r="Q446" i="1"/>
  <c r="R445" i="1"/>
  <c r="Q445" i="1"/>
  <c r="R444" i="1"/>
  <c r="Q444" i="1"/>
  <c r="R443" i="1"/>
  <c r="Q443" i="1"/>
  <c r="R442" i="1"/>
  <c r="Q442" i="1"/>
  <c r="R441" i="1"/>
  <c r="Q441" i="1"/>
  <c r="R440" i="1"/>
  <c r="Q440" i="1"/>
  <c r="R439" i="1"/>
  <c r="Q439" i="1"/>
  <c r="R438" i="1"/>
  <c r="Q438" i="1"/>
  <c r="R437" i="1"/>
  <c r="Q437" i="1"/>
  <c r="R436" i="1"/>
  <c r="Q436" i="1"/>
  <c r="R435" i="1"/>
  <c r="Q435" i="1"/>
  <c r="R434" i="1"/>
  <c r="Q434" i="1"/>
  <c r="R433" i="1"/>
  <c r="Q433" i="1"/>
  <c r="R432" i="1"/>
  <c r="Q432" i="1"/>
  <c r="R431" i="1"/>
  <c r="Q431" i="1"/>
  <c r="R430" i="1"/>
  <c r="Q430" i="1"/>
  <c r="R429" i="1"/>
  <c r="Q429" i="1"/>
  <c r="R428" i="1"/>
  <c r="Q428" i="1"/>
  <c r="R427" i="1"/>
  <c r="Q427" i="1"/>
  <c r="R426" i="1"/>
  <c r="Q426" i="1"/>
  <c r="R425" i="1"/>
  <c r="Q425" i="1"/>
  <c r="R424" i="1"/>
  <c r="Q424" i="1"/>
  <c r="R423" i="1"/>
  <c r="Q423" i="1"/>
  <c r="R422" i="1"/>
  <c r="Q422" i="1"/>
  <c r="R421" i="1"/>
  <c r="Q421" i="1"/>
  <c r="R420" i="1"/>
  <c r="Q420" i="1"/>
  <c r="R419" i="1"/>
  <c r="Q419" i="1"/>
  <c r="R418" i="1"/>
  <c r="Q418" i="1"/>
  <c r="R417" i="1"/>
  <c r="Q417" i="1"/>
  <c r="R416" i="1"/>
  <c r="Q416" i="1"/>
  <c r="R415" i="1"/>
  <c r="Q415" i="1"/>
  <c r="R414" i="1"/>
  <c r="Q414" i="1"/>
  <c r="R413" i="1"/>
  <c r="Q413" i="1"/>
  <c r="R412" i="1"/>
  <c r="Q412" i="1"/>
  <c r="R411" i="1"/>
  <c r="Q411" i="1"/>
  <c r="R410" i="1"/>
  <c r="Q410" i="1"/>
  <c r="R409" i="1"/>
  <c r="Q409" i="1"/>
  <c r="R408" i="1"/>
  <c r="Q408" i="1"/>
  <c r="R407" i="1"/>
  <c r="Q407" i="1"/>
  <c r="R406" i="1"/>
  <c r="Q406" i="1"/>
  <c r="R405" i="1"/>
  <c r="Q405" i="1"/>
  <c r="R404" i="1"/>
  <c r="Q404" i="1"/>
  <c r="R403" i="1"/>
  <c r="Q403" i="1"/>
  <c r="R402" i="1"/>
  <c r="Q402" i="1"/>
  <c r="R401" i="1"/>
  <c r="Q401" i="1"/>
  <c r="R400" i="1"/>
  <c r="Q400" i="1"/>
  <c r="R399" i="1"/>
  <c r="Q399" i="1"/>
  <c r="R398" i="1"/>
  <c r="Q398" i="1"/>
  <c r="R397" i="1"/>
  <c r="Q397" i="1"/>
  <c r="R396" i="1"/>
  <c r="Q396" i="1"/>
  <c r="R395" i="1"/>
  <c r="Q395" i="1"/>
  <c r="R394" i="1"/>
  <c r="Q394" i="1"/>
  <c r="R393" i="1"/>
  <c r="Q393" i="1"/>
  <c r="R392" i="1"/>
  <c r="Q392" i="1"/>
  <c r="R391" i="1"/>
  <c r="Q391" i="1"/>
  <c r="R390" i="1"/>
  <c r="Q390" i="1"/>
  <c r="R389" i="1"/>
  <c r="Q389" i="1"/>
  <c r="R388" i="1"/>
  <c r="Q388" i="1"/>
  <c r="R387" i="1"/>
  <c r="Q387" i="1"/>
  <c r="R386" i="1"/>
  <c r="Q386" i="1"/>
  <c r="R385" i="1"/>
  <c r="Q385" i="1"/>
  <c r="R384" i="1"/>
  <c r="Q384" i="1"/>
  <c r="R383" i="1"/>
  <c r="Q383" i="1"/>
  <c r="R382" i="1"/>
  <c r="Q382" i="1"/>
  <c r="R381" i="1"/>
  <c r="Q381" i="1"/>
  <c r="R380" i="1"/>
  <c r="Q380" i="1"/>
  <c r="R379" i="1"/>
  <c r="Q379" i="1"/>
  <c r="R378" i="1"/>
  <c r="Q378" i="1"/>
  <c r="R377" i="1"/>
  <c r="Q377" i="1"/>
  <c r="R376" i="1"/>
  <c r="Q376" i="1"/>
  <c r="R375" i="1"/>
  <c r="Q375" i="1"/>
  <c r="R374" i="1"/>
  <c r="Q374" i="1"/>
  <c r="R373" i="1"/>
  <c r="Q373" i="1"/>
  <c r="R372" i="1"/>
  <c r="Q372" i="1"/>
  <c r="R371" i="1"/>
  <c r="Q371" i="1"/>
  <c r="R370" i="1"/>
  <c r="Q370" i="1"/>
  <c r="R369" i="1"/>
  <c r="Q369" i="1"/>
  <c r="R368" i="1"/>
  <c r="Q368" i="1"/>
  <c r="R367" i="1"/>
  <c r="Q367" i="1"/>
  <c r="R366" i="1"/>
  <c r="Q366" i="1"/>
  <c r="R365" i="1"/>
  <c r="Q365" i="1"/>
  <c r="R364" i="1"/>
  <c r="Q364" i="1"/>
  <c r="R363" i="1"/>
  <c r="Q363" i="1"/>
  <c r="R362" i="1"/>
  <c r="Q362" i="1"/>
  <c r="R361" i="1"/>
  <c r="Q361" i="1"/>
  <c r="R360" i="1"/>
  <c r="Q360" i="1"/>
  <c r="R359" i="1"/>
  <c r="Q359" i="1"/>
  <c r="R358" i="1"/>
  <c r="Q358" i="1"/>
  <c r="R357" i="1"/>
  <c r="Q357" i="1"/>
  <c r="R356" i="1"/>
  <c r="Q356" i="1"/>
  <c r="R355" i="1"/>
  <c r="Q355" i="1"/>
  <c r="R354" i="1"/>
  <c r="Q354" i="1"/>
  <c r="R353" i="1"/>
  <c r="Q353" i="1"/>
  <c r="R352" i="1"/>
  <c r="Q352" i="1"/>
  <c r="R351" i="1"/>
  <c r="Q351" i="1"/>
  <c r="R350" i="1"/>
  <c r="Q350" i="1"/>
  <c r="R349" i="1"/>
  <c r="Q349" i="1"/>
  <c r="R348" i="1"/>
  <c r="Q348" i="1"/>
  <c r="R347" i="1"/>
  <c r="Q347" i="1"/>
  <c r="R346" i="1"/>
  <c r="Q346" i="1"/>
  <c r="R345" i="1"/>
  <c r="Q345" i="1"/>
  <c r="R344" i="1"/>
  <c r="Q344" i="1"/>
  <c r="R343" i="1"/>
  <c r="Q343" i="1"/>
  <c r="R342" i="1"/>
  <c r="Q342" i="1"/>
  <c r="R341" i="1"/>
  <c r="Q341" i="1"/>
  <c r="R340" i="1"/>
  <c r="Q340" i="1"/>
  <c r="R339" i="1"/>
  <c r="Q339" i="1"/>
  <c r="R338" i="1"/>
  <c r="Q338" i="1"/>
  <c r="R337" i="1"/>
  <c r="Q337" i="1"/>
  <c r="R336" i="1"/>
  <c r="Q336" i="1"/>
  <c r="R335" i="1"/>
  <c r="Q335" i="1"/>
  <c r="R334" i="1"/>
  <c r="Q334" i="1"/>
  <c r="R333" i="1"/>
  <c r="Q333" i="1"/>
  <c r="R332" i="1"/>
  <c r="Q332" i="1"/>
  <c r="R331" i="1"/>
  <c r="Q331" i="1"/>
  <c r="R330" i="1"/>
  <c r="Q330" i="1"/>
  <c r="R329" i="1"/>
  <c r="Q329" i="1"/>
  <c r="R328" i="1"/>
  <c r="Q328" i="1"/>
  <c r="R327" i="1"/>
  <c r="Q327" i="1"/>
  <c r="R326" i="1"/>
  <c r="Q326" i="1"/>
  <c r="R325" i="1"/>
  <c r="Q325" i="1"/>
  <c r="R324" i="1"/>
  <c r="Q324" i="1"/>
  <c r="R323" i="1"/>
  <c r="Q323" i="1"/>
  <c r="R322" i="1"/>
  <c r="Q322" i="1"/>
  <c r="R321" i="1"/>
  <c r="Q321" i="1"/>
  <c r="R320" i="1"/>
  <c r="Q320" i="1"/>
  <c r="R319" i="1"/>
  <c r="Q319" i="1"/>
  <c r="R318" i="1"/>
  <c r="Q318" i="1"/>
  <c r="R317" i="1"/>
  <c r="Q317" i="1"/>
  <c r="R316" i="1"/>
  <c r="Q316" i="1"/>
  <c r="R315" i="1"/>
  <c r="Q315" i="1"/>
  <c r="R314" i="1"/>
  <c r="Q314" i="1"/>
  <c r="R313" i="1"/>
  <c r="Q313" i="1"/>
  <c r="R312" i="1"/>
  <c r="Q312" i="1"/>
  <c r="R311" i="1"/>
  <c r="Q311" i="1"/>
  <c r="R310" i="1"/>
  <c r="Q310" i="1"/>
  <c r="R309" i="1"/>
  <c r="Q309" i="1"/>
  <c r="R308" i="1"/>
  <c r="Q308" i="1"/>
  <c r="R307" i="1"/>
  <c r="Q307" i="1"/>
  <c r="R306" i="1"/>
  <c r="Q306" i="1"/>
  <c r="R305" i="1"/>
  <c r="Q305" i="1"/>
  <c r="R304" i="1"/>
  <c r="Q304" i="1"/>
  <c r="R303" i="1"/>
  <c r="Q303" i="1"/>
  <c r="R302" i="1"/>
  <c r="Q302" i="1"/>
  <c r="R301" i="1"/>
  <c r="Q301" i="1"/>
  <c r="R300" i="1"/>
  <c r="Q300" i="1"/>
  <c r="R299" i="1"/>
  <c r="Q299" i="1"/>
  <c r="R298" i="1"/>
  <c r="Q298" i="1"/>
  <c r="R297" i="1"/>
  <c r="Q297" i="1"/>
  <c r="R296" i="1"/>
  <c r="Q296" i="1"/>
  <c r="R295" i="1"/>
  <c r="Q295" i="1"/>
  <c r="R294" i="1"/>
  <c r="Q294" i="1"/>
  <c r="R293" i="1"/>
  <c r="Q293" i="1"/>
  <c r="R292" i="1"/>
  <c r="Q292" i="1"/>
  <c r="R291" i="1"/>
  <c r="Q291" i="1"/>
  <c r="R290" i="1"/>
  <c r="Q290" i="1"/>
  <c r="R289" i="1"/>
  <c r="Q289" i="1"/>
  <c r="R288" i="1"/>
  <c r="Q288" i="1"/>
  <c r="R287" i="1"/>
  <c r="Q287" i="1"/>
  <c r="R286" i="1"/>
  <c r="Q286" i="1"/>
  <c r="R285" i="1"/>
  <c r="Q285" i="1"/>
  <c r="R284" i="1"/>
  <c r="Q284" i="1"/>
  <c r="R283" i="1"/>
  <c r="Q283" i="1"/>
  <c r="R282" i="1"/>
  <c r="Q282" i="1"/>
  <c r="R281" i="1"/>
  <c r="Q281" i="1"/>
  <c r="R280" i="1"/>
  <c r="Q280" i="1"/>
  <c r="R279" i="1"/>
  <c r="Q279" i="1"/>
  <c r="R278" i="1"/>
  <c r="Q278" i="1"/>
  <c r="R277" i="1"/>
  <c r="Q277" i="1"/>
  <c r="R276" i="1"/>
  <c r="Q276" i="1"/>
  <c r="R275" i="1"/>
  <c r="Q275" i="1"/>
  <c r="R274" i="1"/>
  <c r="Q274" i="1"/>
  <c r="R273" i="1"/>
  <c r="Q273" i="1"/>
  <c r="R272" i="1"/>
  <c r="Q272" i="1"/>
  <c r="R271" i="1"/>
  <c r="Q271" i="1"/>
  <c r="R270" i="1"/>
  <c r="Q270" i="1"/>
  <c r="R269" i="1"/>
  <c r="Q269" i="1"/>
  <c r="R268" i="1"/>
  <c r="Q268" i="1"/>
  <c r="R267" i="1"/>
  <c r="Q267" i="1"/>
  <c r="R266" i="1"/>
  <c r="Q266" i="1"/>
  <c r="R265" i="1"/>
  <c r="Q265" i="1"/>
  <c r="R264" i="1"/>
  <c r="Q264" i="1"/>
  <c r="R263" i="1"/>
  <c r="Q263" i="1"/>
  <c r="R262" i="1"/>
  <c r="Q262" i="1"/>
  <c r="R261" i="1"/>
  <c r="Q261" i="1"/>
  <c r="R260" i="1"/>
  <c r="Q260" i="1"/>
  <c r="R259" i="1"/>
  <c r="Q259" i="1"/>
  <c r="R258" i="1"/>
  <c r="Q258" i="1"/>
  <c r="R257" i="1"/>
  <c r="Q257" i="1"/>
  <c r="R256" i="1"/>
  <c r="Q256" i="1"/>
  <c r="R255" i="1"/>
  <c r="Q255" i="1"/>
  <c r="R254" i="1"/>
  <c r="Q254" i="1"/>
  <c r="R253" i="1"/>
  <c r="Q253" i="1"/>
  <c r="R252" i="1"/>
  <c r="Q252" i="1"/>
  <c r="R251" i="1"/>
  <c r="Q251" i="1"/>
  <c r="R250" i="1"/>
  <c r="Q250" i="1"/>
  <c r="R249" i="1"/>
  <c r="Q249" i="1"/>
  <c r="R248" i="1"/>
  <c r="Q248" i="1"/>
  <c r="R247" i="1"/>
  <c r="Q247" i="1"/>
  <c r="R246" i="1"/>
  <c r="Q246" i="1"/>
  <c r="R245" i="1"/>
  <c r="Q245" i="1"/>
  <c r="R244" i="1"/>
  <c r="Q244" i="1"/>
  <c r="R243" i="1"/>
  <c r="Q243" i="1"/>
  <c r="R242" i="1"/>
  <c r="Q242" i="1"/>
  <c r="R241" i="1"/>
  <c r="Q241" i="1"/>
  <c r="R240" i="1"/>
  <c r="Q240" i="1"/>
  <c r="R239" i="1"/>
  <c r="Q239" i="1"/>
  <c r="R238" i="1"/>
  <c r="Q238" i="1"/>
  <c r="R237" i="1"/>
  <c r="Q237" i="1"/>
  <c r="R236" i="1"/>
  <c r="Q236" i="1"/>
  <c r="R235" i="1"/>
  <c r="Q235" i="1"/>
  <c r="R234" i="1"/>
  <c r="Q234" i="1"/>
  <c r="R233" i="1"/>
  <c r="Q233" i="1"/>
  <c r="R232" i="1"/>
  <c r="Q232" i="1"/>
  <c r="R231" i="1"/>
  <c r="Q231" i="1"/>
  <c r="R230" i="1"/>
  <c r="Q230" i="1"/>
  <c r="R229" i="1"/>
  <c r="Q229" i="1"/>
  <c r="R228" i="1"/>
  <c r="Q228" i="1"/>
  <c r="R227" i="1"/>
  <c r="Q227" i="1"/>
  <c r="R226" i="1"/>
  <c r="Q226" i="1"/>
  <c r="R225" i="1"/>
  <c r="Q225" i="1"/>
  <c r="R224" i="1"/>
  <c r="Q224" i="1"/>
  <c r="R223" i="1"/>
  <c r="Q223" i="1"/>
  <c r="R222" i="1"/>
  <c r="Q222" i="1"/>
  <c r="R221" i="1"/>
  <c r="Q221" i="1"/>
  <c r="R220" i="1"/>
  <c r="Q220" i="1"/>
  <c r="R219" i="1"/>
  <c r="Q219" i="1"/>
  <c r="R218" i="1"/>
  <c r="Q218" i="1"/>
  <c r="R217" i="1"/>
  <c r="Q217" i="1"/>
  <c r="R216" i="1"/>
  <c r="Q216" i="1"/>
  <c r="R215" i="1"/>
  <c r="Q215" i="1"/>
  <c r="R214" i="1"/>
  <c r="Q214" i="1"/>
  <c r="R213" i="1"/>
  <c r="Q213" i="1"/>
  <c r="R212" i="1"/>
  <c r="Q212" i="1"/>
  <c r="R211" i="1"/>
  <c r="Q211" i="1"/>
  <c r="R210" i="1"/>
  <c r="Q210" i="1"/>
  <c r="R209" i="1"/>
  <c r="Q209" i="1"/>
  <c r="R208" i="1"/>
  <c r="Q208" i="1"/>
  <c r="R207" i="1"/>
  <c r="Q207" i="1"/>
  <c r="R206" i="1"/>
  <c r="Q206" i="1"/>
  <c r="R205" i="1"/>
  <c r="Q205" i="1"/>
  <c r="R204" i="1"/>
  <c r="Q204" i="1"/>
  <c r="R203" i="1"/>
  <c r="Q203" i="1"/>
  <c r="R202" i="1"/>
  <c r="Q202" i="1"/>
  <c r="R201" i="1"/>
  <c r="Q201" i="1"/>
  <c r="R200" i="1"/>
  <c r="Q200" i="1"/>
  <c r="R199" i="1"/>
  <c r="Q199" i="1"/>
  <c r="R198" i="1"/>
  <c r="Q198" i="1"/>
  <c r="R197" i="1"/>
  <c r="Q197" i="1"/>
  <c r="R196" i="1"/>
  <c r="Q196" i="1"/>
  <c r="R195" i="1"/>
  <c r="Q195" i="1"/>
  <c r="R194" i="1"/>
  <c r="Q194" i="1"/>
  <c r="R193" i="1"/>
  <c r="Q193" i="1"/>
  <c r="R192" i="1"/>
  <c r="Q192" i="1"/>
  <c r="R191" i="1"/>
  <c r="Q191" i="1"/>
  <c r="R190" i="1"/>
  <c r="Q190" i="1"/>
  <c r="R189" i="1"/>
  <c r="Q189" i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R179" i="1"/>
  <c r="Q179" i="1"/>
  <c r="R178" i="1"/>
  <c r="Q178" i="1"/>
  <c r="R177" i="1"/>
  <c r="Q177" i="1"/>
  <c r="R176" i="1"/>
  <c r="Q176" i="1"/>
  <c r="R175" i="1"/>
  <c r="Q175" i="1"/>
  <c r="R174" i="1"/>
  <c r="Q174" i="1"/>
  <c r="R173" i="1"/>
  <c r="Q173" i="1"/>
  <c r="R172" i="1"/>
  <c r="Q172" i="1"/>
  <c r="R171" i="1"/>
  <c r="Q171" i="1"/>
  <c r="R170" i="1"/>
  <c r="Q170" i="1"/>
  <c r="R169" i="1"/>
  <c r="Q169" i="1"/>
  <c r="R168" i="1"/>
  <c r="Q168" i="1"/>
  <c r="R167" i="1"/>
  <c r="Q167" i="1"/>
  <c r="R166" i="1"/>
  <c r="Q166" i="1"/>
  <c r="R165" i="1"/>
  <c r="Q165" i="1"/>
  <c r="R164" i="1"/>
  <c r="Q164" i="1"/>
  <c r="R163" i="1"/>
  <c r="Q163" i="1"/>
  <c r="R162" i="1"/>
  <c r="Q162" i="1"/>
  <c r="R161" i="1"/>
  <c r="Q161" i="1"/>
  <c r="R160" i="1"/>
  <c r="Q160" i="1"/>
  <c r="R159" i="1"/>
  <c r="Q159" i="1"/>
  <c r="R158" i="1"/>
  <c r="Q158" i="1"/>
  <c r="R157" i="1"/>
  <c r="Q157" i="1"/>
  <c r="R156" i="1"/>
  <c r="Q156" i="1"/>
  <c r="R155" i="1"/>
  <c r="Q155" i="1"/>
  <c r="R154" i="1"/>
  <c r="Q154" i="1"/>
  <c r="R153" i="1"/>
  <c r="Q153" i="1"/>
  <c r="R152" i="1"/>
  <c r="Q152" i="1"/>
  <c r="R151" i="1"/>
  <c r="Q151" i="1"/>
  <c r="R150" i="1"/>
  <c r="Q150" i="1"/>
  <c r="R149" i="1"/>
  <c r="Q149" i="1"/>
  <c r="R148" i="1"/>
  <c r="Q148" i="1"/>
  <c r="R147" i="1"/>
  <c r="Q147" i="1"/>
  <c r="R146" i="1"/>
  <c r="Q146" i="1"/>
  <c r="R145" i="1"/>
  <c r="Q145" i="1"/>
  <c r="R144" i="1"/>
  <c r="Q144" i="1"/>
  <c r="R143" i="1"/>
  <c r="Q143" i="1"/>
  <c r="R142" i="1"/>
  <c r="Q142" i="1"/>
  <c r="R141" i="1"/>
  <c r="Q141" i="1"/>
  <c r="R140" i="1"/>
  <c r="Q140" i="1"/>
  <c r="R139" i="1"/>
  <c r="Q139" i="1"/>
  <c r="R138" i="1"/>
  <c r="Q138" i="1"/>
  <c r="R137" i="1"/>
  <c r="Q137" i="1"/>
  <c r="R136" i="1"/>
  <c r="Q136" i="1"/>
  <c r="R135" i="1"/>
  <c r="Q135" i="1"/>
  <c r="R134" i="1"/>
  <c r="Q134" i="1"/>
  <c r="R133" i="1"/>
  <c r="Q133" i="1"/>
  <c r="R132" i="1"/>
  <c r="Q132" i="1"/>
  <c r="R131" i="1"/>
  <c r="Q131" i="1"/>
  <c r="R130" i="1"/>
  <c r="Q130" i="1"/>
  <c r="R129" i="1"/>
  <c r="Q129" i="1"/>
  <c r="R128" i="1"/>
  <c r="Q128" i="1"/>
  <c r="R127" i="1"/>
  <c r="Q127" i="1"/>
  <c r="R126" i="1"/>
  <c r="Q126" i="1"/>
  <c r="R125" i="1"/>
  <c r="Q125" i="1"/>
  <c r="R124" i="1"/>
  <c r="Q124" i="1"/>
  <c r="R123" i="1"/>
  <c r="Q123" i="1"/>
  <c r="R122" i="1"/>
  <c r="Q122" i="1"/>
  <c r="R121" i="1"/>
  <c r="Q121" i="1"/>
  <c r="R120" i="1"/>
  <c r="Q120" i="1"/>
  <c r="R119" i="1"/>
  <c r="Q119" i="1"/>
  <c r="R118" i="1"/>
  <c r="Q118" i="1"/>
  <c r="R117" i="1"/>
  <c r="Q117" i="1"/>
  <c r="R116" i="1"/>
  <c r="Q116" i="1"/>
  <c r="R115" i="1"/>
  <c r="Q115" i="1"/>
  <c r="R114" i="1"/>
  <c r="Q114" i="1"/>
  <c r="R113" i="1"/>
  <c r="Q113" i="1"/>
  <c r="R112" i="1"/>
  <c r="Q112" i="1"/>
  <c r="R111" i="1"/>
  <c r="Q111" i="1"/>
  <c r="R110" i="1"/>
  <c r="Q110" i="1"/>
  <c r="R109" i="1"/>
  <c r="Q109" i="1"/>
  <c r="R108" i="1"/>
  <c r="Q108" i="1"/>
  <c r="R107" i="1"/>
  <c r="Q107" i="1"/>
  <c r="R106" i="1"/>
  <c r="Q106" i="1"/>
  <c r="R105" i="1"/>
  <c r="Q105" i="1"/>
  <c r="R104" i="1"/>
  <c r="Q104" i="1"/>
  <c r="R103" i="1"/>
  <c r="Q103" i="1"/>
  <c r="R102" i="1"/>
  <c r="Q102" i="1"/>
  <c r="R101" i="1"/>
  <c r="Q101" i="1"/>
  <c r="R100" i="1"/>
  <c r="Q100" i="1"/>
  <c r="R99" i="1"/>
  <c r="Q99" i="1"/>
  <c r="R98" i="1"/>
  <c r="Q98" i="1"/>
  <c r="R97" i="1"/>
  <c r="Q97" i="1"/>
  <c r="R96" i="1"/>
  <c r="Q96" i="1"/>
  <c r="R95" i="1"/>
  <c r="Q95" i="1"/>
  <c r="R94" i="1"/>
  <c r="Q94" i="1"/>
  <c r="R93" i="1"/>
  <c r="Q93" i="1"/>
  <c r="R92" i="1"/>
  <c r="Q92" i="1"/>
  <c r="R91" i="1"/>
  <c r="Q91" i="1"/>
  <c r="R90" i="1"/>
  <c r="Q90" i="1"/>
  <c r="R89" i="1"/>
  <c r="Q89" i="1"/>
  <c r="R88" i="1"/>
  <c r="Q88" i="1"/>
  <c r="R87" i="1"/>
  <c r="Q87" i="1"/>
  <c r="R86" i="1"/>
  <c r="Q86" i="1"/>
  <c r="R85" i="1"/>
  <c r="Q85" i="1"/>
  <c r="R84" i="1"/>
  <c r="Q84" i="1"/>
  <c r="R83" i="1"/>
  <c r="Q83" i="1"/>
  <c r="R82" i="1"/>
  <c r="Q82" i="1"/>
  <c r="R81" i="1"/>
  <c r="Q81" i="1"/>
  <c r="R80" i="1"/>
  <c r="Q80" i="1"/>
  <c r="R79" i="1"/>
  <c r="Q79" i="1"/>
  <c r="R78" i="1"/>
  <c r="Q78" i="1"/>
  <c r="R77" i="1"/>
  <c r="Q77" i="1"/>
  <c r="R76" i="1"/>
  <c r="Q76" i="1"/>
  <c r="R75" i="1"/>
  <c r="Q75" i="1"/>
  <c r="R74" i="1"/>
  <c r="Q74" i="1"/>
  <c r="R73" i="1"/>
  <c r="Q73" i="1"/>
  <c r="R72" i="1"/>
  <c r="Q72" i="1"/>
  <c r="R71" i="1"/>
  <c r="Q71" i="1"/>
  <c r="R70" i="1"/>
  <c r="Q70" i="1"/>
  <c r="R69" i="1"/>
  <c r="Q69" i="1"/>
  <c r="R68" i="1"/>
  <c r="Q68" i="1"/>
  <c r="R67" i="1"/>
  <c r="Q67" i="1"/>
  <c r="R66" i="1"/>
  <c r="Q66" i="1"/>
  <c r="R65" i="1"/>
  <c r="Q65" i="1"/>
  <c r="R64" i="1"/>
  <c r="Q64" i="1"/>
  <c r="R63" i="1"/>
  <c r="Q63" i="1"/>
  <c r="R62" i="1"/>
  <c r="Q62" i="1"/>
  <c r="R61" i="1"/>
  <c r="Q61" i="1"/>
  <c r="R60" i="1"/>
  <c r="Q60" i="1"/>
  <c r="R59" i="1"/>
  <c r="Q59" i="1"/>
  <c r="R58" i="1"/>
  <c r="Q58" i="1"/>
  <c r="R57" i="1"/>
  <c r="Q57" i="1"/>
  <c r="R56" i="1"/>
  <c r="Q56" i="1"/>
  <c r="R55" i="1"/>
  <c r="Q55" i="1"/>
  <c r="R54" i="1"/>
  <c r="Q54" i="1"/>
  <c r="R53" i="1"/>
  <c r="Q53" i="1"/>
  <c r="R52" i="1"/>
  <c r="Q52" i="1"/>
  <c r="R51" i="1"/>
  <c r="Q51" i="1"/>
  <c r="R50" i="1"/>
  <c r="Q50" i="1"/>
  <c r="R49" i="1"/>
  <c r="Q49" i="1"/>
  <c r="R48" i="1"/>
  <c r="Q48" i="1"/>
  <c r="R47" i="1"/>
  <c r="Q47" i="1"/>
  <c r="R46" i="1"/>
  <c r="Q46" i="1"/>
  <c r="R45" i="1"/>
  <c r="Q45" i="1"/>
  <c r="R44" i="1"/>
  <c r="Q44" i="1"/>
  <c r="R43" i="1"/>
  <c r="Q43" i="1"/>
  <c r="R42" i="1"/>
  <c r="Q42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3" i="1"/>
  <c r="Q3" i="1"/>
  <c r="R2" i="1"/>
  <c r="Q2" i="1"/>
  <c r="Q592" i="1" l="1"/>
  <c r="N592" i="1" s="1"/>
  <c r="R592" i="1" s="1"/>
  <c r="Q591" i="1"/>
  <c r="N591" i="1" s="1"/>
  <c r="R591" i="1" s="1"/>
  <c r="Q590" i="1"/>
  <c r="N590" i="1" s="1"/>
  <c r="R590" i="1" s="1"/>
  <c r="Q589" i="1"/>
  <c r="N589" i="1" s="1"/>
  <c r="R589" i="1" s="1"/>
  <c r="Q588" i="1"/>
  <c r="N588" i="1" s="1"/>
  <c r="R588" i="1" s="1"/>
  <c r="Q587" i="1"/>
  <c r="N587" i="1" s="1"/>
  <c r="R587" i="1" s="1"/>
  <c r="Q586" i="1"/>
  <c r="N586" i="1" s="1"/>
  <c r="R586" i="1" s="1"/>
  <c r="Q585" i="1"/>
  <c r="N585" i="1" s="1"/>
  <c r="R585" i="1" s="1"/>
  <c r="Q584" i="1"/>
  <c r="N584" i="1" s="1"/>
  <c r="R584" i="1" s="1"/>
  <c r="Q583" i="1"/>
  <c r="N583" i="1" s="1"/>
  <c r="R583" i="1" s="1"/>
  <c r="Q582" i="1"/>
  <c r="N582" i="1" s="1"/>
  <c r="R582" i="1" s="1"/>
  <c r="Q581" i="1"/>
  <c r="N581" i="1" s="1"/>
  <c r="R581" i="1" s="1"/>
  <c r="Q580" i="1"/>
  <c r="N580" i="1" s="1"/>
  <c r="R580" i="1" s="1"/>
  <c r="Q579" i="1"/>
  <c r="N579" i="1"/>
  <c r="R579" i="1" s="1"/>
  <c r="Q578" i="1"/>
  <c r="N578" i="1" s="1"/>
  <c r="R578" i="1" s="1"/>
  <c r="Q577" i="1"/>
  <c r="N577" i="1" s="1"/>
  <c r="R577" i="1" s="1"/>
  <c r="Q576" i="1"/>
  <c r="N576" i="1" s="1"/>
  <c r="R576" i="1" s="1"/>
  <c r="Q575" i="1"/>
  <c r="N575" i="1" s="1"/>
  <c r="R575" i="1" s="1"/>
  <c r="Q574" i="1"/>
  <c r="N574" i="1" s="1"/>
  <c r="R574" i="1" s="1"/>
  <c r="Q573" i="1"/>
  <c r="N573" i="1" s="1"/>
  <c r="R573" i="1" s="1"/>
  <c r="Q572" i="1"/>
  <c r="N572" i="1" s="1"/>
  <c r="R572" i="1" s="1"/>
  <c r="Q571" i="1"/>
  <c r="N571" i="1" s="1"/>
  <c r="R571" i="1" s="1"/>
  <c r="Q570" i="1"/>
  <c r="N570" i="1" s="1"/>
  <c r="R570" i="1" s="1"/>
  <c r="Q569" i="1"/>
  <c r="N569" i="1" s="1"/>
  <c r="R569" i="1" s="1"/>
  <c r="Q568" i="1"/>
  <c r="N568" i="1" s="1"/>
  <c r="R568" i="1" s="1"/>
  <c r="Q567" i="1"/>
  <c r="N567" i="1" s="1"/>
  <c r="R567" i="1" s="1"/>
  <c r="Q566" i="1"/>
  <c r="N566" i="1" s="1"/>
  <c r="R566" i="1" s="1"/>
  <c r="Q565" i="1"/>
  <c r="N565" i="1" s="1"/>
  <c r="R565" i="1" s="1"/>
  <c r="Q564" i="1"/>
  <c r="N564" i="1" s="1"/>
  <c r="R564" i="1" s="1"/>
  <c r="Q563" i="1"/>
  <c r="N563" i="1" s="1"/>
  <c r="R563" i="1" s="1"/>
  <c r="Q562" i="1"/>
  <c r="N562" i="1" s="1"/>
  <c r="R562" i="1" s="1"/>
  <c r="Q561" i="1"/>
  <c r="N561" i="1" s="1"/>
  <c r="R561" i="1" s="1"/>
  <c r="Q560" i="1"/>
  <c r="N560" i="1" s="1"/>
  <c r="R560" i="1" s="1"/>
  <c r="Q559" i="1"/>
  <c r="N559" i="1" s="1"/>
  <c r="R559" i="1" s="1"/>
  <c r="Q558" i="1"/>
  <c r="N558" i="1" s="1"/>
  <c r="R558" i="1" s="1"/>
  <c r="Q557" i="1"/>
  <c r="N557" i="1" s="1"/>
  <c r="R557" i="1" s="1"/>
  <c r="Q556" i="1"/>
  <c r="N556" i="1" s="1"/>
  <c r="R556" i="1" s="1"/>
  <c r="Q555" i="1"/>
  <c r="N555" i="1" s="1"/>
  <c r="R555" i="1" s="1"/>
  <c r="Q554" i="1"/>
  <c r="N554" i="1" s="1"/>
  <c r="R554" i="1" s="1"/>
  <c r="Q553" i="1"/>
  <c r="N553" i="1" s="1"/>
  <c r="R553" i="1" s="1"/>
  <c r="Q552" i="1"/>
  <c r="N552" i="1" s="1"/>
  <c r="R552" i="1" s="1"/>
  <c r="Q551" i="1"/>
  <c r="N551" i="1" s="1"/>
  <c r="R551" i="1" s="1"/>
  <c r="Q550" i="1"/>
  <c r="N550" i="1" s="1"/>
  <c r="R550" i="1" s="1"/>
  <c r="Q549" i="1"/>
  <c r="N549" i="1" s="1"/>
  <c r="R549" i="1" s="1"/>
  <c r="Q548" i="1"/>
  <c r="N548" i="1" s="1"/>
  <c r="R548" i="1" s="1"/>
  <c r="Q547" i="1"/>
  <c r="N547" i="1" s="1"/>
  <c r="R547" i="1" s="1"/>
  <c r="Q546" i="1"/>
  <c r="N546" i="1" s="1"/>
  <c r="R546" i="1" s="1"/>
  <c r="Q545" i="1"/>
  <c r="N545" i="1" s="1"/>
  <c r="R545" i="1" s="1"/>
  <c r="Q544" i="1"/>
  <c r="N544" i="1" s="1"/>
  <c r="R544" i="1" s="1"/>
  <c r="Q543" i="1"/>
  <c r="N543" i="1" s="1"/>
  <c r="R543" i="1" s="1"/>
  <c r="Q542" i="1"/>
  <c r="N542" i="1" s="1"/>
  <c r="R542" i="1" s="1"/>
  <c r="Q541" i="1"/>
  <c r="N541" i="1" s="1"/>
  <c r="R541" i="1" s="1"/>
  <c r="R540" i="1"/>
  <c r="Q540" i="1"/>
  <c r="R539" i="1"/>
  <c r="Q539" i="1"/>
  <c r="R538" i="1"/>
  <c r="Q538" i="1"/>
  <c r="R537" i="1"/>
  <c r="Q537" i="1"/>
  <c r="R536" i="1"/>
  <c r="Q536" i="1"/>
  <c r="R535" i="1"/>
  <c r="Q535" i="1"/>
  <c r="R534" i="1"/>
  <c r="Q534" i="1"/>
  <c r="R533" i="1"/>
  <c r="Q533" i="1"/>
  <c r="R532" i="1"/>
  <c r="Q532" i="1"/>
  <c r="R531" i="1"/>
  <c r="Q531" i="1"/>
  <c r="R530" i="1"/>
  <c r="Q530" i="1"/>
  <c r="R529" i="1"/>
  <c r="Q529" i="1"/>
  <c r="R528" i="1"/>
  <c r="Q528" i="1"/>
  <c r="R527" i="1"/>
  <c r="Q527" i="1"/>
  <c r="R526" i="1"/>
  <c r="Q526" i="1"/>
  <c r="R525" i="1"/>
  <c r="Q525" i="1"/>
  <c r="R524" i="1"/>
  <c r="Q524" i="1"/>
  <c r="R523" i="1"/>
  <c r="Q523" i="1"/>
  <c r="R522" i="1"/>
  <c r="Q522" i="1"/>
  <c r="R521" i="1"/>
  <c r="Q521" i="1"/>
  <c r="R520" i="1"/>
  <c r="Q520" i="1"/>
  <c r="R519" i="1"/>
  <c r="Q519" i="1"/>
  <c r="R518" i="1"/>
  <c r="Q518" i="1"/>
  <c r="R517" i="1"/>
  <c r="Q517" i="1"/>
</calcChain>
</file>

<file path=xl/sharedStrings.xml><?xml version="1.0" encoding="utf-8"?>
<sst xmlns="http://schemas.openxmlformats.org/spreadsheetml/2006/main" count="9099" uniqueCount="3117">
  <si>
    <t>Status</t>
  </si>
  <si>
    <t>linha</t>
  </si>
  <si>
    <t>1299329913</t>
  </si>
  <si>
    <t>09327455630</t>
  </si>
  <si>
    <t>ID_CRITICA</t>
  </si>
  <si>
    <t>ID_BATCH_EXECUCAO</t>
  </si>
  <si>
    <t>SUSEP</t>
  </si>
  <si>
    <t>CPF</t>
  </si>
  <si>
    <t>ID_APOLICE</t>
  </si>
  <si>
    <t>ID_APLICA</t>
  </si>
  <si>
    <t>ID_CODSITUR</t>
  </si>
  <si>
    <t>Chave</t>
  </si>
  <si>
    <t>DS_CRITICA</t>
  </si>
  <si>
    <t>DS_VALOR_CAMPO</t>
  </si>
  <si>
    <t>DT_PROCESSAMENTO</t>
  </si>
  <si>
    <t>Novo Valor</t>
  </si>
  <si>
    <t>TP_Alteração</t>
  </si>
  <si>
    <t>Aplicação</t>
  </si>
  <si>
    <t>Validador 1</t>
  </si>
  <si>
    <t>Validador 2</t>
  </si>
  <si>
    <t>20190805180335</t>
  </si>
  <si>
    <t>44</t>
  </si>
  <si>
    <t>2</t>
  </si>
  <si>
    <t>[ENDEREÇO] - Complemento do endereço não pode ser superior a 15 caracteres</t>
  </si>
  <si>
    <t>2019-08-05 00:00:00.000</t>
  </si>
  <si>
    <t>Gestão de Clientes_Trem de Produção</t>
  </si>
  <si>
    <t>1</t>
  </si>
  <si>
    <t>4</t>
  </si>
  <si>
    <t>3</t>
  </si>
  <si>
    <t>87</t>
  </si>
  <si>
    <t>32</t>
  </si>
  <si>
    <t>26</t>
  </si>
  <si>
    <t>21</t>
  </si>
  <si>
    <t>45</t>
  </si>
  <si>
    <t>22</t>
  </si>
  <si>
    <t>6</t>
  </si>
  <si>
    <t>36</t>
  </si>
  <si>
    <t>12</t>
  </si>
  <si>
    <t>110420176</t>
  </si>
  <si>
    <t>43</t>
  </si>
  <si>
    <t>29</t>
  </si>
  <si>
    <t>5</t>
  </si>
  <si>
    <t>16</t>
  </si>
  <si>
    <t>35</t>
  </si>
  <si>
    <t>20000462</t>
  </si>
  <si>
    <t>8</t>
  </si>
  <si>
    <t>109339991</t>
  </si>
  <si>
    <t>13</t>
  </si>
  <si>
    <t>15</t>
  </si>
  <si>
    <t>18</t>
  </si>
  <si>
    <t>83</t>
  </si>
  <si>
    <t>33</t>
  </si>
  <si>
    <t>9</t>
  </si>
  <si>
    <t>11</t>
  </si>
  <si>
    <t>20000631</t>
  </si>
  <si>
    <t>46</t>
  </si>
  <si>
    <t>105496944</t>
  </si>
  <si>
    <t>20000634</t>
  </si>
  <si>
    <t>185</t>
  </si>
  <si>
    <t>20000674</t>
  </si>
  <si>
    <t>31</t>
  </si>
  <si>
    <t>20000695</t>
  </si>
  <si>
    <t>30</t>
  </si>
  <si>
    <t>17</t>
  </si>
  <si>
    <t>7</t>
  </si>
  <si>
    <t>103657454</t>
  </si>
  <si>
    <t>102815809</t>
  </si>
  <si>
    <t>134</t>
  </si>
  <si>
    <t>101374480</t>
  </si>
  <si>
    <t>20001281</t>
  </si>
  <si>
    <t>20002005</t>
  </si>
  <si>
    <t>24</t>
  </si>
  <si>
    <t>28</t>
  </si>
  <si>
    <t>23</t>
  </si>
  <si>
    <t>20010024</t>
  </si>
  <si>
    <t>20009804</t>
  </si>
  <si>
    <t>135</t>
  </si>
  <si>
    <t>20008676</t>
  </si>
  <si>
    <t>88</t>
  </si>
  <si>
    <t>70988242249</t>
  </si>
  <si>
    <t>20008676882</t>
  </si>
  <si>
    <t>20007369</t>
  </si>
  <si>
    <t>25</t>
  </si>
  <si>
    <t>20006589</t>
  </si>
  <si>
    <t>19</t>
  </si>
  <si>
    <t>20005365</t>
  </si>
  <si>
    <t>20004952</t>
  </si>
  <si>
    <t>20003996</t>
  </si>
  <si>
    <t>47</t>
  </si>
  <si>
    <t>243</t>
  </si>
  <si>
    <t>14496672871</t>
  </si>
  <si>
    <t>20003726</t>
  </si>
  <si>
    <t>40</t>
  </si>
  <si>
    <t>20003726401</t>
  </si>
  <si>
    <t>20003713</t>
  </si>
  <si>
    <t>08901658151</t>
  </si>
  <si>
    <t>20003572</t>
  </si>
  <si>
    <t>2000357244</t>
  </si>
  <si>
    <t>20003546</t>
  </si>
  <si>
    <t>20003509</t>
  </si>
  <si>
    <t>[NOME MAE] - Nome da Mãe do beneficiário contém caracteres especiais.</t>
  </si>
  <si>
    <t>Caracter_Especial</t>
  </si>
  <si>
    <t>Gestão de Clientes</t>
  </si>
  <si>
    <t/>
  </si>
  <si>
    <t>110179254</t>
  </si>
  <si>
    <t>20</t>
  </si>
  <si>
    <t>49</t>
  </si>
  <si>
    <t>109683248</t>
  </si>
  <si>
    <t>141</t>
  </si>
  <si>
    <t>105859966</t>
  </si>
  <si>
    <t>.</t>
  </si>
  <si>
    <t>104276583</t>
  </si>
  <si>
    <t>248</t>
  </si>
  <si>
    <t>..</t>
  </si>
  <si>
    <t>100</t>
  </si>
  <si>
    <t>53</t>
  </si>
  <si>
    <t>99</t>
  </si>
  <si>
    <t>39059624890</t>
  </si>
  <si>
    <t>121</t>
  </si>
  <si>
    <t>200065891211</t>
  </si>
  <si>
    <t>20005720</t>
  </si>
  <si>
    <t>84</t>
  </si>
  <si>
    <t>10</t>
  </si>
  <si>
    <t>2173265</t>
  </si>
  <si>
    <t>45717037830</t>
  </si>
  <si>
    <t>680</t>
  </si>
  <si>
    <t>200035466803</t>
  </si>
  <si>
    <t>TATIANE RODRIGUES BRANDÃO GUINATI</t>
  </si>
  <si>
    <t>TATIANE RODRIGUES BRANDAO GUINATI</t>
  </si>
  <si>
    <t>2173262</t>
  </si>
  <si>
    <t>34528870819</t>
  </si>
  <si>
    <t>200035466801</t>
  </si>
  <si>
    <t>MARIA EUNICE DA SILVA BRANDÃO</t>
  </si>
  <si>
    <t>MARIA EUNICE DA SILVA BRANDAO</t>
  </si>
  <si>
    <t>2172784</t>
  </si>
  <si>
    <t>08024425874</t>
  </si>
  <si>
    <t>215</t>
  </si>
  <si>
    <t>200035092151</t>
  </si>
  <si>
    <t>2172473</t>
  </si>
  <si>
    <t>16482081851</t>
  </si>
  <si>
    <t>20003247</t>
  </si>
  <si>
    <t>2000324725</t>
  </si>
  <si>
    <t>ROSELAINE MARIA POMBAL C. PEDROSO</t>
  </si>
  <si>
    <t>ROSELAINE MARIA POMBAL C PEDROSO</t>
  </si>
  <si>
    <t>2172238</t>
  </si>
  <si>
    <t>13086600659</t>
  </si>
  <si>
    <t>20002968</t>
  </si>
  <si>
    <t>20002968121</t>
  </si>
  <si>
    <t>APTO 601</t>
  </si>
  <si>
    <t>2171735</t>
  </si>
  <si>
    <t>15970903604</t>
  </si>
  <si>
    <t>20002576</t>
  </si>
  <si>
    <t>247</t>
  </si>
  <si>
    <t>200025762473</t>
  </si>
  <si>
    <t>ANDREIA CRISTINA OUVERNEY LEAL.</t>
  </si>
  <si>
    <t>ANDREIA CRISTINA OUVERNEY LEAL</t>
  </si>
  <si>
    <t>2171733</t>
  </si>
  <si>
    <t>08558262748</t>
  </si>
  <si>
    <t>200025762472</t>
  </si>
  <si>
    <t>ALZENIR OUVERNEY.</t>
  </si>
  <si>
    <t>ALZENIR OUVERNEY</t>
  </si>
  <si>
    <t>2171729</t>
  </si>
  <si>
    <t>07554295675</t>
  </si>
  <si>
    <t>246</t>
  </si>
  <si>
    <t>200025762461</t>
  </si>
  <si>
    <t>MARILIA TRIVELLATO ROLLA.</t>
  </si>
  <si>
    <t>MARILIA TRIVELLATO ROLLA</t>
  </si>
  <si>
    <t>2171728</t>
  </si>
  <si>
    <t>05596772780</t>
  </si>
  <si>
    <t>245</t>
  </si>
  <si>
    <t>200025762451</t>
  </si>
  <si>
    <t>FRANCISCA FRANCINA DE SOUZA.</t>
  </si>
  <si>
    <t>FRANCISCA FRANCINA DE SOUZA</t>
  </si>
  <si>
    <t>2171726</t>
  </si>
  <si>
    <t>03953873105</t>
  </si>
  <si>
    <t>244</t>
  </si>
  <si>
    <t>200025762441</t>
  </si>
  <si>
    <t>KENYA FERREIRA RODRIGUES.</t>
  </si>
  <si>
    <t>KENYA FERREIRA RODRIGUES</t>
  </si>
  <si>
    <t>2171724</t>
  </si>
  <si>
    <t>08774497677</t>
  </si>
  <si>
    <t>200025762431</t>
  </si>
  <si>
    <t>MARLENE DA CONCEIÇÃO VALENTE.</t>
  </si>
  <si>
    <t>MARLENE DA CONCEICAO VALENTE</t>
  </si>
  <si>
    <t>2171723</t>
  </si>
  <si>
    <t>04504769603</t>
  </si>
  <si>
    <t>242</t>
  </si>
  <si>
    <t>200025762421</t>
  </si>
  <si>
    <t>LEDA DE PAULA MELO TAVARES GONÇALVES.</t>
  </si>
  <si>
    <t>LEDA DE PAULA MELO TAVARES GONCALVES</t>
  </si>
  <si>
    <t>2171722</t>
  </si>
  <si>
    <t>34528832801</t>
  </si>
  <si>
    <t>241</t>
  </si>
  <si>
    <t>200025762411</t>
  </si>
  <si>
    <t>CLAUDINEIA DE PAULA RIBEIRO DE AMORIM.</t>
  </si>
  <si>
    <t>CLAUDINEIA DE PAULA RIBEIRO DE AMORIM</t>
  </si>
  <si>
    <t>2171639</t>
  </si>
  <si>
    <t>25520540802</t>
  </si>
  <si>
    <t>20002490</t>
  </si>
  <si>
    <t>20002490104</t>
  </si>
  <si>
    <t>,</t>
  </si>
  <si>
    <t>2171353</t>
  </si>
  <si>
    <t>23746045860</t>
  </si>
  <si>
    <t>20002148</t>
  </si>
  <si>
    <t>20002148182</t>
  </si>
  <si>
    <t>MIRIAN E. MENDOZA ARCHILA</t>
  </si>
  <si>
    <t>MIRIAN E MENDOZA ARCHILA</t>
  </si>
  <si>
    <t>2171251</t>
  </si>
  <si>
    <t>43066142809</t>
  </si>
  <si>
    <t>20002007</t>
  </si>
  <si>
    <t>20002007114</t>
  </si>
  <si>
    <t>MARIA CONCEIÇÃO BEZERRA</t>
  </si>
  <si>
    <t>MARIA CONCEICAO BEZERRA</t>
  </si>
  <si>
    <t>2170017</t>
  </si>
  <si>
    <t>03229591879</t>
  </si>
  <si>
    <t>20000674241</t>
  </si>
  <si>
    <t>APTO 0131</t>
  </si>
  <si>
    <t>2171250</t>
  </si>
  <si>
    <t>45610869862</t>
  </si>
  <si>
    <t>20002007113</t>
  </si>
  <si>
    <t>2171237</t>
  </si>
  <si>
    <t>37180656810</t>
  </si>
  <si>
    <t>237</t>
  </si>
  <si>
    <t>200020052372</t>
  </si>
  <si>
    <t>MARIA APARECIDA DA SILVA TELES LEÃO</t>
  </si>
  <si>
    <t>MARIA APARECIDA DA SILVA TELES LEAO</t>
  </si>
  <si>
    <t>2171220</t>
  </si>
  <si>
    <t>41929642873</t>
  </si>
  <si>
    <t>200020051852</t>
  </si>
  <si>
    <t>MARIA DA GRAÇA ANDRADE COSTA</t>
  </si>
  <si>
    <t>MARIA DA GRACA ANDRADE COSTA</t>
  </si>
  <si>
    <t>2170041</t>
  </si>
  <si>
    <t>27831162860</t>
  </si>
  <si>
    <t>2000069591</t>
  </si>
  <si>
    <t>2170907</t>
  </si>
  <si>
    <t>10449305864</t>
  </si>
  <si>
    <t>20001661</t>
  </si>
  <si>
    <t>20001661112</t>
  </si>
  <si>
    <t>ELSA MENDONÇA LIMA</t>
  </si>
  <si>
    <t>ELSA MENDONCA LIMA</t>
  </si>
  <si>
    <t>2170770</t>
  </si>
  <si>
    <t>02509710117</t>
  </si>
  <si>
    <t>20001342</t>
  </si>
  <si>
    <t>164</t>
  </si>
  <si>
    <t>200013421641</t>
  </si>
  <si>
    <t>MARIA LOURDES SOUSA MAGALHÃES</t>
  </si>
  <si>
    <t>MARIA LOURDES SOUSA MAGALHAES</t>
  </si>
  <si>
    <t>2170691</t>
  </si>
  <si>
    <t>40899780687</t>
  </si>
  <si>
    <t>27</t>
  </si>
  <si>
    <t>20001281271</t>
  </si>
  <si>
    <t>2184289</t>
  </si>
  <si>
    <t>42065033894</t>
  </si>
  <si>
    <t>110722178</t>
  </si>
  <si>
    <t>110722178261</t>
  </si>
  <si>
    <t>[Numero PIS/PASEP] - Numero PisPasep não pode ser diferente de 11 caracteres</t>
  </si>
  <si>
    <t>2070020730</t>
  </si>
  <si>
    <t>PIS</t>
  </si>
  <si>
    <t>GEstão de Clientes</t>
  </si>
  <si>
    <t>2184123</t>
  </si>
  <si>
    <t>07577085871</t>
  </si>
  <si>
    <t>110420176161</t>
  </si>
  <si>
    <t>1020642352</t>
  </si>
  <si>
    <t>2169056</t>
  </si>
  <si>
    <t>06305811857</t>
  </si>
  <si>
    <t>20000171</t>
  </si>
  <si>
    <t>2000017141</t>
  </si>
  <si>
    <t>6305811857</t>
  </si>
  <si>
    <t>2184038</t>
  </si>
  <si>
    <t>38473512812</t>
  </si>
  <si>
    <t>110191114</t>
  </si>
  <si>
    <t>11019111423</t>
  </si>
  <si>
    <t>2183976</t>
  </si>
  <si>
    <t>28561590874</t>
  </si>
  <si>
    <t>110087142</t>
  </si>
  <si>
    <t>11008714221</t>
  </si>
  <si>
    <t>1311280898</t>
  </si>
  <si>
    <t>2183832</t>
  </si>
  <si>
    <t>109683248461</t>
  </si>
  <si>
    <t>2183495</t>
  </si>
  <si>
    <t>82310858668</t>
  </si>
  <si>
    <t>107589984</t>
  </si>
  <si>
    <t>107589984131</t>
  </si>
  <si>
    <t>2169110</t>
  </si>
  <si>
    <t>05451020817</t>
  </si>
  <si>
    <t>20000252</t>
  </si>
  <si>
    <t>56</t>
  </si>
  <si>
    <t>20000252561</t>
  </si>
  <si>
    <t>2183379</t>
  </si>
  <si>
    <t>07492070357</t>
  </si>
  <si>
    <t>106719457</t>
  </si>
  <si>
    <t>106719457191</t>
  </si>
  <si>
    <t>1458734995</t>
  </si>
  <si>
    <t>2183038</t>
  </si>
  <si>
    <t>39470347846</t>
  </si>
  <si>
    <t>106084296</t>
  </si>
  <si>
    <t>106084296351</t>
  </si>
  <si>
    <t>2370328307</t>
  </si>
  <si>
    <t>2182812</t>
  </si>
  <si>
    <t>45692704846</t>
  </si>
  <si>
    <t>105894064</t>
  </si>
  <si>
    <t>10589406481</t>
  </si>
  <si>
    <t>1287161333</t>
  </si>
  <si>
    <t>2182787</t>
  </si>
  <si>
    <t>42208414829</t>
  </si>
  <si>
    <t>10585996631</t>
  </si>
  <si>
    <t>409013171</t>
  </si>
  <si>
    <t>2182771</t>
  </si>
  <si>
    <t>81156227704</t>
  </si>
  <si>
    <t>105855572</t>
  </si>
  <si>
    <t>105855572841</t>
  </si>
  <si>
    <t>1215752138</t>
  </si>
  <si>
    <t>2182414</t>
  </si>
  <si>
    <t>50575710870</t>
  </si>
  <si>
    <t>105687982</t>
  </si>
  <si>
    <t>41</t>
  </si>
  <si>
    <t>105687982411</t>
  </si>
  <si>
    <t>1634523450</t>
  </si>
  <si>
    <t>2182024</t>
  </si>
  <si>
    <t>03770714717</t>
  </si>
  <si>
    <t>105458722</t>
  </si>
  <si>
    <t>105458722251</t>
  </si>
  <si>
    <t>103076972</t>
  </si>
  <si>
    <t>2181356</t>
  </si>
  <si>
    <t>24731445833</t>
  </si>
  <si>
    <t>105046129</t>
  </si>
  <si>
    <t>10504612941</t>
  </si>
  <si>
    <t>177316834</t>
  </si>
  <si>
    <t>2181148</t>
  </si>
  <si>
    <t>32294677870</t>
  </si>
  <si>
    <t>104977389</t>
  </si>
  <si>
    <t>104977389531</t>
  </si>
  <si>
    <t>1314725778</t>
  </si>
  <si>
    <t>2180764</t>
  </si>
  <si>
    <t>47491322840</t>
  </si>
  <si>
    <t>104548495</t>
  </si>
  <si>
    <t>104548495471</t>
  </si>
  <si>
    <t>1647576795</t>
  </si>
  <si>
    <t>2180661</t>
  </si>
  <si>
    <t>37733502870</t>
  </si>
  <si>
    <t>104276583351</t>
  </si>
  <si>
    <t>2107147087</t>
  </si>
  <si>
    <t>2177620</t>
  </si>
  <si>
    <t>02768056669</t>
  </si>
  <si>
    <t>101374480991</t>
  </si>
  <si>
    <t>7777</t>
  </si>
  <si>
    <t>2177007</t>
  </si>
  <si>
    <t>47094440804</t>
  </si>
  <si>
    <t>20010453</t>
  </si>
  <si>
    <t>20010453531</t>
  </si>
  <si>
    <t>2107141374</t>
  </si>
  <si>
    <t>2176960</t>
  </si>
  <si>
    <t>12433347629</t>
  </si>
  <si>
    <t>20010262</t>
  </si>
  <si>
    <t>120</t>
  </si>
  <si>
    <t>200102621201</t>
  </si>
  <si>
    <t>1612653168</t>
  </si>
  <si>
    <t>2176956</t>
  </si>
  <si>
    <t>10951276751</t>
  </si>
  <si>
    <t>57</t>
  </si>
  <si>
    <t>20010262571</t>
  </si>
  <si>
    <t>1305060729</t>
  </si>
  <si>
    <t>2176696</t>
  </si>
  <si>
    <t>45689469807</t>
  </si>
  <si>
    <t>139</t>
  </si>
  <si>
    <t>200098041391</t>
  </si>
  <si>
    <t>13728</t>
  </si>
  <si>
    <t>2176691</t>
  </si>
  <si>
    <t>37271762884</t>
  </si>
  <si>
    <t>106</t>
  </si>
  <si>
    <t>200098041061</t>
  </si>
  <si>
    <t>2107358483</t>
  </si>
  <si>
    <t>2176175</t>
  </si>
  <si>
    <t>30124985831</t>
  </si>
  <si>
    <t>20008241</t>
  </si>
  <si>
    <t>20008241401</t>
  </si>
  <si>
    <t>1309543851</t>
  </si>
  <si>
    <t>2175936</t>
  </si>
  <si>
    <t>08613041795</t>
  </si>
  <si>
    <t>2000736991</t>
  </si>
  <si>
    <t>2175674</t>
  </si>
  <si>
    <t>45984968860</t>
  </si>
  <si>
    <t>200065891341</t>
  </si>
  <si>
    <t>1481949938</t>
  </si>
  <si>
    <t>2175667</t>
  </si>
  <si>
    <t>1652682008</t>
  </si>
  <si>
    <t>2175589</t>
  </si>
  <si>
    <t>04478579679</t>
  </si>
  <si>
    <t>20006336</t>
  </si>
  <si>
    <t>2000633651</t>
  </si>
  <si>
    <t>1272797118</t>
  </si>
  <si>
    <t>2175582</t>
  </si>
  <si>
    <t>35035784800</t>
  </si>
  <si>
    <t>20006332</t>
  </si>
  <si>
    <t>20006332161</t>
  </si>
  <si>
    <t>2106925264</t>
  </si>
  <si>
    <t>2175171</t>
  </si>
  <si>
    <t>20005720491</t>
  </si>
  <si>
    <t>1753840569</t>
  </si>
  <si>
    <t>2174884</t>
  </si>
  <si>
    <t>25759359894</t>
  </si>
  <si>
    <t>20005365101</t>
  </si>
  <si>
    <t>1111111111</t>
  </si>
  <si>
    <t>2174824</t>
  </si>
  <si>
    <t>27493969809</t>
  </si>
  <si>
    <t>20005251</t>
  </si>
  <si>
    <t>20005251361</t>
  </si>
  <si>
    <t>1255306219</t>
  </si>
  <si>
    <t>2174701</t>
  </si>
  <si>
    <t>01352863103</t>
  </si>
  <si>
    <t>2000495271</t>
  </si>
  <si>
    <t>1904370066</t>
  </si>
  <si>
    <t>2174352</t>
  </si>
  <si>
    <t>09957053647</t>
  </si>
  <si>
    <t>20004180</t>
  </si>
  <si>
    <t>184</t>
  </si>
  <si>
    <t>200041801841</t>
  </si>
  <si>
    <t>2064702298</t>
  </si>
  <si>
    <t>2174209</t>
  </si>
  <si>
    <t>30906351863</t>
  </si>
  <si>
    <t>20003996241</t>
  </si>
  <si>
    <t>999999999</t>
  </si>
  <si>
    <t>2173887</t>
  </si>
  <si>
    <t>39118501826</t>
  </si>
  <si>
    <t>20003791</t>
  </si>
  <si>
    <t>20003791291</t>
  </si>
  <si>
    <t>1635245562</t>
  </si>
  <si>
    <t>2173838</t>
  </si>
  <si>
    <t>1237955773</t>
  </si>
  <si>
    <t>2172698</t>
  </si>
  <si>
    <t>31653066806</t>
  </si>
  <si>
    <t>20003465</t>
  </si>
  <si>
    <t>20003465871</t>
  </si>
  <si>
    <t>332119956</t>
  </si>
  <si>
    <t>2171385</t>
  </si>
  <si>
    <t>14332334876</t>
  </si>
  <si>
    <t>20002237</t>
  </si>
  <si>
    <t>20002237211</t>
  </si>
  <si>
    <t>1248490345</t>
  </si>
  <si>
    <t>2170743</t>
  </si>
  <si>
    <t>06448889892</t>
  </si>
  <si>
    <t>20001298</t>
  </si>
  <si>
    <t>20001298101</t>
  </si>
  <si>
    <t>2170449</t>
  </si>
  <si>
    <t>40212816810</t>
  </si>
  <si>
    <t>20000814</t>
  </si>
  <si>
    <t>649</t>
  </si>
  <si>
    <t>200008146491</t>
  </si>
  <si>
    <t>1258135178</t>
  </si>
  <si>
    <t>2170447</t>
  </si>
  <si>
    <t>29719326808</t>
  </si>
  <si>
    <t>643</t>
  </si>
  <si>
    <t>200008146431</t>
  </si>
  <si>
    <t>111111110</t>
  </si>
  <si>
    <t>2170423</t>
  </si>
  <si>
    <t>48580751845</t>
  </si>
  <si>
    <t>20000814833</t>
  </si>
  <si>
    <t>111111111</t>
  </si>
  <si>
    <t>2170422</t>
  </si>
  <si>
    <t>46756540106</t>
  </si>
  <si>
    <t>20000814832</t>
  </si>
  <si>
    <t>11111111</t>
  </si>
  <si>
    <t>2170414</t>
  </si>
  <si>
    <t>40744538866</t>
  </si>
  <si>
    <t>20000814214</t>
  </si>
  <si>
    <t>1111111</t>
  </si>
  <si>
    <t>2170005</t>
  </si>
  <si>
    <t>51015295835</t>
  </si>
  <si>
    <t>20000655</t>
  </si>
  <si>
    <t>2000065565</t>
  </si>
  <si>
    <t>1100</t>
  </si>
  <si>
    <t>2169934</t>
  </si>
  <si>
    <t>52108147268</t>
  </si>
  <si>
    <t>320</t>
  </si>
  <si>
    <t>200006343201</t>
  </si>
  <si>
    <t>1271813026</t>
  </si>
  <si>
    <t>2169437</t>
  </si>
  <si>
    <t>37378412848</t>
  </si>
  <si>
    <t>349</t>
  </si>
  <si>
    <t>200004623491</t>
  </si>
  <si>
    <t>2078654991</t>
  </si>
  <si>
    <t>2169904</t>
  </si>
  <si>
    <t>89099540868</t>
  </si>
  <si>
    <t>260</t>
  </si>
  <si>
    <t>200006342601</t>
  </si>
  <si>
    <t>1000</t>
  </si>
  <si>
    <t>2169640</t>
  </si>
  <si>
    <t>58237020863</t>
  </si>
  <si>
    <t>20000631331</t>
  </si>
  <si>
    <t>9999999999</t>
  </si>
  <si>
    <t>Processado</t>
  </si>
  <si>
    <t xml:space="preserve">retorno </t>
  </si>
  <si>
    <t>Operação concluída com sucesso.</t>
  </si>
  <si>
    <t>Cliente inexistente.</t>
  </si>
  <si>
    <t>Impedido</t>
  </si>
  <si>
    <t>Operação não realizada.</t>
  </si>
  <si>
    <t>impedido</t>
  </si>
  <si>
    <t>2277283</t>
  </si>
  <si>
    <t>2277439</t>
  </si>
  <si>
    <t>2277477</t>
  </si>
  <si>
    <t>2277524</t>
  </si>
  <si>
    <t>2277528</t>
  </si>
  <si>
    <t>2277611</t>
  </si>
  <si>
    <t>2277614</t>
  </si>
  <si>
    <t>2277620</t>
  </si>
  <si>
    <t>2277640</t>
  </si>
  <si>
    <t>2277666</t>
  </si>
  <si>
    <t>2277688</t>
  </si>
  <si>
    <t>2277690</t>
  </si>
  <si>
    <t>2277691</t>
  </si>
  <si>
    <t>2277693</t>
  </si>
  <si>
    <t>2277699</t>
  </si>
  <si>
    <t>2277704</t>
  </si>
  <si>
    <t>2277705</t>
  </si>
  <si>
    <t>2277706</t>
  </si>
  <si>
    <t>2277707</t>
  </si>
  <si>
    <t>2277714</t>
  </si>
  <si>
    <t>2277719</t>
  </si>
  <si>
    <t>2277720</t>
  </si>
  <si>
    <t>2277721</t>
  </si>
  <si>
    <t>2277722</t>
  </si>
  <si>
    <t>2277725</t>
  </si>
  <si>
    <t>2277726</t>
  </si>
  <si>
    <t>2277727</t>
  </si>
  <si>
    <t>2277746</t>
  </si>
  <si>
    <t>2277748</t>
  </si>
  <si>
    <t>2277832</t>
  </si>
  <si>
    <t>2277861</t>
  </si>
  <si>
    <t>2277869</t>
  </si>
  <si>
    <t>2277872</t>
  </si>
  <si>
    <t>2277876</t>
  </si>
  <si>
    <t>2277879</t>
  </si>
  <si>
    <t>2277880</t>
  </si>
  <si>
    <t>2278109</t>
  </si>
  <si>
    <t>2278177</t>
  </si>
  <si>
    <t>2278197</t>
  </si>
  <si>
    <t>2278199</t>
  </si>
  <si>
    <t>2278239</t>
  </si>
  <si>
    <t>2278296</t>
  </si>
  <si>
    <t>2278303</t>
  </si>
  <si>
    <t>2278384</t>
  </si>
  <si>
    <t>2278450</t>
  </si>
  <si>
    <t>2278452</t>
  </si>
  <si>
    <t>2278607</t>
  </si>
  <si>
    <t>2278629</t>
  </si>
  <si>
    <t>2278632</t>
  </si>
  <si>
    <t>2278717</t>
  </si>
  <si>
    <t>2278756</t>
  </si>
  <si>
    <t>2278771</t>
  </si>
  <si>
    <t>2278772</t>
  </si>
  <si>
    <t>2278785</t>
  </si>
  <si>
    <t>2278813</t>
  </si>
  <si>
    <t>2278929</t>
  </si>
  <si>
    <t>2278931</t>
  </si>
  <si>
    <t>2279071</t>
  </si>
  <si>
    <t>2279156</t>
  </si>
  <si>
    <t>2279381</t>
  </si>
  <si>
    <t>2279409</t>
  </si>
  <si>
    <t>2279421</t>
  </si>
  <si>
    <t>2279427</t>
  </si>
  <si>
    <t>2279431</t>
  </si>
  <si>
    <t>2279433</t>
  </si>
  <si>
    <t>2279434</t>
  </si>
  <si>
    <t>2279437</t>
  </si>
  <si>
    <t>2279438</t>
  </si>
  <si>
    <t>2279484</t>
  </si>
  <si>
    <t>2279766</t>
  </si>
  <si>
    <t>2279829</t>
  </si>
  <si>
    <t>2279846</t>
  </si>
  <si>
    <t>2279848</t>
  </si>
  <si>
    <t>2279850</t>
  </si>
  <si>
    <t>2279911</t>
  </si>
  <si>
    <t>2279915</t>
  </si>
  <si>
    <t>2279918</t>
  </si>
  <si>
    <t>2279920</t>
  </si>
  <si>
    <t>2279935</t>
  </si>
  <si>
    <t>2279938</t>
  </si>
  <si>
    <t>2279940</t>
  </si>
  <si>
    <t>2279957</t>
  </si>
  <si>
    <t>2280012</t>
  </si>
  <si>
    <t>2280047</t>
  </si>
  <si>
    <t>2280300</t>
  </si>
  <si>
    <t>2280445</t>
  </si>
  <si>
    <t>2280447</t>
  </si>
  <si>
    <t>2280511</t>
  </si>
  <si>
    <t>2280602</t>
  </si>
  <si>
    <t>2280606</t>
  </si>
  <si>
    <t>2280607</t>
  </si>
  <si>
    <t>2280678</t>
  </si>
  <si>
    <t>2280786</t>
  </si>
  <si>
    <t>2280789</t>
  </si>
  <si>
    <t>2280797</t>
  </si>
  <si>
    <t>2280803</t>
  </si>
  <si>
    <t>2280807</t>
  </si>
  <si>
    <t>2280852</t>
  </si>
  <si>
    <t>2280853</t>
  </si>
  <si>
    <t>2280881</t>
  </si>
  <si>
    <t>2280986</t>
  </si>
  <si>
    <t>2280988</t>
  </si>
  <si>
    <t>2280995</t>
  </si>
  <si>
    <t>2281000</t>
  </si>
  <si>
    <t>2281115</t>
  </si>
  <si>
    <t>2281181</t>
  </si>
  <si>
    <t>2281182</t>
  </si>
  <si>
    <t>2281183</t>
  </si>
  <si>
    <t>2281330</t>
  </si>
  <si>
    <t>2281358</t>
  </si>
  <si>
    <t>2281403</t>
  </si>
  <si>
    <t>2281547</t>
  </si>
  <si>
    <t>2281638</t>
  </si>
  <si>
    <t>2281641</t>
  </si>
  <si>
    <t>2281784</t>
  </si>
  <si>
    <t>2281811</t>
  </si>
  <si>
    <t>2281813</t>
  </si>
  <si>
    <t>2281848</t>
  </si>
  <si>
    <t>2281851</t>
  </si>
  <si>
    <t>2281898</t>
  </si>
  <si>
    <t>2281946</t>
  </si>
  <si>
    <t>2281948</t>
  </si>
  <si>
    <t>2281975</t>
  </si>
  <si>
    <t>2281979</t>
  </si>
  <si>
    <t>2282003</t>
  </si>
  <si>
    <t>2282023</t>
  </si>
  <si>
    <t>2282026</t>
  </si>
  <si>
    <t>2282029</t>
  </si>
  <si>
    <t>2282158</t>
  </si>
  <si>
    <t>2282209</t>
  </si>
  <si>
    <t>2282275</t>
  </si>
  <si>
    <t>2282284</t>
  </si>
  <si>
    <t>2282288</t>
  </si>
  <si>
    <t>2282293</t>
  </si>
  <si>
    <t>2282297</t>
  </si>
  <si>
    <t>2282413</t>
  </si>
  <si>
    <t>2282484</t>
  </si>
  <si>
    <t>2282487</t>
  </si>
  <si>
    <t>2282488</t>
  </si>
  <si>
    <t>2282489</t>
  </si>
  <si>
    <t>2282496</t>
  </si>
  <si>
    <t>2282533</t>
  </si>
  <si>
    <t>2282801</t>
  </si>
  <si>
    <t>2282807</t>
  </si>
  <si>
    <t>2282809</t>
  </si>
  <si>
    <t>2282811</t>
  </si>
  <si>
    <t>2282873</t>
  </si>
  <si>
    <t>2282893</t>
  </si>
  <si>
    <t>2282927</t>
  </si>
  <si>
    <t>2282929</t>
  </si>
  <si>
    <t>2282932</t>
  </si>
  <si>
    <t>2282938</t>
  </si>
  <si>
    <t>2283011</t>
  </si>
  <si>
    <t>2283013</t>
  </si>
  <si>
    <t>2283014</t>
  </si>
  <si>
    <t>2283015</t>
  </si>
  <si>
    <t>2283016</t>
  </si>
  <si>
    <t>2283019</t>
  </si>
  <si>
    <t>2283083</t>
  </si>
  <si>
    <t>2283259</t>
  </si>
  <si>
    <t>2283279</t>
  </si>
  <si>
    <t>2283304</t>
  </si>
  <si>
    <t>2283308</t>
  </si>
  <si>
    <t>2283353</t>
  </si>
  <si>
    <t>2283424</t>
  </si>
  <si>
    <t>2283427</t>
  </si>
  <si>
    <t>2283428</t>
  </si>
  <si>
    <t>2283517</t>
  </si>
  <si>
    <t>2283711</t>
  </si>
  <si>
    <t>2283798</t>
  </si>
  <si>
    <t>2283800</t>
  </si>
  <si>
    <t>2283820</t>
  </si>
  <si>
    <t>2283822</t>
  </si>
  <si>
    <t>2283897</t>
  </si>
  <si>
    <t>2283901</t>
  </si>
  <si>
    <t>2283903</t>
  </si>
  <si>
    <t>2283929</t>
  </si>
  <si>
    <t>2283938</t>
  </si>
  <si>
    <t>2283942</t>
  </si>
  <si>
    <t>2284026</t>
  </si>
  <si>
    <t>2284069</t>
  </si>
  <si>
    <t>2284075</t>
  </si>
  <si>
    <t>2284079</t>
  </si>
  <si>
    <t>2284083</t>
  </si>
  <si>
    <t>2284161</t>
  </si>
  <si>
    <t>2284163</t>
  </si>
  <si>
    <t>2284169</t>
  </si>
  <si>
    <t>2284173</t>
  </si>
  <si>
    <t>2284192</t>
  </si>
  <si>
    <t>2284208</t>
  </si>
  <si>
    <t>2284211</t>
  </si>
  <si>
    <t>2284213</t>
  </si>
  <si>
    <t>2284240</t>
  </si>
  <si>
    <t>2284242</t>
  </si>
  <si>
    <t>2284248</t>
  </si>
  <si>
    <t>2284251</t>
  </si>
  <si>
    <t>2284252</t>
  </si>
  <si>
    <t>2284256</t>
  </si>
  <si>
    <t>2284258</t>
  </si>
  <si>
    <t>2284266</t>
  </si>
  <si>
    <t>2284270</t>
  </si>
  <si>
    <t>2284272</t>
  </si>
  <si>
    <t>2284273</t>
  </si>
  <si>
    <t>2284278</t>
  </si>
  <si>
    <t>2284280</t>
  </si>
  <si>
    <t>2284282</t>
  </si>
  <si>
    <t>2284371</t>
  </si>
  <si>
    <t>2284377</t>
  </si>
  <si>
    <t>2284381</t>
  </si>
  <si>
    <t>2284385</t>
  </si>
  <si>
    <t>2284402</t>
  </si>
  <si>
    <t>2284433</t>
  </si>
  <si>
    <t>2284441</t>
  </si>
  <si>
    <t>2284443</t>
  </si>
  <si>
    <t>2284452</t>
  </si>
  <si>
    <t>2284456</t>
  </si>
  <si>
    <t>2284464</t>
  </si>
  <si>
    <t>2284477</t>
  </si>
  <si>
    <t>2284482</t>
  </si>
  <si>
    <t>2284495</t>
  </si>
  <si>
    <t>2284501</t>
  </si>
  <si>
    <t>2284505</t>
  </si>
  <si>
    <t>2284508</t>
  </si>
  <si>
    <t>2284631</t>
  </si>
  <si>
    <t>2284634</t>
  </si>
  <si>
    <t>2284692</t>
  </si>
  <si>
    <t>2284740</t>
  </si>
  <si>
    <t>2284744</t>
  </si>
  <si>
    <t>2284748</t>
  </si>
  <si>
    <t>2284754</t>
  </si>
  <si>
    <t>2284756</t>
  </si>
  <si>
    <t>2284786</t>
  </si>
  <si>
    <t>2284793</t>
  </si>
  <si>
    <t>2284797</t>
  </si>
  <si>
    <t>2284801</t>
  </si>
  <si>
    <t>2284825</t>
  </si>
  <si>
    <t>2284855</t>
  </si>
  <si>
    <t>2284883</t>
  </si>
  <si>
    <t>2284885</t>
  </si>
  <si>
    <t>2284887</t>
  </si>
  <si>
    <t>2284895</t>
  </si>
  <si>
    <t>2285084</t>
  </si>
  <si>
    <t>2285112</t>
  </si>
  <si>
    <t>2285264</t>
  </si>
  <si>
    <t>2285266</t>
  </si>
  <si>
    <t>2285303</t>
  </si>
  <si>
    <t>2285314</t>
  </si>
  <si>
    <t>2285316</t>
  </si>
  <si>
    <t>2285328</t>
  </si>
  <si>
    <t>2285333</t>
  </si>
  <si>
    <t>2285335</t>
  </si>
  <si>
    <t>2285337</t>
  </si>
  <si>
    <t>2285421</t>
  </si>
  <si>
    <t>2285426</t>
  </si>
  <si>
    <t>2285428</t>
  </si>
  <si>
    <t>2285430</t>
  </si>
  <si>
    <t>2285435</t>
  </si>
  <si>
    <t>2285438</t>
  </si>
  <si>
    <t>2285456</t>
  </si>
  <si>
    <t>2285461</t>
  </si>
  <si>
    <t>2285463</t>
  </si>
  <si>
    <t>2285465</t>
  </si>
  <si>
    <t>2285515</t>
  </si>
  <si>
    <t>2285528</t>
  </si>
  <si>
    <t>2285588</t>
  </si>
  <si>
    <t>2285589</t>
  </si>
  <si>
    <t>2285594</t>
  </si>
  <si>
    <t>2285596</t>
  </si>
  <si>
    <t>2285606</t>
  </si>
  <si>
    <t>2285608</t>
  </si>
  <si>
    <t>2285610</t>
  </si>
  <si>
    <t>2285651</t>
  </si>
  <si>
    <t>2285674</t>
  </si>
  <si>
    <t>2285678</t>
  </si>
  <si>
    <t>2285766</t>
  </si>
  <si>
    <t>2285769</t>
  </si>
  <si>
    <t>2285771</t>
  </si>
  <si>
    <t>2285774</t>
  </si>
  <si>
    <t>2285828</t>
  </si>
  <si>
    <t>2286093</t>
  </si>
  <si>
    <t>2286160</t>
  </si>
  <si>
    <t>2286164</t>
  </si>
  <si>
    <t>2286165</t>
  </si>
  <si>
    <t>2286166</t>
  </si>
  <si>
    <t>2286238</t>
  </si>
  <si>
    <t>2286241</t>
  </si>
  <si>
    <t>2286242</t>
  </si>
  <si>
    <t>2286243</t>
  </si>
  <si>
    <t>2286249</t>
  </si>
  <si>
    <t>2286252</t>
  </si>
  <si>
    <t>2286255</t>
  </si>
  <si>
    <t>2286256</t>
  </si>
  <si>
    <t>2286258</t>
  </si>
  <si>
    <t>2286282</t>
  </si>
  <si>
    <t>2286426</t>
  </si>
  <si>
    <t>2286475</t>
  </si>
  <si>
    <t>2286500</t>
  </si>
  <si>
    <t>2286505</t>
  </si>
  <si>
    <t>2286507</t>
  </si>
  <si>
    <t>2286509</t>
  </si>
  <si>
    <t>2286523</t>
  </si>
  <si>
    <t>2286541</t>
  </si>
  <si>
    <t>2286560</t>
  </si>
  <si>
    <t>2286565</t>
  </si>
  <si>
    <t>2286568</t>
  </si>
  <si>
    <t>2286574</t>
  </si>
  <si>
    <t>2286578</t>
  </si>
  <si>
    <t>2286608</t>
  </si>
  <si>
    <t>2286646</t>
  </si>
  <si>
    <t>2286675</t>
  </si>
  <si>
    <t>2286689</t>
  </si>
  <si>
    <t>2286704</t>
  </si>
  <si>
    <t>2286831</t>
  </si>
  <si>
    <t>2286870</t>
  </si>
  <si>
    <t>2286912</t>
  </si>
  <si>
    <t>2286917</t>
  </si>
  <si>
    <t>2286986</t>
  </si>
  <si>
    <t>2287040</t>
  </si>
  <si>
    <t>2287180</t>
  </si>
  <si>
    <t>2287182</t>
  </si>
  <si>
    <t>2287187</t>
  </si>
  <si>
    <t>2287191</t>
  </si>
  <si>
    <t>2287194</t>
  </si>
  <si>
    <t>2287225</t>
  </si>
  <si>
    <t>2287227</t>
  </si>
  <si>
    <t>2287379</t>
  </si>
  <si>
    <t>2287383</t>
  </si>
  <si>
    <t>2287385</t>
  </si>
  <si>
    <t>2287404</t>
  </si>
  <si>
    <t>2287421</t>
  </si>
  <si>
    <t>2287426</t>
  </si>
  <si>
    <t>2287429</t>
  </si>
  <si>
    <t>2287451</t>
  </si>
  <si>
    <t>2287455</t>
  </si>
  <si>
    <t>2287581</t>
  </si>
  <si>
    <t>2287654</t>
  </si>
  <si>
    <t>2287672</t>
  </si>
  <si>
    <t>2287709</t>
  </si>
  <si>
    <t>2287757</t>
  </si>
  <si>
    <t>2287794</t>
  </si>
  <si>
    <t>2287846</t>
  </si>
  <si>
    <t>2287858</t>
  </si>
  <si>
    <t>2287959</t>
  </si>
  <si>
    <t>2288047</t>
  </si>
  <si>
    <t>2288073</t>
  </si>
  <si>
    <t>2288198</t>
  </si>
  <si>
    <t>2288261</t>
  </si>
  <si>
    <t>2288270</t>
  </si>
  <si>
    <t>2288297</t>
  </si>
  <si>
    <t>2288298</t>
  </si>
  <si>
    <t>2288301</t>
  </si>
  <si>
    <t>2288303</t>
  </si>
  <si>
    <t>2288343</t>
  </si>
  <si>
    <t>2288347</t>
  </si>
  <si>
    <t>2288405</t>
  </si>
  <si>
    <t>2288408</t>
  </si>
  <si>
    <t>2288412</t>
  </si>
  <si>
    <t>2288414</t>
  </si>
  <si>
    <t>2288423</t>
  </si>
  <si>
    <t>2288438</t>
  </si>
  <si>
    <t>2288451</t>
  </si>
  <si>
    <t>2288513</t>
  </si>
  <si>
    <t>2288520</t>
  </si>
  <si>
    <t>2288529</t>
  </si>
  <si>
    <t>2288537</t>
  </si>
  <si>
    <t>2288548</t>
  </si>
  <si>
    <t>2288550</t>
  </si>
  <si>
    <t>2288576</t>
  </si>
  <si>
    <t>2288589</t>
  </si>
  <si>
    <t>2288613</t>
  </si>
  <si>
    <t>2288672</t>
  </si>
  <si>
    <t>2288678</t>
  </si>
  <si>
    <t>2288680</t>
  </si>
  <si>
    <t>2288682</t>
  </si>
  <si>
    <t>2288686</t>
  </si>
  <si>
    <t>2288740</t>
  </si>
  <si>
    <t>2288741</t>
  </si>
  <si>
    <t>2288744</t>
  </si>
  <si>
    <t>2288745</t>
  </si>
  <si>
    <t>2288746</t>
  </si>
  <si>
    <t>2288749</t>
  </si>
  <si>
    <t>2288750</t>
  </si>
  <si>
    <t>2288751</t>
  </si>
  <si>
    <t>2288754</t>
  </si>
  <si>
    <t>2288755</t>
  </si>
  <si>
    <t>2288815</t>
  </si>
  <si>
    <t>2288837</t>
  </si>
  <si>
    <t>2288901</t>
  </si>
  <si>
    <t>2288954</t>
  </si>
  <si>
    <t>2288958</t>
  </si>
  <si>
    <t>2288960</t>
  </si>
  <si>
    <t>2288961</t>
  </si>
  <si>
    <t>2289001</t>
  </si>
  <si>
    <t>2289007</t>
  </si>
  <si>
    <t>2289056</t>
  </si>
  <si>
    <t>2289072</t>
  </si>
  <si>
    <t>2289108</t>
  </si>
  <si>
    <t>2289136</t>
  </si>
  <si>
    <t>2289219</t>
  </si>
  <si>
    <t>2289231</t>
  </si>
  <si>
    <t>2289236</t>
  </si>
  <si>
    <t>2289251</t>
  </si>
  <si>
    <t>2289270</t>
  </si>
  <si>
    <t>2289272</t>
  </si>
  <si>
    <t>2289274</t>
  </si>
  <si>
    <t>2289331</t>
  </si>
  <si>
    <t>2289333</t>
  </si>
  <si>
    <t>2289368</t>
  </si>
  <si>
    <t>2289387</t>
  </si>
  <si>
    <t>2289479</t>
  </si>
  <si>
    <t>2289481</t>
  </si>
  <si>
    <t>2289482</t>
  </si>
  <si>
    <t>2289487</t>
  </si>
  <si>
    <t>2289530</t>
  </si>
  <si>
    <t>2289531</t>
  </si>
  <si>
    <t>2289532</t>
  </si>
  <si>
    <t>2289534</t>
  </si>
  <si>
    <t>2289535</t>
  </si>
  <si>
    <t>2289539</t>
  </si>
  <si>
    <t>2289541</t>
  </si>
  <si>
    <t>2289542</t>
  </si>
  <si>
    <t>2289544</t>
  </si>
  <si>
    <t>2289545</t>
  </si>
  <si>
    <t>2289548</t>
  </si>
  <si>
    <t>2289687</t>
  </si>
  <si>
    <t>2289694</t>
  </si>
  <si>
    <t>2289698</t>
  </si>
  <si>
    <t>2289727</t>
  </si>
  <si>
    <t>2289746</t>
  </si>
  <si>
    <t>2289747</t>
  </si>
  <si>
    <t>2289751</t>
  </si>
  <si>
    <t>2289754</t>
  </si>
  <si>
    <t>2289790</t>
  </si>
  <si>
    <t>2289791</t>
  </si>
  <si>
    <t>2289794</t>
  </si>
  <si>
    <t>2289795</t>
  </si>
  <si>
    <t>2289831</t>
  </si>
  <si>
    <t>2289884</t>
  </si>
  <si>
    <t>2289965</t>
  </si>
  <si>
    <t>2289970</t>
  </si>
  <si>
    <t>2289972</t>
  </si>
  <si>
    <t>2289974</t>
  </si>
  <si>
    <t>2289977</t>
  </si>
  <si>
    <t>2289980</t>
  </si>
  <si>
    <t>2289992</t>
  </si>
  <si>
    <t>2289994</t>
  </si>
  <si>
    <t>2289997</t>
  </si>
  <si>
    <t>2290000</t>
  </si>
  <si>
    <t>2290003</t>
  </si>
  <si>
    <t>2290028</t>
  </si>
  <si>
    <t>2290031</t>
  </si>
  <si>
    <t>2290032</t>
  </si>
  <si>
    <t>2290036</t>
  </si>
  <si>
    <t>2290038</t>
  </si>
  <si>
    <t>2290043</t>
  </si>
  <si>
    <t>2290044</t>
  </si>
  <si>
    <t>2290051</t>
  </si>
  <si>
    <t>2290052</t>
  </si>
  <si>
    <t>2290057</t>
  </si>
  <si>
    <t>2290058</t>
  </si>
  <si>
    <t>2290060</t>
  </si>
  <si>
    <t>2290063</t>
  </si>
  <si>
    <t>2290070</t>
  </si>
  <si>
    <t>2290071</t>
  </si>
  <si>
    <t>2290076</t>
  </si>
  <si>
    <t>2290079</t>
  </si>
  <si>
    <t>2290081</t>
  </si>
  <si>
    <t>2290094</t>
  </si>
  <si>
    <t>2290096</t>
  </si>
  <si>
    <t>2290098</t>
  </si>
  <si>
    <t>2290102</t>
  </si>
  <si>
    <t>2290154</t>
  </si>
  <si>
    <t>2290220</t>
  </si>
  <si>
    <t>2290230</t>
  </si>
  <si>
    <t>2290235</t>
  </si>
  <si>
    <t>2290259</t>
  </si>
  <si>
    <t>2290269</t>
  </si>
  <si>
    <t>2290299</t>
  </si>
  <si>
    <t>2290319</t>
  </si>
  <si>
    <t>2290323</t>
  </si>
  <si>
    <t>2290362</t>
  </si>
  <si>
    <t>2290394</t>
  </si>
  <si>
    <t>2290419</t>
  </si>
  <si>
    <t>2290513</t>
  </si>
  <si>
    <t>2290521</t>
  </si>
  <si>
    <t>2290525</t>
  </si>
  <si>
    <t>2290527</t>
  </si>
  <si>
    <t>2290624</t>
  </si>
  <si>
    <t>2290643</t>
  </si>
  <si>
    <t>2290670</t>
  </si>
  <si>
    <t>2290684</t>
  </si>
  <si>
    <t>2290688</t>
  </si>
  <si>
    <t>2290721</t>
  </si>
  <si>
    <t>2291054</t>
  </si>
  <si>
    <t>2291058</t>
  </si>
  <si>
    <t>2291059</t>
  </si>
  <si>
    <t>2291060</t>
  </si>
  <si>
    <t>2291075</t>
  </si>
  <si>
    <t>2291192</t>
  </si>
  <si>
    <t>2291197</t>
  </si>
  <si>
    <t>2291199</t>
  </si>
  <si>
    <t>2291201</t>
  </si>
  <si>
    <t>2291298</t>
  </si>
  <si>
    <t>2291327</t>
  </si>
  <si>
    <t>2291333</t>
  </si>
  <si>
    <t>2291335</t>
  </si>
  <si>
    <t>2291336</t>
  </si>
  <si>
    <t>2291405</t>
  </si>
  <si>
    <t>2291499</t>
  </si>
  <si>
    <t>2291595</t>
  </si>
  <si>
    <t>2291600</t>
  </si>
  <si>
    <t>2291601</t>
  </si>
  <si>
    <t>2291602</t>
  </si>
  <si>
    <t>2291603</t>
  </si>
  <si>
    <t>20200303153139</t>
  </si>
  <si>
    <t>2020-03-03 00:00:00.000</t>
  </si>
  <si>
    <t>70</t>
  </si>
  <si>
    <t>20000462703</t>
  </si>
  <si>
    <t>BLOCO 12 APTO 11</t>
  </si>
  <si>
    <t>BL 12 AP 11</t>
  </si>
  <si>
    <t>COMPLEMENTO</t>
  </si>
  <si>
    <t>20786549910</t>
  </si>
  <si>
    <t>40154187860</t>
  </si>
  <si>
    <t>20000520</t>
  </si>
  <si>
    <t>2000052083</t>
  </si>
  <si>
    <t>BLOCO 05 APTO 32</t>
  </si>
  <si>
    <t>BL 05 AP 32</t>
  </si>
  <si>
    <t>01578553849</t>
  </si>
  <si>
    <t>20000520151</t>
  </si>
  <si>
    <t>ESTANCIA ELDORAD</t>
  </si>
  <si>
    <t>EST ELDORAD</t>
  </si>
  <si>
    <t>28813140827</t>
  </si>
  <si>
    <t>200006341851</t>
  </si>
  <si>
    <t>AP 63 BLOBO LIFE</t>
  </si>
  <si>
    <t>AP 63 BL LIFE</t>
  </si>
  <si>
    <t>22112105892</t>
  </si>
  <si>
    <t>200006341852</t>
  </si>
  <si>
    <t>214</t>
  </si>
  <si>
    <t>200006342143</t>
  </si>
  <si>
    <t>PATO 122 BL 14 A</t>
  </si>
  <si>
    <t>AP 122 BL 14 A</t>
  </si>
  <si>
    <t>12718130260</t>
  </si>
  <si>
    <t>13835678833</t>
  </si>
  <si>
    <t>394</t>
  </si>
  <si>
    <t>200006343941</t>
  </si>
  <si>
    <t>APTO 801 EDF CAR</t>
  </si>
  <si>
    <t>AP 801 EDF CAR</t>
  </si>
  <si>
    <t>38615214824</t>
  </si>
  <si>
    <t>200006343942</t>
  </si>
  <si>
    <t>33180868864</t>
  </si>
  <si>
    <t>397</t>
  </si>
  <si>
    <t>200006343971</t>
  </si>
  <si>
    <t>APTO 103 BL JASM</t>
  </si>
  <si>
    <t>AP 103 BL JASM</t>
  </si>
  <si>
    <t>31317279859</t>
  </si>
  <si>
    <t>200006343972</t>
  </si>
  <si>
    <t>18590216896</t>
  </si>
  <si>
    <t>408</t>
  </si>
  <si>
    <t>200006344081</t>
  </si>
  <si>
    <t>APTO 104 TORRE 1</t>
  </si>
  <si>
    <t>AP 104 TR 1</t>
  </si>
  <si>
    <t>22297351879</t>
  </si>
  <si>
    <t>200006344082</t>
  </si>
  <si>
    <t>53400235830</t>
  </si>
  <si>
    <t>200006344083</t>
  </si>
  <si>
    <t>53400278807</t>
  </si>
  <si>
    <t>200006344084</t>
  </si>
  <si>
    <t>200006344085</t>
  </si>
  <si>
    <t>04352331902</t>
  </si>
  <si>
    <t>425</t>
  </si>
  <si>
    <t>200006344251</t>
  </si>
  <si>
    <t>APTO 111 TORRE 1</t>
  </si>
  <si>
    <t>AP 111 TR 1</t>
  </si>
  <si>
    <t>55682011880</t>
  </si>
  <si>
    <t>200006344253</t>
  </si>
  <si>
    <t>44769960867</t>
  </si>
  <si>
    <t>455</t>
  </si>
  <si>
    <t>200006344551</t>
  </si>
  <si>
    <t>APTO 132 BLOCO 1</t>
  </si>
  <si>
    <t>AP 132 BL 1</t>
  </si>
  <si>
    <t>35101575836</t>
  </si>
  <si>
    <t>459</t>
  </si>
  <si>
    <t>200006344591</t>
  </si>
  <si>
    <t>APTO 81 BLOCO B3</t>
  </si>
  <si>
    <t>AP 81 BL B3</t>
  </si>
  <si>
    <t>35215066817</t>
  </si>
  <si>
    <t>461</t>
  </si>
  <si>
    <t>200006344611</t>
  </si>
  <si>
    <t>APTO 144 BLOCO A</t>
  </si>
  <si>
    <t>AP 144 BL A</t>
  </si>
  <si>
    <t>35707768831</t>
  </si>
  <si>
    <t>200006344612</t>
  </si>
  <si>
    <t>53860603841</t>
  </si>
  <si>
    <t>200006344613</t>
  </si>
  <si>
    <t>01059018810</t>
  </si>
  <si>
    <t>20000674311</t>
  </si>
  <si>
    <t>APTO 183  18º AN</t>
  </si>
  <si>
    <t>AP 183  18º AN</t>
  </si>
  <si>
    <t>06564795823</t>
  </si>
  <si>
    <t>20000674312</t>
  </si>
  <si>
    <t>27492637861</t>
  </si>
  <si>
    <t>211</t>
  </si>
  <si>
    <t>200006952111</t>
  </si>
  <si>
    <t>L 11 BL 2 AP 14A</t>
  </si>
  <si>
    <t>L11 BL 2 AP14A</t>
  </si>
  <si>
    <t>49927424833</t>
  </si>
  <si>
    <t>291</t>
  </si>
  <si>
    <t>200006952911</t>
  </si>
  <si>
    <t>TRAVESSA SERPENT</t>
  </si>
  <si>
    <t>TRAV SERPENT</t>
  </si>
  <si>
    <t>40622915843</t>
  </si>
  <si>
    <t>302</t>
  </si>
  <si>
    <t>200006953021</t>
  </si>
  <si>
    <t>LT 02 BL 01 AP 2</t>
  </si>
  <si>
    <t>LT 02 BL 01 AP2</t>
  </si>
  <si>
    <t>40514446862</t>
  </si>
  <si>
    <t>200006953022</t>
  </si>
  <si>
    <t>25755969809</t>
  </si>
  <si>
    <t>310</t>
  </si>
  <si>
    <t>200006953101</t>
  </si>
  <si>
    <t>LOTE 10 BL 08 AP</t>
  </si>
  <si>
    <t>LT 10 BL 08 AP</t>
  </si>
  <si>
    <t>15223517873</t>
  </si>
  <si>
    <t>200006953102</t>
  </si>
  <si>
    <t>49017964880</t>
  </si>
  <si>
    <t>200006953103</t>
  </si>
  <si>
    <t>01617952850</t>
  </si>
  <si>
    <t>20000756</t>
  </si>
  <si>
    <t>20000756461</t>
  </si>
  <si>
    <t>38403124856</t>
  </si>
  <si>
    <t>20001080</t>
  </si>
  <si>
    <t>2000108051</t>
  </si>
  <si>
    <t>CA COMPL SA 39 H</t>
  </si>
  <si>
    <t>CA COMPL SA 39H</t>
  </si>
  <si>
    <t>03245424884</t>
  </si>
  <si>
    <t>20001094</t>
  </si>
  <si>
    <t>2000109421</t>
  </si>
  <si>
    <t>QUADRA 66 LOTE18</t>
  </si>
  <si>
    <t>QUADRA 66 LT18</t>
  </si>
  <si>
    <t>28044135863</t>
  </si>
  <si>
    <t>2000109431</t>
  </si>
  <si>
    <t>APTO 31 A BL TEJ</t>
  </si>
  <si>
    <t>AP 31 A BL TEJ</t>
  </si>
  <si>
    <t>43066610837</t>
  </si>
  <si>
    <t>20001521</t>
  </si>
  <si>
    <t>59</t>
  </si>
  <si>
    <t>20001521591</t>
  </si>
  <si>
    <t>TORRE III 3 AND.</t>
  </si>
  <si>
    <t>TR III 3 AND.</t>
  </si>
  <si>
    <t>27934430850</t>
  </si>
  <si>
    <t>20001524</t>
  </si>
  <si>
    <t>20001524351</t>
  </si>
  <si>
    <t>APT 5 BLOCO B 25</t>
  </si>
  <si>
    <t>APT 5 BL B 25</t>
  </si>
  <si>
    <t>14382552842</t>
  </si>
  <si>
    <t>20001675</t>
  </si>
  <si>
    <t>2000167511</t>
  </si>
  <si>
    <t>1º ANDAR SALA 14</t>
  </si>
  <si>
    <t>1º AND SALA 14</t>
  </si>
  <si>
    <t>94646945800</t>
  </si>
  <si>
    <t>20001757</t>
  </si>
  <si>
    <t>2000175791</t>
  </si>
  <si>
    <t>APTO 114 BLOCO B</t>
  </si>
  <si>
    <t>AP 114 BL B</t>
  </si>
  <si>
    <t>04793386806</t>
  </si>
  <si>
    <t>2000175792</t>
  </si>
  <si>
    <t>26933067874</t>
  </si>
  <si>
    <t>157</t>
  </si>
  <si>
    <t>200020051571</t>
  </si>
  <si>
    <t>AP 13  T UBATUBA</t>
  </si>
  <si>
    <t>AP 13 T UBATUBA</t>
  </si>
  <si>
    <t>30827317832</t>
  </si>
  <si>
    <t>238</t>
  </si>
  <si>
    <t>200020052381</t>
  </si>
  <si>
    <t>APTO 113 TORRE A</t>
  </si>
  <si>
    <t>AP 113 TR A</t>
  </si>
  <si>
    <t>35167864852</t>
  </si>
  <si>
    <t>200020052382</t>
  </si>
  <si>
    <t>AC 4 BL 24 AP 22</t>
  </si>
  <si>
    <t>AC 4 BL 24 AP22</t>
  </si>
  <si>
    <t>01773079190</t>
  </si>
  <si>
    <t>20002132</t>
  </si>
  <si>
    <t>20002132701</t>
  </si>
  <si>
    <t>G PARK BLI AP113</t>
  </si>
  <si>
    <t>GPARK BLI AP113</t>
  </si>
  <si>
    <t>12484903450</t>
  </si>
  <si>
    <t>41285014847</t>
  </si>
  <si>
    <t>91</t>
  </si>
  <si>
    <t>20002237911</t>
  </si>
  <si>
    <t>AP 83 BL ELDORAD</t>
  </si>
  <si>
    <t>AP 83 BL ELDOR</t>
  </si>
  <si>
    <t>43260938893</t>
  </si>
  <si>
    <t>95</t>
  </si>
  <si>
    <t>20002237951</t>
  </si>
  <si>
    <t>2107265757</t>
  </si>
  <si>
    <t>21072657570</t>
  </si>
  <si>
    <t>38582282818</t>
  </si>
  <si>
    <t>20002305</t>
  </si>
  <si>
    <t>2000230581</t>
  </si>
  <si>
    <t>APTO 44 BL JULIA</t>
  </si>
  <si>
    <t>AP 44 BL JULIA</t>
  </si>
  <si>
    <t>27167152897</t>
  </si>
  <si>
    <t>20002354</t>
  </si>
  <si>
    <t>20002354241</t>
  </si>
  <si>
    <t>BLOCO 13 APTO 23</t>
  </si>
  <si>
    <t>BL 13 AP 23</t>
  </si>
  <si>
    <t>15393462859</t>
  </si>
  <si>
    <t>20002434</t>
  </si>
  <si>
    <t>202</t>
  </si>
  <si>
    <t>200024342022</t>
  </si>
  <si>
    <t>APTO 104 BL TIVO</t>
  </si>
  <si>
    <t>AP 104 BL TIVO</t>
  </si>
  <si>
    <t>13124655818</t>
  </si>
  <si>
    <t>222</t>
  </si>
  <si>
    <t>200024342221</t>
  </si>
  <si>
    <t>PARQUQ EGISTO RA</t>
  </si>
  <si>
    <t>PQ EGISTO RA</t>
  </si>
  <si>
    <t>02473769141</t>
  </si>
  <si>
    <t>251</t>
  </si>
  <si>
    <t>200025762511</t>
  </si>
  <si>
    <t>1386802244</t>
  </si>
  <si>
    <t>13868022440</t>
  </si>
  <si>
    <t>42140085884</t>
  </si>
  <si>
    <t>20002666</t>
  </si>
  <si>
    <t>123</t>
  </si>
  <si>
    <t>200026661233</t>
  </si>
  <si>
    <t>TORRE 1 APTO 156</t>
  </si>
  <si>
    <t>TR 1 AP 156</t>
  </si>
  <si>
    <t>70466943628</t>
  </si>
  <si>
    <t>20002954</t>
  </si>
  <si>
    <t>342</t>
  </si>
  <si>
    <t>200029543424</t>
  </si>
  <si>
    <t>APTO 191 BLOCO 2</t>
  </si>
  <si>
    <t>AP 191 BL 2</t>
  </si>
  <si>
    <t>12345964820</t>
  </si>
  <si>
    <t>382</t>
  </si>
  <si>
    <t>200029543824</t>
  </si>
  <si>
    <t>RUA NERCIO NARDI</t>
  </si>
  <si>
    <t>29025411800</t>
  </si>
  <si>
    <t>200029543971</t>
  </si>
  <si>
    <t>BLOCO 3 APTO 206</t>
  </si>
  <si>
    <t>BL 3 AP 206</t>
  </si>
  <si>
    <t>29624629870</t>
  </si>
  <si>
    <t>416</t>
  </si>
  <si>
    <t>200029544161</t>
  </si>
  <si>
    <t>APTO 125 TORRE 2</t>
  </si>
  <si>
    <t>AP 125 TR 2</t>
  </si>
  <si>
    <t>08706111602</t>
  </si>
  <si>
    <t>200029544162</t>
  </si>
  <si>
    <t>55460490812</t>
  </si>
  <si>
    <t>200029544163</t>
  </si>
  <si>
    <t>05735241818</t>
  </si>
  <si>
    <t>418</t>
  </si>
  <si>
    <t>200029544181</t>
  </si>
  <si>
    <t>BLOCO 2 APTO 907</t>
  </si>
  <si>
    <t>BL 2 AP 907</t>
  </si>
  <si>
    <t>19699920858</t>
  </si>
  <si>
    <t>200029544182</t>
  </si>
  <si>
    <t>39626247835</t>
  </si>
  <si>
    <t>200029544183</t>
  </si>
  <si>
    <t>08946804637</t>
  </si>
  <si>
    <t>20002974</t>
  </si>
  <si>
    <t>20002974261</t>
  </si>
  <si>
    <t>BLOCO 2 APTO 303</t>
  </si>
  <si>
    <t>BL 2 AP 303</t>
  </si>
  <si>
    <t>36513781876</t>
  </si>
  <si>
    <t>20003371</t>
  </si>
  <si>
    <t>200033712021</t>
  </si>
  <si>
    <t>BLOCO D3 APTO 23</t>
  </si>
  <si>
    <t>BL D3 AP 23</t>
  </si>
  <si>
    <t>12273783515</t>
  </si>
  <si>
    <t>20003450</t>
  </si>
  <si>
    <t>20003450181</t>
  </si>
  <si>
    <t>LJ 7 JAGUARIBE I</t>
  </si>
  <si>
    <t>33211995600</t>
  </si>
  <si>
    <t>39380021828</t>
  </si>
  <si>
    <t>96</t>
  </si>
  <si>
    <t>20003465961</t>
  </si>
  <si>
    <t>404097960</t>
  </si>
  <si>
    <t>40409796000</t>
  </si>
  <si>
    <t>42041366800</t>
  </si>
  <si>
    <t>98</t>
  </si>
  <si>
    <t>20003465981</t>
  </si>
  <si>
    <t>2068717581</t>
  </si>
  <si>
    <t>20687175810</t>
  </si>
  <si>
    <t>76290883615</t>
  </si>
  <si>
    <t>126</t>
  </si>
  <si>
    <t>200035091261</t>
  </si>
  <si>
    <t>APTO 163 BLOCO 1</t>
  </si>
  <si>
    <t>AP 163 BL 1</t>
  </si>
  <si>
    <t>28722968830</t>
  </si>
  <si>
    <t>200035091262</t>
  </si>
  <si>
    <t>40458496880</t>
  </si>
  <si>
    <t>175</t>
  </si>
  <si>
    <t>200035091751</t>
  </si>
  <si>
    <t>RESIDENCIAL GENE</t>
  </si>
  <si>
    <t>RESID.GENE</t>
  </si>
  <si>
    <t>43447461802</t>
  </si>
  <si>
    <t>186</t>
  </si>
  <si>
    <t>200035091861</t>
  </si>
  <si>
    <t>BLOCO A9 APTO 24</t>
  </si>
  <si>
    <t>BL A9 AP 24</t>
  </si>
  <si>
    <t>41923296892</t>
  </si>
  <si>
    <t>200035092481</t>
  </si>
  <si>
    <t>BLOCO 03 APTO3 4</t>
  </si>
  <si>
    <t>BL 03 AP3 4</t>
  </si>
  <si>
    <t>28706718817</t>
  </si>
  <si>
    <t>254</t>
  </si>
  <si>
    <t>200035092541</t>
  </si>
  <si>
    <t>TORRE C  13 ANDA</t>
  </si>
  <si>
    <t>TR C  13 ANDA</t>
  </si>
  <si>
    <t>55586000806</t>
  </si>
  <si>
    <t>200035092542</t>
  </si>
  <si>
    <t>57968776821</t>
  </si>
  <si>
    <t>2000354644</t>
  </si>
  <si>
    <t>EDIFICIO CRISTAL</t>
  </si>
  <si>
    <t>ED. CRISTAL</t>
  </si>
  <si>
    <t>41990693806</t>
  </si>
  <si>
    <t>76</t>
  </si>
  <si>
    <t>20003546762</t>
  </si>
  <si>
    <t>BLOCO 3 APTO 702</t>
  </si>
  <si>
    <t>BL 3 AP 702</t>
  </si>
  <si>
    <t>39680329852</t>
  </si>
  <si>
    <t>148</t>
  </si>
  <si>
    <t>200035461481</t>
  </si>
  <si>
    <t>03761297513</t>
  </si>
  <si>
    <t>347</t>
  </si>
  <si>
    <t>200035463473</t>
  </si>
  <si>
    <t>EDIFICIL CRISTAL</t>
  </si>
  <si>
    <t>37772656831</t>
  </si>
  <si>
    <t>1265</t>
  </si>
  <si>
    <t>2000354612651</t>
  </si>
  <si>
    <t>TP4 PRATICE CLUB</t>
  </si>
  <si>
    <t>TP4 PRAT CLUB</t>
  </si>
  <si>
    <t>29725254856</t>
  </si>
  <si>
    <t>2000354612652</t>
  </si>
  <si>
    <t>BL M AP 708 LT C</t>
  </si>
  <si>
    <t>BL M AP708 LT C</t>
  </si>
  <si>
    <t>28559151800</t>
  </si>
  <si>
    <t>20003611</t>
  </si>
  <si>
    <t>178</t>
  </si>
  <si>
    <t>200036111781</t>
  </si>
  <si>
    <t>TORRE BUZIOS APT</t>
  </si>
  <si>
    <t>TR BUZIOS APT</t>
  </si>
  <si>
    <t>200036111782</t>
  </si>
  <si>
    <t>34650313856</t>
  </si>
  <si>
    <t>200036111783</t>
  </si>
  <si>
    <t>36533170880</t>
  </si>
  <si>
    <t>200036113821</t>
  </si>
  <si>
    <t>APTO 1102 TORRE1</t>
  </si>
  <si>
    <t>AP 1102 TR1</t>
  </si>
  <si>
    <t>27290098846</t>
  </si>
  <si>
    <t>20003692</t>
  </si>
  <si>
    <t>20003692201</t>
  </si>
  <si>
    <t>APTO 083 BLOCO A</t>
  </si>
  <si>
    <t>AP 083 BL A</t>
  </si>
  <si>
    <t>17814029813</t>
  </si>
  <si>
    <t>20003692203</t>
  </si>
  <si>
    <t>28049874850</t>
  </si>
  <si>
    <t>2000371341</t>
  </si>
  <si>
    <t>T. MARESIAS AP63</t>
  </si>
  <si>
    <t>T.MARESIAS AP63</t>
  </si>
  <si>
    <t>2000371343</t>
  </si>
  <si>
    <t>2000371344</t>
  </si>
  <si>
    <t>12379557730</t>
  </si>
  <si>
    <t>APTO 04 BLOCO 08</t>
  </si>
  <si>
    <t>AP 04 BL 08</t>
  </si>
  <si>
    <t>16352455620</t>
  </si>
  <si>
    <t>02283620830</t>
  </si>
  <si>
    <t>20003820</t>
  </si>
  <si>
    <t>2000382021</t>
  </si>
  <si>
    <t>CONJ 101 10 ANDA</t>
  </si>
  <si>
    <t>CJ 101 10 ANDA</t>
  </si>
  <si>
    <t>15358629807</t>
  </si>
  <si>
    <t>2000382041</t>
  </si>
  <si>
    <t>10 ANDR CONJ 101</t>
  </si>
  <si>
    <t>10 ANDR CJ 101</t>
  </si>
  <si>
    <t>2000382042</t>
  </si>
  <si>
    <t>2000382043</t>
  </si>
  <si>
    <t>28315124846</t>
  </si>
  <si>
    <t>20003861</t>
  </si>
  <si>
    <t>200038613101</t>
  </si>
  <si>
    <t>AP 44    TORRE 5</t>
  </si>
  <si>
    <t>AP 44 TR 5</t>
  </si>
  <si>
    <t>25845669820</t>
  </si>
  <si>
    <t>20003996281</t>
  </si>
  <si>
    <t>CJ 138 B AND. 13</t>
  </si>
  <si>
    <t>CJ 138 B AND.13</t>
  </si>
  <si>
    <t>26665245829</t>
  </si>
  <si>
    <t>20003996291</t>
  </si>
  <si>
    <t>46775546840</t>
  </si>
  <si>
    <t>20004338</t>
  </si>
  <si>
    <t>145</t>
  </si>
  <si>
    <t>200043381451</t>
  </si>
  <si>
    <t>1523208250</t>
  </si>
  <si>
    <t>15232082500</t>
  </si>
  <si>
    <t>05793502823</t>
  </si>
  <si>
    <t>20004453</t>
  </si>
  <si>
    <t>204</t>
  </si>
  <si>
    <t>200044532041</t>
  </si>
  <si>
    <t>E 12 CONJ SAO JT</t>
  </si>
  <si>
    <t>E 12 CJ SAO JT</t>
  </si>
  <si>
    <t>02022731565</t>
  </si>
  <si>
    <t>20004475</t>
  </si>
  <si>
    <t>69</t>
  </si>
  <si>
    <t>20004475692</t>
  </si>
  <si>
    <t>AP 2206 ED BROME</t>
  </si>
  <si>
    <t>AP2206 ED BROME</t>
  </si>
  <si>
    <t>12553062190</t>
  </si>
  <si>
    <t>34884083881</t>
  </si>
  <si>
    <t>125</t>
  </si>
  <si>
    <t>200053651251</t>
  </si>
  <si>
    <t>APTO 163 TORRE 1</t>
  </si>
  <si>
    <t>AP 163 TR 1</t>
  </si>
  <si>
    <t>35532287848</t>
  </si>
  <si>
    <t>200053651252</t>
  </si>
  <si>
    <t>28875543879</t>
  </si>
  <si>
    <t>20005578</t>
  </si>
  <si>
    <t>20005578231</t>
  </si>
  <si>
    <t>APTO 07 BLOCO 05</t>
  </si>
  <si>
    <t>AP 07 BL 05</t>
  </si>
  <si>
    <t>08178723700</t>
  </si>
  <si>
    <t>20005684</t>
  </si>
  <si>
    <t>2000568461</t>
  </si>
  <si>
    <t>BLOCO I - AP 303</t>
  </si>
  <si>
    <t>BL I - AP 303</t>
  </si>
  <si>
    <t>2000568462</t>
  </si>
  <si>
    <t>16903936882</t>
  </si>
  <si>
    <t>20005740</t>
  </si>
  <si>
    <t>20005740191</t>
  </si>
  <si>
    <t>APTO 173 - BL. C</t>
  </si>
  <si>
    <t>AP 173 - BL. C</t>
  </si>
  <si>
    <t>20005740193</t>
  </si>
  <si>
    <t>85262323472</t>
  </si>
  <si>
    <t>20005848</t>
  </si>
  <si>
    <t>174</t>
  </si>
  <si>
    <t>200058481741</t>
  </si>
  <si>
    <t>LOTE 24 QUADRA B</t>
  </si>
  <si>
    <t>LT 24 QUADRA B</t>
  </si>
  <si>
    <t>39960056872</t>
  </si>
  <si>
    <t>20005969</t>
  </si>
  <si>
    <t>2000596921</t>
  </si>
  <si>
    <t>BLOCO   A  9º  A</t>
  </si>
  <si>
    <t>BL   A  9º  A</t>
  </si>
  <si>
    <t>75961032868</t>
  </si>
  <si>
    <t>2000596922</t>
  </si>
  <si>
    <t>08979595662</t>
  </si>
  <si>
    <t>20006088</t>
  </si>
  <si>
    <t>20006088841</t>
  </si>
  <si>
    <t>2373983233</t>
  </si>
  <si>
    <t>23739832330</t>
  </si>
  <si>
    <t>12248633645</t>
  </si>
  <si>
    <t>20006088961</t>
  </si>
  <si>
    <t>1484037005</t>
  </si>
  <si>
    <t>14840370050</t>
  </si>
  <si>
    <t>09918111607</t>
  </si>
  <si>
    <t>20006089</t>
  </si>
  <si>
    <t>200060892141</t>
  </si>
  <si>
    <t>APTO 907 TORRE A</t>
  </si>
  <si>
    <t>AP 907 TR A</t>
  </si>
  <si>
    <t>60760125104</t>
  </si>
  <si>
    <t>20006122</t>
  </si>
  <si>
    <t>2000612221</t>
  </si>
  <si>
    <t>APTO 271 T PAINE</t>
  </si>
  <si>
    <t>AP 271 T PAINE</t>
  </si>
  <si>
    <t>56858485872</t>
  </si>
  <si>
    <t>2000612222</t>
  </si>
  <si>
    <t>2000612223</t>
  </si>
  <si>
    <t>21069252640</t>
  </si>
  <si>
    <t>03502246840</t>
  </si>
  <si>
    <t>20006682</t>
  </si>
  <si>
    <t>2000668221</t>
  </si>
  <si>
    <t>39444551857</t>
  </si>
  <si>
    <t>20006936</t>
  </si>
  <si>
    <t>20006936311</t>
  </si>
  <si>
    <t>TORRE 3 APTO 178</t>
  </si>
  <si>
    <t>TR 3 AP 178</t>
  </si>
  <si>
    <t>00470951648</t>
  </si>
  <si>
    <t>20006962</t>
  </si>
  <si>
    <t>20006962251</t>
  </si>
  <si>
    <t>17 ANDAR ALA A 1</t>
  </si>
  <si>
    <t>17 AND ALA A 1</t>
  </si>
  <si>
    <t>22331020884</t>
  </si>
  <si>
    <t>20007008</t>
  </si>
  <si>
    <t>2000700831</t>
  </si>
  <si>
    <t>99999</t>
  </si>
  <si>
    <t>07400940767</t>
  </si>
  <si>
    <t>20007008111</t>
  </si>
  <si>
    <t>9999</t>
  </si>
  <si>
    <t>21477494863</t>
  </si>
  <si>
    <t>20007008121</t>
  </si>
  <si>
    <t>999</t>
  </si>
  <si>
    <t>75843200744</t>
  </si>
  <si>
    <t>20007369121</t>
  </si>
  <si>
    <t>BLOCO 2 APTO 204</t>
  </si>
  <si>
    <t>BL 2 AP 204</t>
  </si>
  <si>
    <t>99314118649</t>
  </si>
  <si>
    <t>20007567</t>
  </si>
  <si>
    <t>156</t>
  </si>
  <si>
    <t>200075671561</t>
  </si>
  <si>
    <t>APARTAMENTO 4022</t>
  </si>
  <si>
    <t>AP 4022</t>
  </si>
  <si>
    <t>06032531643</t>
  </si>
  <si>
    <t>200075671562</t>
  </si>
  <si>
    <t>16395084658</t>
  </si>
  <si>
    <t>200075671563</t>
  </si>
  <si>
    <t>10345534611</t>
  </si>
  <si>
    <t>161</t>
  </si>
  <si>
    <t>200075671611</t>
  </si>
  <si>
    <t>APTO 304 BLOCO 1</t>
  </si>
  <si>
    <t>AP 304 BL 1</t>
  </si>
  <si>
    <t>39111979852</t>
  </si>
  <si>
    <t>20007632</t>
  </si>
  <si>
    <t>50</t>
  </si>
  <si>
    <t>20007632501</t>
  </si>
  <si>
    <t>JD NOSSA SENHORA</t>
  </si>
  <si>
    <t>JD NS SRA</t>
  </si>
  <si>
    <t>20007806</t>
  </si>
  <si>
    <t>2000780623</t>
  </si>
  <si>
    <t>77011961291</t>
  </si>
  <si>
    <t>20008676881</t>
  </si>
  <si>
    <t>LOTE 13 AAPTO 20</t>
  </si>
  <si>
    <t>LT 13 AAP 20</t>
  </si>
  <si>
    <t>01699129223</t>
  </si>
  <si>
    <t>20008676883</t>
  </si>
  <si>
    <t>01699128251</t>
  </si>
  <si>
    <t>20008676884</t>
  </si>
  <si>
    <t>29577257895</t>
  </si>
  <si>
    <t>20009026</t>
  </si>
  <si>
    <t>20009026441</t>
  </si>
  <si>
    <t>BLOCO 02 APTO 41</t>
  </si>
  <si>
    <t>BL 02 AP 41</t>
  </si>
  <si>
    <t>28629912871</t>
  </si>
  <si>
    <t>20009191</t>
  </si>
  <si>
    <t>2000919132</t>
  </si>
  <si>
    <t>BLOCO 8 APTO 114</t>
  </si>
  <si>
    <t>BL 8 AP 114</t>
  </si>
  <si>
    <t>14070384863</t>
  </si>
  <si>
    <t>20009409</t>
  </si>
  <si>
    <t>2000940921</t>
  </si>
  <si>
    <t>JARDIM DA GLORIA</t>
  </si>
  <si>
    <t>JD DA GLORIA</t>
  </si>
  <si>
    <t>20105496863</t>
  </si>
  <si>
    <t>2000940922</t>
  </si>
  <si>
    <t>27171644804</t>
  </si>
  <si>
    <t>20009474</t>
  </si>
  <si>
    <t>2000947422</t>
  </si>
  <si>
    <t>AP34 -EDF MARINA</t>
  </si>
  <si>
    <t>AP34 EDF MARINA</t>
  </si>
  <si>
    <t>28444407895</t>
  </si>
  <si>
    <t>66</t>
  </si>
  <si>
    <t>20009474661</t>
  </si>
  <si>
    <t>APTO 13  BLOCO 5</t>
  </si>
  <si>
    <t>AP 13  BL 5</t>
  </si>
  <si>
    <t>21073584830</t>
  </si>
  <si>
    <t>36773067871</t>
  </si>
  <si>
    <t>124</t>
  </si>
  <si>
    <t>200098041241</t>
  </si>
  <si>
    <t>APTO 125 TORRE 3</t>
  </si>
  <si>
    <t>AP 125 TR 3</t>
  </si>
  <si>
    <t>21490811800</t>
  </si>
  <si>
    <t>200098041351</t>
  </si>
  <si>
    <t>APTO 141 BL NOIR</t>
  </si>
  <si>
    <t>AP 141 BL NOIR</t>
  </si>
  <si>
    <t>13728000000</t>
  </si>
  <si>
    <t>30658343831</t>
  </si>
  <si>
    <t>143</t>
  </si>
  <si>
    <t>200098041431</t>
  </si>
  <si>
    <t>APTO 133 - BLIII</t>
  </si>
  <si>
    <t>AP 133 - BLIII</t>
  </si>
  <si>
    <t>38068094881</t>
  </si>
  <si>
    <t>152</t>
  </si>
  <si>
    <t>200098041521</t>
  </si>
  <si>
    <t>BLOCO A 6º ANDAR</t>
  </si>
  <si>
    <t>BL A 6º AND</t>
  </si>
  <si>
    <t>01404995803</t>
  </si>
  <si>
    <t>20010024171</t>
  </si>
  <si>
    <t>MORADA DOS LAGOS</t>
  </si>
  <si>
    <t>MRDA DOS LAGOS</t>
  </si>
  <si>
    <t>57541275883</t>
  </si>
  <si>
    <t>20010281</t>
  </si>
  <si>
    <t>2001028134</t>
  </si>
  <si>
    <t>AP 211 T SAN MAR</t>
  </si>
  <si>
    <t>AP211 T SAN MAR</t>
  </si>
  <si>
    <t>21071413740</t>
  </si>
  <si>
    <t>29501869806</t>
  </si>
  <si>
    <t>20010577</t>
  </si>
  <si>
    <t>2001057711</t>
  </si>
  <si>
    <t>AP 172 - TORRE B</t>
  </si>
  <si>
    <t>AP 172 - TR B</t>
  </si>
  <si>
    <t>2001057713</t>
  </si>
  <si>
    <t>54502830836</t>
  </si>
  <si>
    <t>20010857</t>
  </si>
  <si>
    <t>2001085734</t>
  </si>
  <si>
    <t>APTO 242 TORRE C</t>
  </si>
  <si>
    <t>AP 242 TR C</t>
  </si>
  <si>
    <t>30808758187</t>
  </si>
  <si>
    <t>20011175</t>
  </si>
  <si>
    <t>2001117571</t>
  </si>
  <si>
    <t>LT 04 ED. MIRANT</t>
  </si>
  <si>
    <t>LT 04 ED.MIRANT</t>
  </si>
  <si>
    <t>78052734134</t>
  </si>
  <si>
    <t>2001117572</t>
  </si>
  <si>
    <t>2001117573</t>
  </si>
  <si>
    <t>93579993100</t>
  </si>
  <si>
    <t>20011504</t>
  </si>
  <si>
    <t>20011504153</t>
  </si>
  <si>
    <t>CONJ. 18 LOTE 19</t>
  </si>
  <si>
    <t>CJ. 18 LT 19</t>
  </si>
  <si>
    <t>21301750824</t>
  </si>
  <si>
    <t>1013744801432</t>
  </si>
  <si>
    <t>AP 174 T COZUMEL</t>
  </si>
  <si>
    <t>AP174 T COZUMEL</t>
  </si>
  <si>
    <t>1013744802023</t>
  </si>
  <si>
    <t>BLOCO 1 APRTAMEN</t>
  </si>
  <si>
    <t>BL 1 APRTAMEN</t>
  </si>
  <si>
    <t>1013744802024</t>
  </si>
  <si>
    <t>04190997862</t>
  </si>
  <si>
    <t>210</t>
  </si>
  <si>
    <t>1013744802102</t>
  </si>
  <si>
    <t>AP 34  TORRE EMO</t>
  </si>
  <si>
    <t>AP 34  TR EMO</t>
  </si>
  <si>
    <t>1013744802104</t>
  </si>
  <si>
    <t>11604036869</t>
  </si>
  <si>
    <t>292</t>
  </si>
  <si>
    <t>1013744802921</t>
  </si>
  <si>
    <t>APTO 33 BL ORION</t>
  </si>
  <si>
    <t>AP 33 BL ORION</t>
  </si>
  <si>
    <t>47029952863</t>
  </si>
  <si>
    <t>1013744802923</t>
  </si>
  <si>
    <t>1013744802924</t>
  </si>
  <si>
    <t>12677097826</t>
  </si>
  <si>
    <t>324</t>
  </si>
  <si>
    <t>1013744803241</t>
  </si>
  <si>
    <t>BL.IPORANGA-AP81</t>
  </si>
  <si>
    <t>BL.IPORANGAAP81</t>
  </si>
  <si>
    <t>1013744803243</t>
  </si>
  <si>
    <t>1013744803244</t>
  </si>
  <si>
    <t>15533539867</t>
  </si>
  <si>
    <t>404</t>
  </si>
  <si>
    <t>1013744804041</t>
  </si>
  <si>
    <t>ESTANCIA NOBLESE</t>
  </si>
  <si>
    <t>EST NOBLESE</t>
  </si>
  <si>
    <t>17018150876</t>
  </si>
  <si>
    <t>435</t>
  </si>
  <si>
    <t>1013744804351</t>
  </si>
  <si>
    <t>APTO 192 TORRE C</t>
  </si>
  <si>
    <t>AP 192 TR C</t>
  </si>
  <si>
    <t>34252047854</t>
  </si>
  <si>
    <t>1013744804352</t>
  </si>
  <si>
    <t>1013744804353</t>
  </si>
  <si>
    <t>1013744804354</t>
  </si>
  <si>
    <t>498</t>
  </si>
  <si>
    <t>1013744804983</t>
  </si>
  <si>
    <t>TORRE DALIA APTO</t>
  </si>
  <si>
    <t>TR DALIA AP</t>
  </si>
  <si>
    <t>21362268860</t>
  </si>
  <si>
    <t>500</t>
  </si>
  <si>
    <t>1013744805001</t>
  </si>
  <si>
    <t>APARTAMENTO 62 B</t>
  </si>
  <si>
    <t>AP 62 B</t>
  </si>
  <si>
    <t>38705606810</t>
  </si>
  <si>
    <t>1013744805002</t>
  </si>
  <si>
    <t>1013744805003</t>
  </si>
  <si>
    <t>22099473838</t>
  </si>
  <si>
    <t>516</t>
  </si>
  <si>
    <t>1013744805161</t>
  </si>
  <si>
    <t>AP 103 EDIFICIO:</t>
  </si>
  <si>
    <t>AP 103 EDF:</t>
  </si>
  <si>
    <t>22441032852</t>
  </si>
  <si>
    <t>529</t>
  </si>
  <si>
    <t>1013744805291</t>
  </si>
  <si>
    <t>APARTAMENTO 53 T</t>
  </si>
  <si>
    <t>AP 53 T</t>
  </si>
  <si>
    <t>32791809880</t>
  </si>
  <si>
    <t>1013744805292</t>
  </si>
  <si>
    <t>APARTAMENTO 53 B</t>
  </si>
  <si>
    <t>AP 53 B</t>
  </si>
  <si>
    <t>56641186873</t>
  </si>
  <si>
    <t>1013744805293</t>
  </si>
  <si>
    <t>33202520890</t>
  </si>
  <si>
    <t>553</t>
  </si>
  <si>
    <t>1013744805532</t>
  </si>
  <si>
    <t>APTO 53  BLOCO B</t>
  </si>
  <si>
    <t>AP 53  BL B</t>
  </si>
  <si>
    <t>1013744805533</t>
  </si>
  <si>
    <t>22826586807</t>
  </si>
  <si>
    <t>555</t>
  </si>
  <si>
    <t>1013744805551</t>
  </si>
  <si>
    <t>AP. 17 - TORRE 3</t>
  </si>
  <si>
    <t>AP. 17 - TR 3</t>
  </si>
  <si>
    <t>34033598839</t>
  </si>
  <si>
    <t>558</t>
  </si>
  <si>
    <t>1013744805582</t>
  </si>
  <si>
    <t>AP 262  BL BOA V</t>
  </si>
  <si>
    <t>AP262  BL BOA V</t>
  </si>
  <si>
    <t>22914653840</t>
  </si>
  <si>
    <t>559</t>
  </si>
  <si>
    <t>1013744805591</t>
  </si>
  <si>
    <t>APTO 41 TORRE 02</t>
  </si>
  <si>
    <t>AP 41 TR 02</t>
  </si>
  <si>
    <t>30938796801</t>
  </si>
  <si>
    <t>1013744805592</t>
  </si>
  <si>
    <t>56212721882</t>
  </si>
  <si>
    <t>1013744805593</t>
  </si>
  <si>
    <t>24909899871</t>
  </si>
  <si>
    <t>577</t>
  </si>
  <si>
    <t>1013744805771</t>
  </si>
  <si>
    <t>APTO 121 BLOCO B</t>
  </si>
  <si>
    <t>AP 121 BL B</t>
  </si>
  <si>
    <t>28561698802</t>
  </si>
  <si>
    <t>1013744805772</t>
  </si>
  <si>
    <t>1013744805773</t>
  </si>
  <si>
    <t>24973540811</t>
  </si>
  <si>
    <t>579</t>
  </si>
  <si>
    <t>1013744805791</t>
  </si>
  <si>
    <t>APTO 181 RESIDEN</t>
  </si>
  <si>
    <t>AP 181 RESIDEN</t>
  </si>
  <si>
    <t>22229860879</t>
  </si>
  <si>
    <t>1013744805792</t>
  </si>
  <si>
    <t>1013744805793</t>
  </si>
  <si>
    <t>1013744805794</t>
  </si>
  <si>
    <t>26203280801</t>
  </si>
  <si>
    <t>612</t>
  </si>
  <si>
    <t>1013744806121</t>
  </si>
  <si>
    <t>APTO 122 BAHAMAS</t>
  </si>
  <si>
    <t>AP 122 BAHAMAS</t>
  </si>
  <si>
    <t>22686543892</t>
  </si>
  <si>
    <t>1013744806122</t>
  </si>
  <si>
    <t>1013744806123</t>
  </si>
  <si>
    <t>1013744806124</t>
  </si>
  <si>
    <t>29329032842</t>
  </si>
  <si>
    <t>629</t>
  </si>
  <si>
    <t>1013744806292</t>
  </si>
  <si>
    <t>T.INGA - AP.1101</t>
  </si>
  <si>
    <t>T.INGA  AP.1101</t>
  </si>
  <si>
    <t>26479555813</t>
  </si>
  <si>
    <t>640</t>
  </si>
  <si>
    <t>1013744806402</t>
  </si>
  <si>
    <t>APARTAMENTO 33 E</t>
  </si>
  <si>
    <t>AP 33 E</t>
  </si>
  <si>
    <t>29753680899</t>
  </si>
  <si>
    <t>644</t>
  </si>
  <si>
    <t>1013744806442</t>
  </si>
  <si>
    <t>APART 56 TORRE 1</t>
  </si>
  <si>
    <t>APART 56 TR 1</t>
  </si>
  <si>
    <t>1013744806443</t>
  </si>
  <si>
    <t>27187447825</t>
  </si>
  <si>
    <t>648</t>
  </si>
  <si>
    <t>1013744806481</t>
  </si>
  <si>
    <t>APT 42B CJ HABIT</t>
  </si>
  <si>
    <t>APT42B CJ HABIT</t>
  </si>
  <si>
    <t>1013744806482</t>
  </si>
  <si>
    <t>652</t>
  </si>
  <si>
    <t>1013744806522</t>
  </si>
  <si>
    <t>APTO 22 ED SANTA</t>
  </si>
  <si>
    <t>AP 22 ED SANTA</t>
  </si>
  <si>
    <t>27833702803</t>
  </si>
  <si>
    <t>675</t>
  </si>
  <si>
    <t>1013744806752</t>
  </si>
  <si>
    <t>APTO 343 BLOCO A</t>
  </si>
  <si>
    <t>AP 343 BL A</t>
  </si>
  <si>
    <t>27823076810</t>
  </si>
  <si>
    <t>679</t>
  </si>
  <si>
    <t>1013744806791</t>
  </si>
  <si>
    <t>27892421866</t>
  </si>
  <si>
    <t>683</t>
  </si>
  <si>
    <t>1013744806831</t>
  </si>
  <si>
    <t>BLOCO LÍRIO - AP</t>
  </si>
  <si>
    <t>BL LÍRIO - AP</t>
  </si>
  <si>
    <t>26177593852</t>
  </si>
  <si>
    <t>1013744806832</t>
  </si>
  <si>
    <t>BLOCO LIRIO  AP1</t>
  </si>
  <si>
    <t>BL LIRIO  AP1</t>
  </si>
  <si>
    <t>1013744806833</t>
  </si>
  <si>
    <t>45258665860</t>
  </si>
  <si>
    <t>1013744806834</t>
  </si>
  <si>
    <t>29434097827</t>
  </si>
  <si>
    <t>756</t>
  </si>
  <si>
    <t>1013744807561</t>
  </si>
  <si>
    <t>TORRE 10 APTO 98</t>
  </si>
  <si>
    <t>TR 10 AP 98</t>
  </si>
  <si>
    <t>25717937806</t>
  </si>
  <si>
    <t>1013744807562</t>
  </si>
  <si>
    <t>803</t>
  </si>
  <si>
    <t>1013744808033</t>
  </si>
  <si>
    <t>APARTAMENTO 33 B</t>
  </si>
  <si>
    <t>AP 33 B</t>
  </si>
  <si>
    <t>19224670814</t>
  </si>
  <si>
    <t>830</t>
  </si>
  <si>
    <t>1013744808302</t>
  </si>
  <si>
    <t>APTO 72  TORRE A</t>
  </si>
  <si>
    <t>AP 72  TR A</t>
  </si>
  <si>
    <t>30978042859</t>
  </si>
  <si>
    <t>835</t>
  </si>
  <si>
    <t>1013744808351</t>
  </si>
  <si>
    <t>AP 113 HORTENCIA</t>
  </si>
  <si>
    <t>AP113 HORTENCIA</t>
  </si>
  <si>
    <t>27445071806</t>
  </si>
  <si>
    <t>1013744808352</t>
  </si>
  <si>
    <t>AP.113 HORTENCIA</t>
  </si>
  <si>
    <t>31136100873</t>
  </si>
  <si>
    <t>841</t>
  </si>
  <si>
    <t>1013744808411</t>
  </si>
  <si>
    <t>AP 171 T- ARAUCA</t>
  </si>
  <si>
    <t>AP 171 T-ARAUCA</t>
  </si>
  <si>
    <t>54356060806</t>
  </si>
  <si>
    <t>1013744808412</t>
  </si>
  <si>
    <t>31929775822</t>
  </si>
  <si>
    <t>879</t>
  </si>
  <si>
    <t>1013744808791</t>
  </si>
  <si>
    <t>APTO 163 TORRE I</t>
  </si>
  <si>
    <t>AP 163 TR I</t>
  </si>
  <si>
    <t>22916543813</t>
  </si>
  <si>
    <t>889</t>
  </si>
  <si>
    <t>1013744808892</t>
  </si>
  <si>
    <t>M JERIVAS APTO 1</t>
  </si>
  <si>
    <t>M JERIVAS AP 1</t>
  </si>
  <si>
    <t>1013744808893</t>
  </si>
  <si>
    <t>1013744808894</t>
  </si>
  <si>
    <t>29145982899</t>
  </si>
  <si>
    <t>905</t>
  </si>
  <si>
    <t>1013744809053</t>
  </si>
  <si>
    <t>APTO 74 T. UNIAO</t>
  </si>
  <si>
    <t>AP 74 T. UNIAO</t>
  </si>
  <si>
    <t>54228762883</t>
  </si>
  <si>
    <t>949</t>
  </si>
  <si>
    <t>1013744809493</t>
  </si>
  <si>
    <t>APTO 134 TORRE 1</t>
  </si>
  <si>
    <t>AP 134 TR 1</t>
  </si>
  <si>
    <t>27451175804</t>
  </si>
  <si>
    <t>982</t>
  </si>
  <si>
    <t>1013744809822</t>
  </si>
  <si>
    <t>APTO 04 TORRE 04</t>
  </si>
  <si>
    <t>AP 04 TR 04</t>
  </si>
  <si>
    <t>1013744809823</t>
  </si>
  <si>
    <t>1013744809824</t>
  </si>
  <si>
    <t>36505049878</t>
  </si>
  <si>
    <t>992</t>
  </si>
  <si>
    <t>1013744809922</t>
  </si>
  <si>
    <t>BLOCO G8 APTO 32</t>
  </si>
  <si>
    <t>BL G8 AP 32</t>
  </si>
  <si>
    <t>93488840182</t>
  </si>
  <si>
    <t>1285</t>
  </si>
  <si>
    <t>10137448012852</t>
  </si>
  <si>
    <t>APTO 221 BLOCO 3</t>
  </si>
  <si>
    <t>AP 221 BL 3</t>
  </si>
  <si>
    <t>08368682851</t>
  </si>
  <si>
    <t>1324</t>
  </si>
  <si>
    <t>10137448013242</t>
  </si>
  <si>
    <t>AP 01 BL. JURITI</t>
  </si>
  <si>
    <t>AP01 BL. JURITI</t>
  </si>
  <si>
    <t>25539208811</t>
  </si>
  <si>
    <t>1461</t>
  </si>
  <si>
    <t>10137448014612</t>
  </si>
  <si>
    <t>APTO 121 TORRE A</t>
  </si>
  <si>
    <t>AP 121 TR A</t>
  </si>
  <si>
    <t>10137448014613</t>
  </si>
  <si>
    <t>35220575899</t>
  </si>
  <si>
    <t>1490</t>
  </si>
  <si>
    <t>10137448014901</t>
  </si>
  <si>
    <t>APTO 31 BLOCO 55</t>
  </si>
  <si>
    <t>AP 31 BL 55</t>
  </si>
  <si>
    <t>27595106893</t>
  </si>
  <si>
    <t>1501</t>
  </si>
  <si>
    <t>10137448015012</t>
  </si>
  <si>
    <t>APTO 163 TORRE 2</t>
  </si>
  <si>
    <t>AP 163 TR 2</t>
  </si>
  <si>
    <t>10137448015013</t>
  </si>
  <si>
    <t>28559934820</t>
  </si>
  <si>
    <t>1527</t>
  </si>
  <si>
    <t>10137448015271</t>
  </si>
  <si>
    <t>BLOCO A APTO 274</t>
  </si>
  <si>
    <t>BL A AP 274</t>
  </si>
  <si>
    <t>27598158894</t>
  </si>
  <si>
    <t>10137448015272</t>
  </si>
  <si>
    <t>44466319855</t>
  </si>
  <si>
    <t>10137448015273</t>
  </si>
  <si>
    <t>51479213896</t>
  </si>
  <si>
    <t>10137448015274</t>
  </si>
  <si>
    <t>14732115810</t>
  </si>
  <si>
    <t>1638</t>
  </si>
  <si>
    <t>10137448016381</t>
  </si>
  <si>
    <t>APTO 163 BLOCO B</t>
  </si>
  <si>
    <t>AP 163 BL B</t>
  </si>
  <si>
    <t>17320980851</t>
  </si>
  <si>
    <t>10137448016382</t>
  </si>
  <si>
    <t>49383209836</t>
  </si>
  <si>
    <t>10137448016383</t>
  </si>
  <si>
    <t>52865369803</t>
  </si>
  <si>
    <t>10137448016384</t>
  </si>
  <si>
    <t>34318892808</t>
  </si>
  <si>
    <t>1646</t>
  </si>
  <si>
    <t>10137448016461</t>
  </si>
  <si>
    <t>TORRE 03 APTO 10</t>
  </si>
  <si>
    <t>TR 03 AP 10</t>
  </si>
  <si>
    <t>26421624863</t>
  </si>
  <si>
    <t>10137448016462</t>
  </si>
  <si>
    <t>27403339860</t>
  </si>
  <si>
    <t>1670</t>
  </si>
  <si>
    <t>10137448016701</t>
  </si>
  <si>
    <t>BLOCO CASA 03 AP</t>
  </si>
  <si>
    <t>BL CASA 03 AP</t>
  </si>
  <si>
    <t>22385239876</t>
  </si>
  <si>
    <t>10137448016702</t>
  </si>
  <si>
    <t>41140841858</t>
  </si>
  <si>
    <t>10137448016703</t>
  </si>
  <si>
    <t>41140844873</t>
  </si>
  <si>
    <t>10137448016704</t>
  </si>
  <si>
    <t>02974405517</t>
  </si>
  <si>
    <t>1780</t>
  </si>
  <si>
    <t>10137448017802</t>
  </si>
  <si>
    <t>LOT ALTO DAS ARA</t>
  </si>
  <si>
    <t>LT ALTO DAS ARA</t>
  </si>
  <si>
    <t>12452686867</t>
  </si>
  <si>
    <t>1800</t>
  </si>
  <si>
    <t>10137448018001</t>
  </si>
  <si>
    <t>BL PARANA AP 113</t>
  </si>
  <si>
    <t>BL PARANA AP113</t>
  </si>
  <si>
    <t>34479516808</t>
  </si>
  <si>
    <t>1876</t>
  </si>
  <si>
    <t>10137448018761</t>
  </si>
  <si>
    <t>APTO 10 BLOCO 05</t>
  </si>
  <si>
    <t>AP 10 BL 05</t>
  </si>
  <si>
    <t>33939127809</t>
  </si>
  <si>
    <t>1879</t>
  </si>
  <si>
    <t>10137448018791</t>
  </si>
  <si>
    <t>APTO 104-TORRE 5</t>
  </si>
  <si>
    <t>AP 104-TR 5</t>
  </si>
  <si>
    <t>10137448018793</t>
  </si>
  <si>
    <t>55152797860</t>
  </si>
  <si>
    <t>10137448018794</t>
  </si>
  <si>
    <t>28434608839</t>
  </si>
  <si>
    <t>1885</t>
  </si>
  <si>
    <t>10137448018852</t>
  </si>
  <si>
    <t>TORRE 4 APTO 142</t>
  </si>
  <si>
    <t>TR 4 AP 142</t>
  </si>
  <si>
    <t>10137448018853</t>
  </si>
  <si>
    <t>10137448018854</t>
  </si>
  <si>
    <t>02156414505</t>
  </si>
  <si>
    <t>1955</t>
  </si>
  <si>
    <t>10137448019551</t>
  </si>
  <si>
    <t>P CEZANNE-AP105B</t>
  </si>
  <si>
    <t>P CEZANNE-AP105</t>
  </si>
  <si>
    <t>28172945809</t>
  </si>
  <si>
    <t>1982</t>
  </si>
  <si>
    <t>10137448019821</t>
  </si>
  <si>
    <t>APTO 52 BL ACQUA</t>
  </si>
  <si>
    <t>AP 52 BL ACQUA</t>
  </si>
  <si>
    <t>28430032886</t>
  </si>
  <si>
    <t>10137448019822</t>
  </si>
  <si>
    <t>06461458433</t>
  </si>
  <si>
    <t>2041</t>
  </si>
  <si>
    <t>10137448020411</t>
  </si>
  <si>
    <t>APTO 605 ED SOHO</t>
  </si>
  <si>
    <t>AP 605 ED SOHO</t>
  </si>
  <si>
    <t>44521008801</t>
  </si>
  <si>
    <t>10137448020412</t>
  </si>
  <si>
    <t>29506757860</t>
  </si>
  <si>
    <t>2042</t>
  </si>
  <si>
    <t>10137448020421</t>
  </si>
  <si>
    <t>BLOCO 06 APTO 34</t>
  </si>
  <si>
    <t>BL 06 AP 34</t>
  </si>
  <si>
    <t>22420679822</t>
  </si>
  <si>
    <t>10137448020422</t>
  </si>
  <si>
    <t>10427372747</t>
  </si>
  <si>
    <t>102787730</t>
  </si>
  <si>
    <t>1027877301341</t>
  </si>
  <si>
    <t>AC BLOCO 2 APT 2</t>
  </si>
  <si>
    <t>AC BL 2 APT 2</t>
  </si>
  <si>
    <t>355</t>
  </si>
  <si>
    <t>1028158093554</t>
  </si>
  <si>
    <t>APTO 22 BLOCO 14</t>
  </si>
  <si>
    <t>AP 22 BL 14</t>
  </si>
  <si>
    <t>03203860660</t>
  </si>
  <si>
    <t>515</t>
  </si>
  <si>
    <t>1028158095151</t>
  </si>
  <si>
    <t>QD 102 LT 7 BL A</t>
  </si>
  <si>
    <t>QD 102 LT7 BL A</t>
  </si>
  <si>
    <t>06953416696</t>
  </si>
  <si>
    <t>1028158095152</t>
  </si>
  <si>
    <t>08138519126</t>
  </si>
  <si>
    <t>1028158095153</t>
  </si>
  <si>
    <t>14407895683</t>
  </si>
  <si>
    <t>1028158095154</t>
  </si>
  <si>
    <t>03416126505</t>
  </si>
  <si>
    <t>172</t>
  </si>
  <si>
    <t>1036574541723</t>
  </si>
  <si>
    <t>BL1AP408RES CLUB</t>
  </si>
  <si>
    <t>BL 1 AP 408</t>
  </si>
  <si>
    <t>208</t>
  </si>
  <si>
    <t>1036574542083</t>
  </si>
  <si>
    <t>BLOCO 2 APTO 101</t>
  </si>
  <si>
    <t>BL 2 AP 101</t>
  </si>
  <si>
    <t>14585414797</t>
  </si>
  <si>
    <t>223</t>
  </si>
  <si>
    <t>1036574542231</t>
  </si>
  <si>
    <t>BLOCO 2 APTO 601</t>
  </si>
  <si>
    <t>BL 2 AP 601</t>
  </si>
  <si>
    <t>11996990713</t>
  </si>
  <si>
    <t>264</t>
  </si>
  <si>
    <t>1036574542641</t>
  </si>
  <si>
    <t>BLOCO 1 APTO 104</t>
  </si>
  <si>
    <t>BL 1 AP 104</t>
  </si>
  <si>
    <t>16083157706</t>
  </si>
  <si>
    <t>351</t>
  </si>
  <si>
    <t>1036574543511</t>
  </si>
  <si>
    <t>FAZENDA DO SOSSE</t>
  </si>
  <si>
    <t>FAZ DO SOSSEGO</t>
  </si>
  <si>
    <t>07063272926</t>
  </si>
  <si>
    <t>369</t>
  </si>
  <si>
    <t>1036574543691</t>
  </si>
  <si>
    <t>BLOCO 7 APTO 404</t>
  </si>
  <si>
    <t>BL 7 AP 404</t>
  </si>
  <si>
    <t>10125126905</t>
  </si>
  <si>
    <t>1036574543692</t>
  </si>
  <si>
    <t>12110630973</t>
  </si>
  <si>
    <t>1036574543693</t>
  </si>
  <si>
    <t>14222877778</t>
  </si>
  <si>
    <t>390</t>
  </si>
  <si>
    <t>1036574543901</t>
  </si>
  <si>
    <t>BLOCO 2 APT 1108</t>
  </si>
  <si>
    <t>BL 2 APT 1108</t>
  </si>
  <si>
    <t>46458950870</t>
  </si>
  <si>
    <t>103949075</t>
  </si>
  <si>
    <t>103949075271</t>
  </si>
  <si>
    <t>1330877498</t>
  </si>
  <si>
    <t>13308774980</t>
  </si>
  <si>
    <t>07719195817</t>
  </si>
  <si>
    <t>104334648</t>
  </si>
  <si>
    <t>10433464891</t>
  </si>
  <si>
    <t>AP 261 BEM-TE-VI</t>
  </si>
  <si>
    <t>16475767950</t>
  </si>
  <si>
    <t>26040196807</t>
  </si>
  <si>
    <t>104623885</t>
  </si>
  <si>
    <t>10462388541</t>
  </si>
  <si>
    <t>APTO 233 TORRE 1</t>
  </si>
  <si>
    <t>AP 233 TR 1</t>
  </si>
  <si>
    <t>29213556802</t>
  </si>
  <si>
    <t>10462388542</t>
  </si>
  <si>
    <t>10462388543</t>
  </si>
  <si>
    <t>10462388544</t>
  </si>
  <si>
    <t>40959886818</t>
  </si>
  <si>
    <t>104696899</t>
  </si>
  <si>
    <t>104696899302</t>
  </si>
  <si>
    <t>BLOCO 4 APTO 142</t>
  </si>
  <si>
    <t>BL 4 AP 142</t>
  </si>
  <si>
    <t>51628309504</t>
  </si>
  <si>
    <t>104738714</t>
  </si>
  <si>
    <t>1047387143101</t>
  </si>
  <si>
    <t>AP 51B CJ HAB PJ</t>
  </si>
  <si>
    <t>AP51B CJ HAB PJ</t>
  </si>
  <si>
    <t>06597061802</t>
  </si>
  <si>
    <t>104796919</t>
  </si>
  <si>
    <t>10479691911</t>
  </si>
  <si>
    <t>AP 73 TORR ATMOS</t>
  </si>
  <si>
    <t>AP73 TORR ATMOS</t>
  </si>
  <si>
    <t>31366475801</t>
  </si>
  <si>
    <t>104808860</t>
  </si>
  <si>
    <t>10480886071</t>
  </si>
  <si>
    <t>AP 23 TOR 11 LT2</t>
  </si>
  <si>
    <t>AP23 TOR 11 LT2</t>
  </si>
  <si>
    <t>22933679833</t>
  </si>
  <si>
    <t>10480886072</t>
  </si>
  <si>
    <t>28285167844</t>
  </si>
  <si>
    <t>104808860171</t>
  </si>
  <si>
    <t>BLOCO 4 APTO 112</t>
  </si>
  <si>
    <t>BL 4 AP 112</t>
  </si>
  <si>
    <t>55820503880</t>
  </si>
  <si>
    <t>104808860172</t>
  </si>
  <si>
    <t>14417252882</t>
  </si>
  <si>
    <t>104824427</t>
  </si>
  <si>
    <t>104824427402</t>
  </si>
  <si>
    <t>15743992843</t>
  </si>
  <si>
    <t>104842607</t>
  </si>
  <si>
    <t>42</t>
  </si>
  <si>
    <t>104842607421</t>
  </si>
  <si>
    <t>1242554776</t>
  </si>
  <si>
    <t>12425547760</t>
  </si>
  <si>
    <t>35250785875</t>
  </si>
  <si>
    <t>104924091</t>
  </si>
  <si>
    <t>104924091121</t>
  </si>
  <si>
    <t>AP 242 BL.GARDEN</t>
  </si>
  <si>
    <t>AP242 BL.GARDEN</t>
  </si>
  <si>
    <t>40240404807</t>
  </si>
  <si>
    <t>104964070</t>
  </si>
  <si>
    <t>104964070241</t>
  </si>
  <si>
    <t>2383532896</t>
  </si>
  <si>
    <t>23835328960</t>
  </si>
  <si>
    <t>13147257780</t>
  </si>
  <si>
    <t>00752072811</t>
  </si>
  <si>
    <t>104990850</t>
  </si>
  <si>
    <t>299</t>
  </si>
  <si>
    <t>1049908502991</t>
  </si>
  <si>
    <t>RD SP 340 KM 171</t>
  </si>
  <si>
    <t>RD SP 340 KM171</t>
  </si>
  <si>
    <t>27297404810</t>
  </si>
  <si>
    <t>104994116</t>
  </si>
  <si>
    <t>10499411681</t>
  </si>
  <si>
    <t>1255245870</t>
  </si>
  <si>
    <t>12552458700</t>
  </si>
  <si>
    <t>46829830591</t>
  </si>
  <si>
    <t>105136959</t>
  </si>
  <si>
    <t>10513695931</t>
  </si>
  <si>
    <t>AP A203  BLOCO B</t>
  </si>
  <si>
    <t>AP A203  BL B</t>
  </si>
  <si>
    <t>43806832811</t>
  </si>
  <si>
    <t>105136959221</t>
  </si>
  <si>
    <t>BLOCO 01  APTO 1</t>
  </si>
  <si>
    <t>BL 01  AP 1</t>
  </si>
  <si>
    <t>105248142</t>
  </si>
  <si>
    <t>105248142273</t>
  </si>
  <si>
    <t>POLO EMP TAMBORE</t>
  </si>
  <si>
    <t>PLO EMP TAMBORE</t>
  </si>
  <si>
    <t>28505197828</t>
  </si>
  <si>
    <t>105297190</t>
  </si>
  <si>
    <t>10529719011</t>
  </si>
  <si>
    <t>AP 24  ATMOSFERE</t>
  </si>
  <si>
    <t>AP24  ATMOSFERE</t>
  </si>
  <si>
    <t>48258666894</t>
  </si>
  <si>
    <t>105442236</t>
  </si>
  <si>
    <t>75</t>
  </si>
  <si>
    <t>105442236751</t>
  </si>
  <si>
    <t>2077064736</t>
  </si>
  <si>
    <t>20770647360</t>
  </si>
  <si>
    <t>32024934854</t>
  </si>
  <si>
    <t>105442236761</t>
  </si>
  <si>
    <t>1331698785</t>
  </si>
  <si>
    <t>13316987850</t>
  </si>
  <si>
    <t>36976335897</t>
  </si>
  <si>
    <t>105442236871</t>
  </si>
  <si>
    <t>1649305407</t>
  </si>
  <si>
    <t>16493054070</t>
  </si>
  <si>
    <t>48167170802</t>
  </si>
  <si>
    <t>89</t>
  </si>
  <si>
    <t>105442236891</t>
  </si>
  <si>
    <t>1490379448</t>
  </si>
  <si>
    <t>14903794480</t>
  </si>
  <si>
    <t>32639653873</t>
  </si>
  <si>
    <t>105446138</t>
  </si>
  <si>
    <t>10544613861</t>
  </si>
  <si>
    <t>AP 2302 T CONSOL</t>
  </si>
  <si>
    <t>AP2302 T CONSOL</t>
  </si>
  <si>
    <t>60961368772</t>
  </si>
  <si>
    <t>105496944111</t>
  </si>
  <si>
    <t>BLOCO 2 APTO 402</t>
  </si>
  <si>
    <t>BL 2 AP 402</t>
  </si>
  <si>
    <t>68807902753</t>
  </si>
  <si>
    <t>105496944112</t>
  </si>
  <si>
    <t>49204159820</t>
  </si>
  <si>
    <t>105662591</t>
  </si>
  <si>
    <t>97</t>
  </si>
  <si>
    <t>105662591971</t>
  </si>
  <si>
    <t>2385176728</t>
  </si>
  <si>
    <t>23851767280</t>
  </si>
  <si>
    <t>36053891800</t>
  </si>
  <si>
    <t>105665226</t>
  </si>
  <si>
    <t>105665226101</t>
  </si>
  <si>
    <t>2078869623</t>
  </si>
  <si>
    <t>20788696230</t>
  </si>
  <si>
    <t>30809192896</t>
  </si>
  <si>
    <t>105693317</t>
  </si>
  <si>
    <t>10569331711</t>
  </si>
  <si>
    <t>BL POMPEIA/AP214</t>
  </si>
  <si>
    <t>BL POMPEIAAP214</t>
  </si>
  <si>
    <t>28559389881</t>
  </si>
  <si>
    <t>105708666</t>
  </si>
  <si>
    <t>105708666211</t>
  </si>
  <si>
    <t>AP 63 BL ANTILHA</t>
  </si>
  <si>
    <t>AP63 BL ANTILHA</t>
  </si>
  <si>
    <t>08586334855</t>
  </si>
  <si>
    <t>105710452</t>
  </si>
  <si>
    <t>105710452111</t>
  </si>
  <si>
    <t>BL 604 TORRE SUL</t>
  </si>
  <si>
    <t>BL 604 TR SUL</t>
  </si>
  <si>
    <t>11908856890</t>
  </si>
  <si>
    <t>105710452112</t>
  </si>
  <si>
    <t>45831927890</t>
  </si>
  <si>
    <t>105710452113</t>
  </si>
  <si>
    <t>36616349845</t>
  </si>
  <si>
    <t>105722856</t>
  </si>
  <si>
    <t>10572285641</t>
  </si>
  <si>
    <t>APTO 118 TORRE 1</t>
  </si>
  <si>
    <t>AP 118 TR 1</t>
  </si>
  <si>
    <t>10572285642</t>
  </si>
  <si>
    <t>29112359831</t>
  </si>
  <si>
    <t>105801811</t>
  </si>
  <si>
    <t>10580181121</t>
  </si>
  <si>
    <t>APTO 271 TORRE C</t>
  </si>
  <si>
    <t>AP 271 TR C</t>
  </si>
  <si>
    <t>12157521380</t>
  </si>
  <si>
    <t>38561626828</t>
  </si>
  <si>
    <t>105874820</t>
  </si>
  <si>
    <t>10587482091</t>
  </si>
  <si>
    <t>BLOCO 01 APTO111</t>
  </si>
  <si>
    <t>BL 01 AP111</t>
  </si>
  <si>
    <t>34163804870</t>
  </si>
  <si>
    <t>105933409</t>
  </si>
  <si>
    <t>105933409321</t>
  </si>
  <si>
    <t>APTO 409,TORRE 2</t>
  </si>
  <si>
    <t>AP 409,TR 2</t>
  </si>
  <si>
    <t>30397089880</t>
  </si>
  <si>
    <t>105985200</t>
  </si>
  <si>
    <t>61</t>
  </si>
  <si>
    <t>105985200611</t>
  </si>
  <si>
    <t>APTO 76 TORRE 04</t>
  </si>
  <si>
    <t>AP 76 TR 04</t>
  </si>
  <si>
    <t>38161012830</t>
  </si>
  <si>
    <t>106017278</t>
  </si>
  <si>
    <t>106017278831</t>
  </si>
  <si>
    <t>1255 AP 21 BL 08</t>
  </si>
  <si>
    <t>1255 AP21 BL 08</t>
  </si>
  <si>
    <t>33402451859</t>
  </si>
  <si>
    <t>106100925</t>
  </si>
  <si>
    <t>38</t>
  </si>
  <si>
    <t>106100925381</t>
  </si>
  <si>
    <t>1361882855</t>
  </si>
  <si>
    <t>13618828550</t>
  </si>
  <si>
    <t>36092965852</t>
  </si>
  <si>
    <t>106166058</t>
  </si>
  <si>
    <t>10616605861</t>
  </si>
  <si>
    <t>V ALVARO MARQUES</t>
  </si>
  <si>
    <t>V ALV MARQUES</t>
  </si>
  <si>
    <t>36938583811</t>
  </si>
  <si>
    <t>106304506</t>
  </si>
  <si>
    <t>106304506181</t>
  </si>
  <si>
    <t>APTO 115 TORRE 1</t>
  </si>
  <si>
    <t>AP 115 TR 1</t>
  </si>
  <si>
    <t>19986834864</t>
  </si>
  <si>
    <t>106586855</t>
  </si>
  <si>
    <t>106586855291</t>
  </si>
  <si>
    <t>BL FLORI APT 186</t>
  </si>
  <si>
    <t>BL FLORI APT186</t>
  </si>
  <si>
    <t>14587349950</t>
  </si>
  <si>
    <t>58190047876</t>
  </si>
  <si>
    <t>108012281</t>
  </si>
  <si>
    <t>10801228153</t>
  </si>
  <si>
    <t>20º AND SALA 202</t>
  </si>
  <si>
    <t>20º AND SLA 202</t>
  </si>
  <si>
    <t>33684439843</t>
  </si>
  <si>
    <t>108968564</t>
  </si>
  <si>
    <t>55</t>
  </si>
  <si>
    <t>108968564551</t>
  </si>
  <si>
    <t>2008791607</t>
  </si>
  <si>
    <t>20087916070</t>
  </si>
  <si>
    <t>36952977864</t>
  </si>
  <si>
    <t>109022805</t>
  </si>
  <si>
    <t>48</t>
  </si>
  <si>
    <t>109022805481</t>
  </si>
  <si>
    <t>PTO 2015 BLOCO B</t>
  </si>
  <si>
    <t>PTO 2015 BL B</t>
  </si>
  <si>
    <t>52264842830</t>
  </si>
  <si>
    <t>109339991133</t>
  </si>
  <si>
    <t>APT 93 TORRE MAR</t>
  </si>
  <si>
    <t>APT 93 TR MAR</t>
  </si>
  <si>
    <t>52264799803</t>
  </si>
  <si>
    <t>109339991134</t>
  </si>
  <si>
    <t>13673812823</t>
  </si>
  <si>
    <t>109339991701</t>
  </si>
  <si>
    <t>AP 122  TORRE DA</t>
  </si>
  <si>
    <t>AP 122  TR DA</t>
  </si>
  <si>
    <t>38145300800</t>
  </si>
  <si>
    <t>109339991702</t>
  </si>
  <si>
    <t>25433469883</t>
  </si>
  <si>
    <t>109353727</t>
  </si>
  <si>
    <t>10935372781</t>
  </si>
  <si>
    <t>QUADRA E CASA 57</t>
  </si>
  <si>
    <t>QD E CASA 57</t>
  </si>
  <si>
    <t>24984274816</t>
  </si>
  <si>
    <t>10935372782</t>
  </si>
  <si>
    <t>36897246867</t>
  </si>
  <si>
    <t>109663756</t>
  </si>
  <si>
    <t>109663756311</t>
  </si>
  <si>
    <t>1318538962</t>
  </si>
  <si>
    <t>13185389620</t>
  </si>
  <si>
    <t>22497673861</t>
  </si>
  <si>
    <t>109671315</t>
  </si>
  <si>
    <t>10967131511</t>
  </si>
  <si>
    <t>7º ANDAR CONJ 72</t>
  </si>
  <si>
    <t>7º AND CJ 72</t>
  </si>
  <si>
    <t>10967131512</t>
  </si>
  <si>
    <t>10967131513</t>
  </si>
  <si>
    <t>12993299130</t>
  </si>
  <si>
    <t>81718594020</t>
  </si>
  <si>
    <t>109725971</t>
  </si>
  <si>
    <t>10972597151</t>
  </si>
  <si>
    <t>TORRE 3 APTO 203</t>
  </si>
  <si>
    <t>TR 3 AP 203</t>
  </si>
  <si>
    <t>42797513827</t>
  </si>
  <si>
    <t>109770105</t>
  </si>
  <si>
    <t>109770105351</t>
  </si>
  <si>
    <t>BLOCO 16 APTO 33</t>
  </si>
  <si>
    <t>BL 16 AP 33</t>
  </si>
  <si>
    <t>12820863752</t>
  </si>
  <si>
    <t>109853916</t>
  </si>
  <si>
    <t>109853916221</t>
  </si>
  <si>
    <t>TR ALAMEDA AP909</t>
  </si>
  <si>
    <t>TR ALAM AP909</t>
  </si>
  <si>
    <t>33103066821</t>
  </si>
  <si>
    <t>109991464</t>
  </si>
  <si>
    <t>109991464451</t>
  </si>
  <si>
    <t>CONDOMINIO ROSSI</t>
  </si>
  <si>
    <t>COND ROSSI</t>
  </si>
  <si>
    <t>70342948105</t>
  </si>
  <si>
    <t>110059524</t>
  </si>
  <si>
    <t>110059524161</t>
  </si>
  <si>
    <t>QD11 LT10 19A203</t>
  </si>
  <si>
    <t>13112808980</t>
  </si>
  <si>
    <t>45319194838</t>
  </si>
  <si>
    <t>110156682</t>
  </si>
  <si>
    <t>11015668212</t>
  </si>
  <si>
    <t>TORRE BL 6 AP 63</t>
  </si>
  <si>
    <t>TR BL 6 AP 63</t>
  </si>
  <si>
    <t>45319118813</t>
  </si>
  <si>
    <t>11015668213</t>
  </si>
  <si>
    <t>13714777601</t>
  </si>
  <si>
    <t>110179254591</t>
  </si>
  <si>
    <t>2827532</t>
  </si>
  <si>
    <t>28275320000</t>
  </si>
  <si>
    <t>30329034839</t>
  </si>
  <si>
    <t>110284945</t>
  </si>
  <si>
    <t>11028494551</t>
  </si>
  <si>
    <t>451 BL  2 AP 175</t>
  </si>
  <si>
    <t>451 BL  2 AP175</t>
  </si>
  <si>
    <t>10206423520</t>
  </si>
  <si>
    <t>09464543884</t>
  </si>
  <si>
    <t>110420176211</t>
  </si>
  <si>
    <t>APTO 152   BLOCO</t>
  </si>
  <si>
    <t>AP 152   BL</t>
  </si>
  <si>
    <t>13403307840</t>
  </si>
  <si>
    <t>110420176291</t>
  </si>
  <si>
    <t>TORRE 2  APTO 16</t>
  </si>
  <si>
    <t>TR 2  AP 16</t>
  </si>
  <si>
    <t>54259297813</t>
  </si>
  <si>
    <t>110420176292</t>
  </si>
  <si>
    <t>22643447840</t>
  </si>
  <si>
    <t>110420176431</t>
  </si>
  <si>
    <t>APTO 83  BLOCO 2</t>
  </si>
  <si>
    <t>AP 83  BL 2</t>
  </si>
  <si>
    <t>37805540896</t>
  </si>
  <si>
    <t>110588401</t>
  </si>
  <si>
    <t>1105884011251</t>
  </si>
  <si>
    <t>APTO 13 BLOCO 23</t>
  </si>
  <si>
    <t>AP 13 BL 23</t>
  </si>
  <si>
    <t>91595630104</t>
  </si>
  <si>
    <t>137</t>
  </si>
  <si>
    <t>1105884011371</t>
  </si>
  <si>
    <t>APTO 86 TORRE 19</t>
  </si>
  <si>
    <t>AP 86 TR 19</t>
  </si>
  <si>
    <t>70506019187</t>
  </si>
  <si>
    <t>1105884011372</t>
  </si>
  <si>
    <t>53435530871</t>
  </si>
  <si>
    <t>1105884011373</t>
  </si>
  <si>
    <t>34952670856</t>
  </si>
  <si>
    <t>147</t>
  </si>
  <si>
    <t>1105884011471</t>
  </si>
  <si>
    <t>APTO 122 BLOCO B</t>
  </si>
  <si>
    <t>AP 122 BL B</t>
  </si>
  <si>
    <t>57123198883</t>
  </si>
  <si>
    <t>1105884011472</t>
  </si>
  <si>
    <t>10764662732</t>
  </si>
  <si>
    <t>1105884011473</t>
  </si>
  <si>
    <t>36229802813</t>
  </si>
  <si>
    <t>150</t>
  </si>
  <si>
    <t>1105884011501</t>
  </si>
  <si>
    <t>TORRE C APTO 143</t>
  </si>
  <si>
    <t>TR C AP 143</t>
  </si>
  <si>
    <t>54407110821</t>
  </si>
  <si>
    <t>1105884011502</t>
  </si>
  <si>
    <t>43883372854</t>
  </si>
  <si>
    <t>1105884011503</t>
  </si>
  <si>
    <t>08921114882</t>
  </si>
  <si>
    <t>110791228</t>
  </si>
  <si>
    <t>110791228311</t>
  </si>
  <si>
    <t>AP 233 T FIGUEIR</t>
  </si>
  <si>
    <t>AP233 T FIGUEIR</t>
  </si>
  <si>
    <t>28528229890</t>
  </si>
  <si>
    <t>110814493</t>
  </si>
  <si>
    <t>110814493121</t>
  </si>
  <si>
    <t>APTO 154 BLOCO 0</t>
  </si>
  <si>
    <t>AP 154 BL 0</t>
  </si>
  <si>
    <t>45564797892</t>
  </si>
  <si>
    <t>110886961</t>
  </si>
  <si>
    <t>110886961431</t>
  </si>
  <si>
    <t>1397672540</t>
  </si>
  <si>
    <t>13976725400</t>
  </si>
  <si>
    <t>19935136809</t>
  </si>
  <si>
    <t>111006771</t>
  </si>
  <si>
    <t>11100677111</t>
  </si>
  <si>
    <t>APTO 133 TORRE B</t>
  </si>
  <si>
    <t>AP 133 TR B</t>
  </si>
  <si>
    <t>15767641846</t>
  </si>
  <si>
    <t>11100677112</t>
  </si>
  <si>
    <t>11100677113</t>
  </si>
  <si>
    <t>48280826890</t>
  </si>
  <si>
    <t>11100677114</t>
  </si>
  <si>
    <t>01880266652</t>
  </si>
  <si>
    <t>111051591</t>
  </si>
  <si>
    <t>11105159142</t>
  </si>
  <si>
    <t>CJ RIACHO GRANDE</t>
  </si>
  <si>
    <t>CJ RIACHO GNDE</t>
  </si>
  <si>
    <t>02728414475</t>
  </si>
  <si>
    <t>111056781</t>
  </si>
  <si>
    <t>11105678161</t>
  </si>
  <si>
    <t>LOOTE AURE VERDE</t>
  </si>
  <si>
    <t>LOTE AURE VERDE</t>
  </si>
  <si>
    <t>25459275890</t>
  </si>
  <si>
    <t>111114471</t>
  </si>
  <si>
    <t>111114471221</t>
  </si>
  <si>
    <t>AP 72 - TORRE 04</t>
  </si>
  <si>
    <t>AP 72 - TR 04</t>
  </si>
  <si>
    <t>16299637803</t>
  </si>
  <si>
    <t>111127975</t>
  </si>
  <si>
    <t>11112797521</t>
  </si>
  <si>
    <t>12 ANDAR APT 121</t>
  </si>
  <si>
    <t>12 AND APT 121</t>
  </si>
  <si>
    <t>18511960805</t>
  </si>
  <si>
    <t>111199493</t>
  </si>
  <si>
    <t>111199493451</t>
  </si>
  <si>
    <t>APT 102 GIRASSOI</t>
  </si>
  <si>
    <t>APT102 GIRASSOI</t>
  </si>
  <si>
    <t>08215907822</t>
  </si>
  <si>
    <t>111240810</t>
  </si>
  <si>
    <t>11124081032</t>
  </si>
  <si>
    <t>AP.92-BEIJA FLOR</t>
  </si>
  <si>
    <t>AP92-BEIJA FLOR</t>
  </si>
  <si>
    <t>41383525897</t>
  </si>
  <si>
    <t>111465700</t>
  </si>
  <si>
    <t>111465700211</t>
  </si>
  <si>
    <t>1378766889</t>
  </si>
  <si>
    <t>13787668890</t>
  </si>
  <si>
    <t>57450955806</t>
  </si>
  <si>
    <t>111507530</t>
  </si>
  <si>
    <t>111507530213</t>
  </si>
  <si>
    <t>APTO 113 TORRE 4</t>
  </si>
  <si>
    <t>AP 113 TR 4</t>
  </si>
  <si>
    <t>10524216444</t>
  </si>
  <si>
    <t>51</t>
  </si>
  <si>
    <t>111507530511</t>
  </si>
  <si>
    <t>BLOCO B APARTAME</t>
  </si>
  <si>
    <t>BL B APARTAME</t>
  </si>
  <si>
    <t>27461399870</t>
  </si>
  <si>
    <t>111526774</t>
  </si>
  <si>
    <t>111526774253</t>
  </si>
  <si>
    <t>02º ANDAR SALA C</t>
  </si>
  <si>
    <t>02º AND SALA C</t>
  </si>
  <si>
    <t>39241412828</t>
  </si>
  <si>
    <t>111536626</t>
  </si>
  <si>
    <t>111536626261</t>
  </si>
  <si>
    <t>BLOCO B APTO 601</t>
  </si>
  <si>
    <t>BL B AP 601</t>
  </si>
  <si>
    <t>38347774803</t>
  </si>
  <si>
    <t>111536626321</t>
  </si>
  <si>
    <t>BLOCO B APTO 142</t>
  </si>
  <si>
    <t>BL B AP 142</t>
  </si>
  <si>
    <t>111536626322</t>
  </si>
  <si>
    <t>12946229866</t>
  </si>
  <si>
    <t>111537123</t>
  </si>
  <si>
    <t>229</t>
  </si>
  <si>
    <t>1115371232291</t>
  </si>
  <si>
    <t>CONJUNTO HABITAC</t>
  </si>
  <si>
    <t>CJ HABITAC</t>
  </si>
  <si>
    <t>11479425877</t>
  </si>
  <si>
    <t>1115371232292</t>
  </si>
  <si>
    <t>34893149806</t>
  </si>
  <si>
    <t>413</t>
  </si>
  <si>
    <t>1115371234131</t>
  </si>
  <si>
    <t>BLOCO 01 APTO 26</t>
  </si>
  <si>
    <t>BL 01 AP 26</t>
  </si>
  <si>
    <t>30659743809</t>
  </si>
  <si>
    <t>111549431</t>
  </si>
  <si>
    <t>111549431361</t>
  </si>
  <si>
    <t>APTO 102 - BL 01</t>
  </si>
  <si>
    <t>AP 102 - BL 01</t>
  </si>
  <si>
    <t>17362254806</t>
  </si>
  <si>
    <t>111668314</t>
  </si>
  <si>
    <t>1116683141241</t>
  </si>
  <si>
    <t>TORRE A APTO 182</t>
  </si>
  <si>
    <t>TR A AP 182</t>
  </si>
  <si>
    <t>16367329846</t>
  </si>
  <si>
    <t>1116683141242</t>
  </si>
  <si>
    <t>22865085856</t>
  </si>
  <si>
    <t>1116683141521</t>
  </si>
  <si>
    <t>APTO 103 BLOCO B</t>
  </si>
  <si>
    <t>AP 103 BL B</t>
  </si>
  <si>
    <t>99364719115</t>
  </si>
  <si>
    <t>111677578</t>
  </si>
  <si>
    <t>11167757812</t>
  </si>
  <si>
    <t>BLOCO 84 APT 403</t>
  </si>
  <si>
    <t>BL 84 APT 403</t>
  </si>
  <si>
    <t>22650675802</t>
  </si>
  <si>
    <t>111841914</t>
  </si>
  <si>
    <t>154</t>
  </si>
  <si>
    <t>1118419141541</t>
  </si>
  <si>
    <t>BLOCO 6 APARTAME</t>
  </si>
  <si>
    <t>BL 6 APARTAME</t>
  </si>
  <si>
    <t>43794151801</t>
  </si>
  <si>
    <t>163</t>
  </si>
  <si>
    <t>1118419141631</t>
  </si>
  <si>
    <t>2049293208</t>
  </si>
  <si>
    <t>20492932080</t>
  </si>
  <si>
    <t>95909141287</t>
  </si>
  <si>
    <t>196</t>
  </si>
  <si>
    <t>1118419141961</t>
  </si>
  <si>
    <t>APTO 113 BLOCO C</t>
  </si>
  <si>
    <t>AP 113 BL C</t>
  </si>
  <si>
    <t>01325635251</t>
  </si>
  <si>
    <t>1118419141962</t>
  </si>
  <si>
    <t>36829523818</t>
  </si>
  <si>
    <t>198</t>
  </si>
  <si>
    <t>1118419141981</t>
  </si>
  <si>
    <t>APTO 142 TORRE 2</t>
  </si>
  <si>
    <t>AP 142 TR 2</t>
  </si>
  <si>
    <t>51928331831</t>
  </si>
  <si>
    <t>1118419141982</t>
  </si>
  <si>
    <t>55978108803</t>
  </si>
  <si>
    <t>1118419141983</t>
  </si>
  <si>
    <t>38143170845</t>
  </si>
  <si>
    <t>199</t>
  </si>
  <si>
    <t>1118419141991</t>
  </si>
  <si>
    <t>AP 04 TORRE 21 I</t>
  </si>
  <si>
    <t>AP 04 TR 21 I</t>
  </si>
  <si>
    <t>45993960876</t>
  </si>
  <si>
    <t>1118419142221</t>
  </si>
  <si>
    <t>QUADRA 10 CASA 2</t>
  </si>
  <si>
    <t>QD 10 CASA 2</t>
  </si>
  <si>
    <t>41589304802</t>
  </si>
  <si>
    <t>1118419142231</t>
  </si>
  <si>
    <t>APARTAMENTO 51 B</t>
  </si>
  <si>
    <t>AP 51 B</t>
  </si>
  <si>
    <t>36214717823</t>
  </si>
  <si>
    <t>236</t>
  </si>
  <si>
    <t>1118419142361</t>
  </si>
  <si>
    <t>BLOCO 1 APARTAME</t>
  </si>
  <si>
    <t>BL 1 APARTAME</t>
  </si>
  <si>
    <t>08739144739</t>
  </si>
  <si>
    <t>112049078</t>
  </si>
  <si>
    <t>11204907812</t>
  </si>
  <si>
    <t>BJ 03 AP 301 S 1</t>
  </si>
  <si>
    <t>BJ 03 AP301 S 1</t>
  </si>
  <si>
    <t>27855636897</t>
  </si>
  <si>
    <t>112069888</t>
  </si>
  <si>
    <t>11206988821</t>
  </si>
  <si>
    <t>AP 121 ED GABRIE</t>
  </si>
  <si>
    <t>AP 121 EDF GABR</t>
  </si>
  <si>
    <t>29111653817</t>
  </si>
  <si>
    <t>11206988822</t>
  </si>
  <si>
    <t>APT 121 EDF GABR</t>
  </si>
  <si>
    <t>02665749980</t>
  </si>
  <si>
    <t>112116510</t>
  </si>
  <si>
    <t>11211651011</t>
  </si>
  <si>
    <t>APTO 101 BLOCO 2</t>
  </si>
  <si>
    <t>AP 101 BL 2</t>
  </si>
  <si>
    <t>01274306795</t>
  </si>
  <si>
    <t>112141940</t>
  </si>
  <si>
    <t>11214194011</t>
  </si>
  <si>
    <t>APTO  96 BLOCO A</t>
  </si>
  <si>
    <t>AP  96 BL A</t>
  </si>
  <si>
    <t>39117203864</t>
  </si>
  <si>
    <t>112141940232</t>
  </si>
  <si>
    <t>APTO 34  BLOCO 2</t>
  </si>
  <si>
    <t>AP 34  BL 2</t>
  </si>
  <si>
    <t>14860233808</t>
  </si>
  <si>
    <t>112152937</t>
  </si>
  <si>
    <t>112152937231</t>
  </si>
  <si>
    <t>AP 112   11 ANDA</t>
  </si>
  <si>
    <t>AP 112  11 ANDA</t>
  </si>
  <si>
    <t>15231427829</t>
  </si>
  <si>
    <t>112152937232</t>
  </si>
  <si>
    <t>32539783899</t>
  </si>
  <si>
    <t>112165678</t>
  </si>
  <si>
    <t>112165678321</t>
  </si>
  <si>
    <t>APTO 132 TORRE B</t>
  </si>
  <si>
    <t>AP 132 TR B</t>
  </si>
  <si>
    <t>75598400863</t>
  </si>
  <si>
    <t>112165678461</t>
  </si>
  <si>
    <t>TORRE B APTO 202</t>
  </si>
  <si>
    <t>TR B AP 202</t>
  </si>
  <si>
    <t>29198001833</t>
  </si>
  <si>
    <t>112165678462</t>
  </si>
  <si>
    <t>46965191805</t>
  </si>
  <si>
    <t>112165678463</t>
  </si>
  <si>
    <t>29552482828</t>
  </si>
  <si>
    <t>112203884</t>
  </si>
  <si>
    <t>11220388441</t>
  </si>
  <si>
    <t>L 2 B AL AP 53 A</t>
  </si>
  <si>
    <t>L 2 B AL AP53 A</t>
  </si>
  <si>
    <t>17654710879</t>
  </si>
  <si>
    <t>112303168</t>
  </si>
  <si>
    <t>11230316811</t>
  </si>
  <si>
    <t>BLOCO B  APTO 91</t>
  </si>
  <si>
    <t>BL B  AP 91</t>
  </si>
  <si>
    <t>31233679830</t>
  </si>
  <si>
    <t>112341384</t>
  </si>
  <si>
    <t>11234138431</t>
  </si>
  <si>
    <t>BLOCO 1 APTO 504</t>
  </si>
  <si>
    <t>BL 1 AP 504</t>
  </si>
  <si>
    <t>33895402885</t>
  </si>
  <si>
    <t>11234138432</t>
  </si>
  <si>
    <t>54207846883</t>
  </si>
  <si>
    <t>11234138433</t>
  </si>
  <si>
    <t>54207971866</t>
  </si>
  <si>
    <t>11234138434</t>
  </si>
  <si>
    <t>06788550808</t>
  </si>
  <si>
    <t>112341384171</t>
  </si>
  <si>
    <t>BLOCO 7 APARTAME</t>
  </si>
  <si>
    <t>BL 7 APARTAME</t>
  </si>
  <si>
    <t>05285336813</t>
  </si>
  <si>
    <t>112341384172</t>
  </si>
  <si>
    <t>07227027600</t>
  </si>
  <si>
    <t>112354918</t>
  </si>
  <si>
    <t>11235491851</t>
  </si>
  <si>
    <t>BLOCO A APTO 102</t>
  </si>
  <si>
    <t>BL A AP 102</t>
  </si>
  <si>
    <t>30028850610</t>
  </si>
  <si>
    <t>11235491852</t>
  </si>
  <si>
    <t>67081339891</t>
  </si>
  <si>
    <t>112354918221</t>
  </si>
  <si>
    <t>BLOCO 3 APTO 163</t>
  </si>
  <si>
    <t>BL 3 AP 163</t>
  </si>
  <si>
    <t>04855820822</t>
  </si>
  <si>
    <t>112354918222</t>
  </si>
  <si>
    <t>99185083887</t>
  </si>
  <si>
    <t>112361435</t>
  </si>
  <si>
    <t>11236143551</t>
  </si>
  <si>
    <t>BLOCO 16 APTO 08</t>
  </si>
  <si>
    <t>BL 16 AP 08</t>
  </si>
  <si>
    <t>03078105180</t>
  </si>
  <si>
    <t>112374851</t>
  </si>
  <si>
    <t>112374851691</t>
  </si>
  <si>
    <t>QS 16 CONJUNTO 1</t>
  </si>
  <si>
    <t>QS 16 CJ 1</t>
  </si>
  <si>
    <t>05805924722</t>
  </si>
  <si>
    <t>1123748511411</t>
  </si>
  <si>
    <t>CASA 03 QUADRA F</t>
  </si>
  <si>
    <t>CASA 03 QD F</t>
  </si>
  <si>
    <t>06123747690</t>
  </si>
  <si>
    <t>1123748511471</t>
  </si>
  <si>
    <t>BLOCO 1  APTO 20</t>
  </si>
  <si>
    <t>BL 1  AP 20</t>
  </si>
  <si>
    <t>12777777802</t>
  </si>
  <si>
    <t>333</t>
  </si>
  <si>
    <t>1123748513331</t>
  </si>
  <si>
    <t>APTO 102 BLOCO 4</t>
  </si>
  <si>
    <t>AP 102 BL 4</t>
  </si>
  <si>
    <t>56373548805</t>
  </si>
  <si>
    <t>1123748513332</t>
  </si>
  <si>
    <t>21749409810</t>
  </si>
  <si>
    <t>466</t>
  </si>
  <si>
    <t>1123748514661</t>
  </si>
  <si>
    <t>BLOCO B APTO 163</t>
  </si>
  <si>
    <t>BL B AP 163</t>
  </si>
  <si>
    <t>21869619897</t>
  </si>
  <si>
    <t>472</t>
  </si>
  <si>
    <t>1123748514721</t>
  </si>
  <si>
    <t>BLOCO 41 APTO 11</t>
  </si>
  <si>
    <t>BL 41 AP 11</t>
  </si>
  <si>
    <t>25926254884</t>
  </si>
  <si>
    <t>512</t>
  </si>
  <si>
    <t>1123748515121</t>
  </si>
  <si>
    <t>AP 203 PORTINARI</t>
  </si>
  <si>
    <t>AP203 PORTINARI</t>
  </si>
  <si>
    <t>25942479879</t>
  </si>
  <si>
    <t>513</t>
  </si>
  <si>
    <t>1123748515131</t>
  </si>
  <si>
    <t>PARQUE EDU CHAVE</t>
  </si>
  <si>
    <t>PQ EDU CHAVE</t>
  </si>
  <si>
    <t>01649569998</t>
  </si>
  <si>
    <t>547</t>
  </si>
  <si>
    <t>1123748515472</t>
  </si>
  <si>
    <t>ANDAR 9 PARTE AN</t>
  </si>
  <si>
    <t>AND 9 PARTE AN</t>
  </si>
  <si>
    <t>28378414809</t>
  </si>
  <si>
    <t>1123748515531</t>
  </si>
  <si>
    <t>APTO 2 ED LIRIOS</t>
  </si>
  <si>
    <t>AP 2 ED LIRIOS</t>
  </si>
  <si>
    <t>29560520806</t>
  </si>
  <si>
    <t>573</t>
  </si>
  <si>
    <t>1123748515731</t>
  </si>
  <si>
    <t>BL 4 GR 1 AP 302</t>
  </si>
  <si>
    <t>BL 4 GR 1 AP302</t>
  </si>
  <si>
    <t>30048712892</t>
  </si>
  <si>
    <t>582</t>
  </si>
  <si>
    <t>1123748515821</t>
  </si>
  <si>
    <t>BLOCO C APTO 108</t>
  </si>
  <si>
    <t>BL C AP 108</t>
  </si>
  <si>
    <t>36945745813</t>
  </si>
  <si>
    <t>750</t>
  </si>
  <si>
    <t>1123748517501</t>
  </si>
  <si>
    <t>APTO 112 BLOCO N</t>
  </si>
  <si>
    <t>AP 112 BL N</t>
  </si>
  <si>
    <t>37155201839</t>
  </si>
  <si>
    <t>757</t>
  </si>
  <si>
    <t>1123748517571</t>
  </si>
  <si>
    <t>BL C AP 28 C RES</t>
  </si>
  <si>
    <t>BL C AP28 C RES</t>
  </si>
  <si>
    <t>38871761898</t>
  </si>
  <si>
    <t>794</t>
  </si>
  <si>
    <t>1123748517941</t>
  </si>
  <si>
    <t>BLOCO 08  APTO17</t>
  </si>
  <si>
    <t>BL 08  AP17</t>
  </si>
  <si>
    <t>39818711890</t>
  </si>
  <si>
    <t>818</t>
  </si>
  <si>
    <t>1123748518181</t>
  </si>
  <si>
    <t>JARDIM PROGRESSO</t>
  </si>
  <si>
    <t>JD PROGRESSO</t>
  </si>
  <si>
    <t>40251954889</t>
  </si>
  <si>
    <t>832</t>
  </si>
  <si>
    <t>1123748518321</t>
  </si>
  <si>
    <t>APTO 184 BLOCO 1</t>
  </si>
  <si>
    <t>AP 184 BL 1</t>
  </si>
  <si>
    <t>57923965153</t>
  </si>
  <si>
    <t>1036</t>
  </si>
  <si>
    <t>11237485110361</t>
  </si>
  <si>
    <t>BLOCO C APTO 611</t>
  </si>
  <si>
    <t>BL C AP 611</t>
  </si>
  <si>
    <t>70896186504</t>
  </si>
  <si>
    <t>1056</t>
  </si>
  <si>
    <t>11237485110561</t>
  </si>
  <si>
    <t>C RES CID DO MEX</t>
  </si>
  <si>
    <t xml:space="preserve"> RES CID DO MEX</t>
  </si>
  <si>
    <t>85703818168</t>
  </si>
  <si>
    <t>1088</t>
  </si>
  <si>
    <t>11237485110881</t>
  </si>
  <si>
    <t>BLOCO A APTO 140</t>
  </si>
  <si>
    <t>BL A AP 140</t>
  </si>
  <si>
    <t>03795293359</t>
  </si>
  <si>
    <t>1152</t>
  </si>
  <si>
    <t>11237485111521</t>
  </si>
  <si>
    <t>17 ANDAR AP 1702</t>
  </si>
  <si>
    <t>17 AND AP 1702</t>
  </si>
  <si>
    <t>11589037820</t>
  </si>
  <si>
    <t>112394128</t>
  </si>
  <si>
    <t>11239412841</t>
  </si>
  <si>
    <t>AP 62 SAFIRAS T3</t>
  </si>
  <si>
    <t>AP62 SAFIRAS T3</t>
  </si>
  <si>
    <t>112475357</t>
  </si>
  <si>
    <t>11247535723</t>
  </si>
  <si>
    <t>AP 192 TORRE B 4</t>
  </si>
  <si>
    <t>AP 192 TR B 4</t>
  </si>
  <si>
    <t>112491118</t>
  </si>
  <si>
    <t>11249111812</t>
  </si>
  <si>
    <t>TORRE B APTO 122</t>
  </si>
  <si>
    <t>TR B AP 122</t>
  </si>
  <si>
    <t>39651470801</t>
  </si>
  <si>
    <t>112491118121</t>
  </si>
  <si>
    <t>2072471224</t>
  </si>
  <si>
    <t>20724712240</t>
  </si>
  <si>
    <t>112513023</t>
  </si>
  <si>
    <t>11251302351</t>
  </si>
  <si>
    <t>TORRE A  APTO 94</t>
  </si>
  <si>
    <t>TR A  AP 94</t>
  </si>
  <si>
    <t>47624354810</t>
  </si>
  <si>
    <t>112517642</t>
  </si>
  <si>
    <t>112517642231</t>
  </si>
  <si>
    <t>1401844121</t>
  </si>
  <si>
    <t>14018441210</t>
  </si>
  <si>
    <t>36298610839</t>
  </si>
  <si>
    <t>112522591</t>
  </si>
  <si>
    <t>112522591281</t>
  </si>
  <si>
    <t>APTO 85 MED33 TO</t>
  </si>
  <si>
    <t>AP 85 MED33 TO</t>
  </si>
  <si>
    <t>22346663840</t>
  </si>
  <si>
    <t>112559932</t>
  </si>
  <si>
    <t>112559932211</t>
  </si>
  <si>
    <t>APTO 233 BLOCO 1</t>
  </si>
  <si>
    <t>AP 233 BL 1</t>
  </si>
  <si>
    <t>65390202104</t>
  </si>
  <si>
    <t>112559932331</t>
  </si>
  <si>
    <t>160 BLOCO 2 APTO</t>
  </si>
  <si>
    <t>160 BL 2 AP</t>
  </si>
  <si>
    <t>01371892814</t>
  </si>
  <si>
    <t>112597351</t>
  </si>
  <si>
    <t>11259735131</t>
  </si>
  <si>
    <t>APTO 122 BLOCO 3</t>
  </si>
  <si>
    <t>AP 122 BL 3</t>
  </si>
  <si>
    <t>27106711829</t>
  </si>
  <si>
    <t>112613843</t>
  </si>
  <si>
    <t>112613843111</t>
  </si>
  <si>
    <t>1262200858</t>
  </si>
  <si>
    <t>12622008580</t>
  </si>
  <si>
    <t>27108268876</t>
  </si>
  <si>
    <t>112617365</t>
  </si>
  <si>
    <t>11261736591</t>
  </si>
  <si>
    <t>AP 162 TORRE TOP</t>
  </si>
  <si>
    <t>AP 162 TR TOP</t>
  </si>
  <si>
    <t>36590523886</t>
  </si>
  <si>
    <t>112675729</t>
  </si>
  <si>
    <t>11267572931</t>
  </si>
  <si>
    <t>APTO 133 BLOCO V</t>
  </si>
  <si>
    <t>AP 133 BL V</t>
  </si>
  <si>
    <t>21799874800</t>
  </si>
  <si>
    <t>112697014</t>
  </si>
  <si>
    <t>11269701411</t>
  </si>
  <si>
    <t>TORRE C APTO 192</t>
  </si>
  <si>
    <t>TR C AP 192</t>
  </si>
  <si>
    <t>37800227880</t>
  </si>
  <si>
    <t>11269701412</t>
  </si>
  <si>
    <t>49172355883</t>
  </si>
  <si>
    <t>11269701413</t>
  </si>
  <si>
    <t>43337318878</t>
  </si>
  <si>
    <t>112763746</t>
  </si>
  <si>
    <t>112763746101</t>
  </si>
  <si>
    <t>BLOCO 38 APTO 32</t>
  </si>
  <si>
    <t>BL 38 AP 32</t>
  </si>
  <si>
    <t>38146732801</t>
  </si>
  <si>
    <t>112782987</t>
  </si>
  <si>
    <t>11278298721</t>
  </si>
  <si>
    <t>APTO 42 TORRE 01</t>
  </si>
  <si>
    <t>AP 42 TR 01</t>
  </si>
  <si>
    <t>27537236801</t>
  </si>
  <si>
    <t>112808095</t>
  </si>
  <si>
    <t>11280809591</t>
  </si>
  <si>
    <t>APTO 172 BLOCO D</t>
  </si>
  <si>
    <t>AP 172 BL D</t>
  </si>
  <si>
    <t>83510435672</t>
  </si>
  <si>
    <t>112872732</t>
  </si>
  <si>
    <t>11287273241</t>
  </si>
  <si>
    <t>AP104ED GAIVOTAS</t>
  </si>
  <si>
    <t>AP104ED GAIVOTA</t>
  </si>
  <si>
    <t>13310955656</t>
  </si>
  <si>
    <t>11287273243</t>
  </si>
  <si>
    <t>AP 104ED GIAVOTA</t>
  </si>
  <si>
    <t>AP104ED GIAVOTA</t>
  </si>
  <si>
    <t>09508607866</t>
  </si>
  <si>
    <t>112908935</t>
  </si>
  <si>
    <t>11290893531</t>
  </si>
  <si>
    <t>CS 97 CD BOM SUC</t>
  </si>
  <si>
    <t>31348236833</t>
  </si>
  <si>
    <t>112912645</t>
  </si>
  <si>
    <t>11291264581</t>
  </si>
  <si>
    <t>BLOCO 04 APTO 13</t>
  </si>
  <si>
    <t>BL 04 AP 13</t>
  </si>
  <si>
    <t>34068059810</t>
  </si>
  <si>
    <t>11291264582</t>
  </si>
  <si>
    <t>50608117862</t>
  </si>
  <si>
    <t>11291264583</t>
  </si>
  <si>
    <t>55497421873</t>
  </si>
  <si>
    <t>11291264584</t>
  </si>
  <si>
    <t>21308432801</t>
  </si>
  <si>
    <t>112913851</t>
  </si>
  <si>
    <t>11291385171</t>
  </si>
  <si>
    <t>APTO 194 TORRE A</t>
  </si>
  <si>
    <t>AP 194 TR A</t>
  </si>
  <si>
    <t>25108308809</t>
  </si>
  <si>
    <t>112984481</t>
  </si>
  <si>
    <t>11298448161</t>
  </si>
  <si>
    <t>APTO 205 BLOCO 1</t>
  </si>
  <si>
    <t>AP 205 BL 1</t>
  </si>
  <si>
    <t>22306723800</t>
  </si>
  <si>
    <t>11298448162</t>
  </si>
  <si>
    <t>56441073889</t>
  </si>
  <si>
    <t>11298448163</t>
  </si>
  <si>
    <t>52552921841</t>
  </si>
  <si>
    <t>11298448164</t>
  </si>
  <si>
    <t>02386360709</t>
  </si>
  <si>
    <t>112991280</t>
  </si>
  <si>
    <t>14</t>
  </si>
  <si>
    <t>112991280141</t>
  </si>
  <si>
    <t>APTO 904 BLOCO B</t>
  </si>
  <si>
    <t>AP 904 BL B</t>
  </si>
  <si>
    <t>17170377632</t>
  </si>
  <si>
    <t>113049330</t>
  </si>
  <si>
    <t>113049330232</t>
  </si>
  <si>
    <t>01552211673</t>
  </si>
  <si>
    <t>113073933</t>
  </si>
  <si>
    <t>11307393351</t>
  </si>
  <si>
    <t>1288020117</t>
  </si>
  <si>
    <t>12880201170</t>
  </si>
  <si>
    <t>10295370629</t>
  </si>
  <si>
    <t>113073933181</t>
  </si>
  <si>
    <t>BLOCO 04 APTO 20</t>
  </si>
  <si>
    <t>BL 04 AP 20</t>
  </si>
  <si>
    <t>12080364677</t>
  </si>
  <si>
    <t>113073933201</t>
  </si>
  <si>
    <t>2047551448</t>
  </si>
  <si>
    <t>20475514480</t>
  </si>
  <si>
    <t>41851113800</t>
  </si>
  <si>
    <t>113098920</t>
  </si>
  <si>
    <t>113098920401</t>
  </si>
  <si>
    <t>BARRA DE JANGADA</t>
  </si>
  <si>
    <t>BRA DE JANGADA</t>
  </si>
  <si>
    <t>05291462310</t>
  </si>
  <si>
    <t>113125530</t>
  </si>
  <si>
    <t>63</t>
  </si>
  <si>
    <t>113125530631</t>
  </si>
  <si>
    <t>BLOCO G APTO 401</t>
  </si>
  <si>
    <t>BL G AP 401</t>
  </si>
  <si>
    <t>07675851781</t>
  </si>
  <si>
    <t>113328116</t>
  </si>
  <si>
    <t>113328116121</t>
  </si>
  <si>
    <t>COND EDIFICIO AQ</t>
  </si>
  <si>
    <t>COND EDF AQ</t>
  </si>
  <si>
    <t>19291793752</t>
  </si>
  <si>
    <t>113328116122</t>
  </si>
  <si>
    <t>18623985770</t>
  </si>
  <si>
    <t>113328116123</t>
  </si>
  <si>
    <t>09056514725</t>
  </si>
  <si>
    <t>113328116124</t>
  </si>
  <si>
    <t>18624008735</t>
  </si>
  <si>
    <t>113328116125</t>
  </si>
  <si>
    <t>0515200195879808107</t>
  </si>
  <si>
    <t>Operação não concluída.  Dia da data fim de vigência deve ser no último dia do mês.</t>
  </si>
  <si>
    <t>Operação não concluída.  Erro - Cliente duplicado. É necessario unificar o cliente</t>
  </si>
  <si>
    <t>0515200495879808517</t>
  </si>
  <si>
    <t>0515-2004-95-87-9808517/000000</t>
  </si>
  <si>
    <t>0515200495879808518</t>
  </si>
  <si>
    <t>0515-2004-95-87-9808518/000000</t>
  </si>
  <si>
    <t>0515200495879808656</t>
  </si>
  <si>
    <t>Operação não concluída.  O campo Data de Admissão na Empresa é obrigatório para o Titular</t>
  </si>
  <si>
    <t>0515200595879808742</t>
  </si>
  <si>
    <t>0515200195879808093</t>
  </si>
  <si>
    <t>0515200195879800415</t>
  </si>
  <si>
    <t>0515200195879801490</t>
  </si>
  <si>
    <t>Operação concluída. 0515-2001-95-87-9801490/000156</t>
  </si>
  <si>
    <t>Operação não concluída.  ERRO - Cartão Nacional de Saúde obrigatório</t>
  </si>
  <si>
    <t>0515200195879801296</t>
  </si>
  <si>
    <t>Operação não concluída.  Dia da dt Ini Vig do seg deverá coincidir com dia da Dt InI Vig da apólice mãe</t>
  </si>
  <si>
    <t xml:space="preserve">Operação não concluída. </t>
  </si>
  <si>
    <t xml:space="preserve">Operação concluída. </t>
  </si>
  <si>
    <t>Operação concluida - 0515-2001-95-87-9801296/000775</t>
  </si>
  <si>
    <t>Operação não concluída. Data supl deve ser maior data apolice/supl anterior (25/03/2020)</t>
  </si>
  <si>
    <t>Operação concluida -0515-2001-95-87-9801296/000776</t>
  </si>
  <si>
    <t xml:space="preserve">Operação não concluída.   </t>
  </si>
  <si>
    <t>0515200595879808996</t>
  </si>
  <si>
    <t>Operação não concluida</t>
  </si>
  <si>
    <t>0515200595879809118</t>
  </si>
  <si>
    <t>Operação concluída. 0515-2005-95-87-9809118/000000</t>
  </si>
  <si>
    <t>0515200595879809218</t>
  </si>
  <si>
    <t>Operação concluída. 0515-2005-95-87-9809218/000000</t>
  </si>
  <si>
    <t>0515200695879809287</t>
  </si>
  <si>
    <t>Operação concluída. 0515-2006-95-87-9809287/000000</t>
  </si>
  <si>
    <t>0515200695879802386</t>
  </si>
  <si>
    <t>0515200695879802390</t>
  </si>
  <si>
    <t>Operação concluída. 0515-2006-95-87-9802390/000367</t>
  </si>
  <si>
    <t>Operação concluída. 0515-2006-95-87-9802390/000368</t>
  </si>
  <si>
    <t>0515200795879809599</t>
  </si>
  <si>
    <t>Operação não concluída.  CPF ou CNPJ inválido.</t>
  </si>
  <si>
    <t>0515200795879802499</t>
  </si>
  <si>
    <t>Operação concluída. 0515-2007-95-87-9802499/000716</t>
  </si>
  <si>
    <t>Operação concluída. 0515-2007-95-87-9802499/000717</t>
  </si>
  <si>
    <t>Operação concluída. 0515-2007-95-87-9802499/000718</t>
  </si>
  <si>
    <t>Operação concluída. 0515-2007-95-87-9802499/000719</t>
  </si>
  <si>
    <t>0515200795879809838</t>
  </si>
  <si>
    <t>Operação concluída. 0515-2007-95-87-9809838/000000</t>
  </si>
  <si>
    <t>0515200895879804094</t>
  </si>
  <si>
    <t>Operação concluída. 0515-2008-95-87-9804094/000000</t>
  </si>
  <si>
    <t>0515200995879804121</t>
  </si>
  <si>
    <t>0515200995879802614</t>
  </si>
  <si>
    <t>Operação concluída. 0515-2009-95-87-9802614/000456</t>
  </si>
  <si>
    <t>Operação concluída. 0515-2009-95-87-9802614/000457</t>
  </si>
  <si>
    <t>Operação concluída. 0515-2009-95-87-9802614/000458</t>
  </si>
  <si>
    <t>0515200995879802629</t>
  </si>
  <si>
    <t>Operação concluída. 0515-2009-95-87-9802629/001666</t>
  </si>
  <si>
    <t>0515200995879804210</t>
  </si>
  <si>
    <t>0515200995879802653</t>
  </si>
  <si>
    <t>0515201095879804301</t>
  </si>
  <si>
    <t>Operação concluída. 0515-2010-95-87-9804301/000000</t>
  </si>
  <si>
    <t>0515201095879804316</t>
  </si>
  <si>
    <t>0515201095879804319</t>
  </si>
  <si>
    <t>Operação concluída. 0515-2010-95-87-9804319/000000</t>
  </si>
  <si>
    <t>0515201095879804369</t>
  </si>
  <si>
    <t>0515201095879802713</t>
  </si>
  <si>
    <t>0515201095879804454</t>
  </si>
  <si>
    <t>Operação concluída. 0515-2010-95-87-9804454/000000</t>
  </si>
  <si>
    <t>0515201195879804607</t>
  </si>
  <si>
    <t>Operação concluída. 0515-2011-95-87-9804607/000000</t>
  </si>
  <si>
    <t>0515201195879802779</t>
  </si>
  <si>
    <t>Operação concluída. 0515-2011-95-87-9802779/000284</t>
  </si>
  <si>
    <t>0515201195879802829</t>
  </si>
  <si>
    <t>0515201195879804895</t>
  </si>
  <si>
    <t>Operação não concluída.  Documento de identificação é obrigatório para segurados com 18 ou mais anos</t>
  </si>
  <si>
    <t>0515201195879804969</t>
  </si>
  <si>
    <t>0515201295879804997</t>
  </si>
  <si>
    <t>0515201295879802905</t>
  </si>
  <si>
    <t>Operação concluída. 0515-2012-95-87-9802905/000181</t>
  </si>
  <si>
    <t>0515201295879806109</t>
  </si>
  <si>
    <t>0515201295879806170</t>
  </si>
  <si>
    <t>Operação concluída. 0515-2012-95-87-9806170/000000</t>
  </si>
  <si>
    <t>0515201295879806187</t>
  </si>
  <si>
    <t>0515201295879806557</t>
  </si>
  <si>
    <t>0515201395879806572</t>
  </si>
  <si>
    <t>Operação concluída. 0515-2013-95-87-9806572/000000</t>
  </si>
  <si>
    <t>0515201395879803011</t>
  </si>
  <si>
    <t>Operação concluída. 0515-2013-95-87-9803011/000139</t>
  </si>
  <si>
    <t>0515201395879803015</t>
  </si>
  <si>
    <t>Operação concluída. 0515-2013-95-87-9803015/000290</t>
  </si>
  <si>
    <t>Operação concluída. 0515-2013-95-87-9803015/000291</t>
  </si>
  <si>
    <t>0515201395879806845</t>
  </si>
  <si>
    <t>Operação concluída. 0515-2013-95-87-9806845/000000</t>
  </si>
  <si>
    <t>051520149F870000108</t>
  </si>
  <si>
    <t>Operação concluída. 0515-2014-9F-87-0000108/001429</t>
  </si>
  <si>
    <t>Operação concluída. 0515-2014-9F-87-0000108/001430</t>
  </si>
  <si>
    <t>Operação concluída. 0515-2014-9F-87-0000108/001431</t>
  </si>
  <si>
    <t>Operação concluída. 0515-2014-9F-87-0000108/001432</t>
  </si>
  <si>
    <t>Operação concluída. atributo nao encontrado</t>
  </si>
  <si>
    <t>atributo nao encontrado</t>
  </si>
  <si>
    <t>051520159U870000014</t>
  </si>
  <si>
    <t>051520153N870000015</t>
  </si>
  <si>
    <t>Operação concluída. 0515-2015-3N-87-0000015/000553</t>
  </si>
  <si>
    <t>0515201672870000013</t>
  </si>
  <si>
    <t>Operação concluída. 0515-2016-72-87-0000013/000413</t>
  </si>
  <si>
    <t>Operação concluída. 0515-2016-72-87-0000013/000414</t>
  </si>
  <si>
    <t>Operação concluída. 0515-2016-72-87-0000013/000415</t>
  </si>
  <si>
    <t>Operação concluída. 0515-2016-72-87-0000013/000416</t>
  </si>
  <si>
    <t>Operação concluída. 0515-2016-72-87-0000013/000417</t>
  </si>
  <si>
    <t>051520163U870000066</t>
  </si>
  <si>
    <t>051520161N870000108</t>
  </si>
  <si>
    <t>Operação concluída. 0515-2016-1N-87-0000108/000000</t>
  </si>
  <si>
    <t>0515201630870000122</t>
  </si>
  <si>
    <t>0515201644870000127</t>
  </si>
  <si>
    <t>Operação concluída. 0515-2016-44-87-0000127/000156</t>
  </si>
  <si>
    <t>051520163Q870000133</t>
  </si>
  <si>
    <t>051520163N870000137</t>
  </si>
  <si>
    <t>Operação concluída. 0515-2016-3N-87-0000137/000000</t>
  </si>
  <si>
    <t>051520169F870000161</t>
  </si>
  <si>
    <t>Operação concluída. 0515-2016-9F-87-0000161/000000</t>
  </si>
  <si>
    <t>0515201630870000180</t>
  </si>
  <si>
    <t>051520161N870000205</t>
  </si>
  <si>
    <t>Operação concluída. 0515-2016-1N-87-0000205/000000</t>
  </si>
  <si>
    <t>051520163N870000237</t>
  </si>
  <si>
    <t>Operação concluída. 0515-2016-3N-87-0000237/000000</t>
  </si>
  <si>
    <t>051520163Q870000250</t>
  </si>
  <si>
    <t>051520164X870000304</t>
  </si>
  <si>
    <t>Operação concluída. 0515-2016-4X-87-0000304/000000</t>
  </si>
  <si>
    <t>051520169U870000327</t>
  </si>
  <si>
    <t>051520160F870000404</t>
  </si>
  <si>
    <t>051520163N870000416</t>
  </si>
  <si>
    <t>051520160F870000414</t>
  </si>
  <si>
    <t>Operação concluída. 0515-2016-0F-87-0000414/000000</t>
  </si>
  <si>
    <t>051520160F870000425</t>
  </si>
  <si>
    <t>Operação concluída. 0515-2016-0F-87-0000425/000000</t>
  </si>
  <si>
    <t>051520164X870000462</t>
  </si>
  <si>
    <t>Operação concluída. 0515-2016-4X-87-0000462/000000</t>
  </si>
  <si>
    <t>051520170F870000007</t>
  </si>
  <si>
    <t>Operação concluída. 0515-2017-0F-87-0000007/000000</t>
  </si>
  <si>
    <t>0515201744870000026</t>
  </si>
  <si>
    <t>Operação não concluída.  Data fim de vigência obrigatória</t>
  </si>
  <si>
    <t>0515201749870000041</t>
  </si>
  <si>
    <t>Operação concluída. 0515-2017-49-87-0000041/000184</t>
  </si>
  <si>
    <t>0515201749870000053</t>
  </si>
  <si>
    <t>0515201744870000083</t>
  </si>
  <si>
    <t>051520173Y870000137</t>
  </si>
  <si>
    <t>Operação concluída. 0515-2017-3Y-87-0000137/000000</t>
  </si>
  <si>
    <t>051520173Q870000187</t>
  </si>
  <si>
    <t>Operação concluída. 0515-2017-3Q-87-0000187/000000</t>
  </si>
  <si>
    <t>051520170F870000264</t>
  </si>
  <si>
    <t>0515201844870000035</t>
  </si>
  <si>
    <t>0515201853870000045</t>
  </si>
  <si>
    <t>Operação não concluída.  Nova Apólice8Nova Apólice2Nova Apólice9Nova Apólice2Nova Apólice</t>
  </si>
  <si>
    <t>0515201840870000077</t>
  </si>
  <si>
    <t>051520184X870000080</t>
  </si>
  <si>
    <t>Operação concluída. 0515-2018-4X-87-0000080/000000</t>
  </si>
  <si>
    <t>0515201853870000073</t>
  </si>
  <si>
    <t>Operação concluída. 0515-2018-53-87-0000073/000000</t>
  </si>
  <si>
    <t>051520183N870000072</t>
  </si>
  <si>
    <t>Operação não concluída.  ATENÇÃO-Esta apólice já atingiu limite de 199 Vidas,a mesma deve ser analisada</t>
  </si>
  <si>
    <t>051520183Y870000093</t>
  </si>
  <si>
    <t>Operação concluída. 0515-2018-3Y-87-0000093/000000</t>
  </si>
  <si>
    <t>0515201853870000086</t>
  </si>
  <si>
    <t>Operação concluída. 0515-2018-53-87-0000086/000052</t>
  </si>
  <si>
    <t>051520183Q870000092</t>
  </si>
  <si>
    <t>Operação concluída. 0515-2018-3Q-87-0000092/000000</t>
  </si>
  <si>
    <t>051520193U870000007</t>
  </si>
  <si>
    <t>Operação concluída. 0515-2019-3U-87-0000007/000000</t>
  </si>
  <si>
    <t>0515201953870000077</t>
  </si>
  <si>
    <t>Operação concluída. 0515-2019-53-87-0000077/000000</t>
  </si>
  <si>
    <t>051520193Q870000022</t>
  </si>
  <si>
    <t>0515201953870000041</t>
  </si>
  <si>
    <t>0515201944870000060</t>
  </si>
  <si>
    <t>051520194X870000130</t>
  </si>
  <si>
    <t>Operação concluída. 0515-2019-4X-87-0000130/000000</t>
  </si>
  <si>
    <t>0515201944870000131</t>
  </si>
  <si>
    <t>Operação concluída. 0515-2019-44-87-0000131/000000</t>
  </si>
  <si>
    <t>0515201931870000133</t>
  </si>
  <si>
    <t>Operação concluída. 0515-2019-31-87-0000133/000000</t>
  </si>
  <si>
    <t>0515201953870000138</t>
  </si>
  <si>
    <t>Operação concluída. 0515-2019-53-87-0000138/000000</t>
  </si>
  <si>
    <t>0515201953870000122</t>
  </si>
  <si>
    <t>Operação concluída. 0515-2019-53-87-0000122/000000</t>
  </si>
  <si>
    <t>051520193U870000394</t>
  </si>
  <si>
    <t>Operação concluída. 0515-2001-95-87-9801296/000777</t>
  </si>
  <si>
    <t>Operação concluída. 0515-2001-95-87-9801296/000778</t>
  </si>
  <si>
    <t>Operação concluída. 0515-2001-95-87-9801296/000779</t>
  </si>
  <si>
    <t>0515200195879801537</t>
  </si>
  <si>
    <t>0515200195879802006</t>
  </si>
  <si>
    <t>Operação concluída. 0515-2001-95-87-9802006/000451</t>
  </si>
  <si>
    <t>Operação concluída. 0515-2001-95-87-9802006/000452</t>
  </si>
  <si>
    <t>Operação concluída. 0515-2001-95-87-9802006/000453</t>
  </si>
  <si>
    <t>Operação concluída. 0515-2001-95-87-9802006/000454</t>
  </si>
  <si>
    <t>0515201395879803061</t>
  </si>
  <si>
    <t>Operação concluída. 0515-2013-95-87-9803061/000199</t>
  </si>
  <si>
    <t>0515201395879807235</t>
  </si>
  <si>
    <t>Operação concluída. 0515-2013-95-87-9807235/000000</t>
  </si>
  <si>
    <t>0515201395879807283</t>
  </si>
  <si>
    <t>0515201395879807375</t>
  </si>
  <si>
    <t>0515201395879807382</t>
  </si>
  <si>
    <t>Operação concluída. 0515-2013-95-87-9807382/000000</t>
  </si>
  <si>
    <t>0515201395879807480</t>
  </si>
  <si>
    <t>Operação concluída. 0515-2013-95-87-9807480/000000</t>
  </si>
  <si>
    <t>0515201395879807551</t>
  </si>
  <si>
    <t>0515201395879807643</t>
  </si>
  <si>
    <t>0515201395879807669</t>
  </si>
  <si>
    <t>0515201395879807842</t>
  </si>
  <si>
    <t>0515201395879807968</t>
  </si>
  <si>
    <t>0515201395879803513</t>
  </si>
  <si>
    <t>Operação concluída. 0515-2013-95-87-9803513/000000</t>
  </si>
  <si>
    <t>Operação concluída. 0515-2019-3U-87-0000394/000000</t>
  </si>
  <si>
    <t>0515201953870000137</t>
  </si>
  <si>
    <t>051520193N870000181</t>
  </si>
  <si>
    <t>051520194X870000171</t>
  </si>
  <si>
    <t>Operação concluída. 0515-2019-4X-87-0000171/000026</t>
  </si>
  <si>
    <t>0515201944870000178</t>
  </si>
  <si>
    <t>0515201944870000179</t>
  </si>
  <si>
    <t>Operação concluída. 0515-2019-44-87-0000179/000057</t>
  </si>
  <si>
    <t>Operação concluída. 0515-2019-44-87-0000179/000058</t>
  </si>
  <si>
    <t>0515201944870000180</t>
  </si>
  <si>
    <t>Operação concluída. 0515-2019-44-87-0000180/000126</t>
  </si>
  <si>
    <t>051520193Q870000183</t>
  </si>
  <si>
    <t>051520194X870000200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</si>
</sst>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/>
    <xf numFmtId="49" fontId="2" fillId="3" borderId="0" xfId="0" applyNumberFormat="1" applyFont="1" applyFill="1"/>
    <xf numFmtId="0" fontId="0" fillId="4" borderId="0" xfId="0" applyFill="1"/>
    <xf numFmtId="49" fontId="0" fillId="0" borderId="0" xfId="0" applyNumberFormat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ill="1"/>
    <xf numFmtId="49" fontId="0" fillId="0" borderId="0" xfId="0" applyNumberFormat="1" applyFill="1"/>
    <xf numFmtId="0" fontId="0" fillId="0" borderId="0" xfId="0" applyFill="1" applyBorder="1"/>
    <xf numFmtId="0" fontId="0" fillId="0" borderId="0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49" fontId="0" fillId="0" borderId="1" xfId="0" applyNumberFormat="1" applyFill="1" applyBorder="1"/>
    <xf numFmtId="0" fontId="0" fillId="0" borderId="1" xfId="0" applyFill="1" applyBorder="1"/>
    <xf numFmtId="49" fontId="0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3" fillId="0" borderId="1" xfId="0" applyNumberFormat="1" applyFont="1" applyBorder="1"/>
    <xf numFmtId="0" fontId="3" fillId="0" borderId="1" xfId="0" applyFont="1" applyBorder="1"/>
    <xf numFmtId="0" fontId="3" fillId="0" borderId="0" xfId="0" applyFont="1" applyBorder="1"/>
    <xf numFmtId="49" fontId="0" fillId="4" borderId="0" xfId="0" applyNumberForma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0" fillId="0" borderId="0" xfId="0" applyNumberFormat="1" applyBorder="1"/>
    <xf numFmtId="0" fontId="2" fillId="3" borderId="0" xfId="0" applyFont="1" applyFill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2"/>
  <sheetViews>
    <sheetView tabSelected="1" topLeftCell="K1" zoomScaleNormal="100" workbookViewId="0">
      <pane ySplit="1" topLeftCell="A209" activePane="bottomLeft" state="frozen"/>
      <selection pane="bottomLeft" activeCell="K220" sqref="K220"/>
    </sheetView>
  </sheetViews>
  <sheetFormatPr defaultRowHeight="15" x14ac:dyDescent="0.25"/>
  <cols>
    <col min="1" max="1" width="9.140625" style="1" collapsed="1"/>
    <col min="2" max="2" width="17" style="3" customWidth="1" collapsed="1"/>
    <col min="3" max="3" width="26.5703125" style="2" customWidth="1" collapsed="1"/>
    <col min="4" max="4" width="25.5703125" style="1" customWidth="1" collapsed="1"/>
    <col min="5" max="5" width="22.42578125" style="2" customWidth="1" collapsed="1"/>
    <col min="6" max="6" width="32.140625" style="2" customWidth="1" collapsed="1"/>
    <col min="7" max="7" width="17.42578125" style="1" customWidth="1" collapsed="1"/>
    <col min="8" max="8" width="18.7109375" style="1" customWidth="1" collapsed="1"/>
    <col min="9" max="9" width="16.7109375" style="1" customWidth="1" collapsed="1"/>
    <col min="10" max="10" width="18" style="1" customWidth="1" collapsed="1"/>
    <col min="11" max="11" width="74.28515625" style="1" customWidth="1" collapsed="1"/>
    <col min="12" max="12" width="30.5703125" style="1" customWidth="1" collapsed="1"/>
    <col min="13" max="13" width="25.140625" style="1" customWidth="1" collapsed="1"/>
    <col min="14" max="14" width="37.7109375" style="1" customWidth="1" collapsed="1"/>
    <col min="15" max="15" width="18.5703125" style="1" customWidth="1" collapsed="1"/>
    <col min="16" max="16" width="60.28515625" style="1" customWidth="1" collapsed="1"/>
    <col min="17" max="17" width="17.28515625" style="36" customWidth="1" collapsed="1"/>
    <col min="18" max="18" width="18.85546875" style="36" customWidth="1" collapsed="1"/>
    <col min="19" max="19" width="109.140625" style="3" customWidth="1" collapsed="1"/>
    <col min="20" max="16384" width="9.140625" style="1" collapsed="1"/>
  </cols>
  <sheetData>
    <row r="1" spans="1:19" s="2" customFormat="1" x14ac:dyDescent="0.25">
      <c r="A1" s="4" t="s">
        <v>1</v>
      </c>
      <c r="B1" s="4" t="s">
        <v>0</v>
      </c>
      <c r="C1" s="5" t="s">
        <v>4</v>
      </c>
      <c r="D1" s="5" t="s">
        <v>5</v>
      </c>
      <c r="E1" s="6" t="s">
        <v>6</v>
      </c>
      <c r="F1" s="7" t="s">
        <v>7</v>
      </c>
      <c r="G1" s="8" t="s">
        <v>8</v>
      </c>
      <c r="H1" s="6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6" t="s">
        <v>15</v>
      </c>
      <c r="O1" s="5" t="s">
        <v>16</v>
      </c>
      <c r="P1" s="6" t="s">
        <v>17</v>
      </c>
      <c r="Q1" s="31" t="s">
        <v>18</v>
      </c>
      <c r="R1" s="31" t="s">
        <v>19</v>
      </c>
      <c r="S1" s="4" t="s">
        <v>491</v>
      </c>
    </row>
    <row r="2" spans="1:19" s="14" customFormat="1" x14ac:dyDescent="0.25">
      <c r="A2" s="11">
        <v>0</v>
      </c>
      <c r="B2" s="11" t="s">
        <v>496</v>
      </c>
      <c r="C2" s="19" t="s">
        <v>497</v>
      </c>
      <c r="D2" s="19" t="s">
        <v>1011</v>
      </c>
      <c r="E2" s="19"/>
      <c r="F2" s="19" t="s">
        <v>284</v>
      </c>
      <c r="G2" s="19" t="s">
        <v>285</v>
      </c>
      <c r="H2" s="19" t="s">
        <v>286</v>
      </c>
      <c r="I2" s="19" t="s">
        <v>26</v>
      </c>
      <c r="J2" s="20" t="s">
        <v>287</v>
      </c>
      <c r="K2" s="19" t="s">
        <v>255</v>
      </c>
      <c r="L2" s="19" t="s">
        <v>114</v>
      </c>
      <c r="M2" s="19" t="s">
        <v>1012</v>
      </c>
      <c r="N2" s="19"/>
      <c r="O2" s="20" t="s">
        <v>257</v>
      </c>
      <c r="P2" s="20" t="s">
        <v>258</v>
      </c>
      <c r="Q2" s="20">
        <f>LEN(L2)</f>
        <v>3</v>
      </c>
      <c r="R2" s="20">
        <f>LEN(N2)</f>
        <v>0</v>
      </c>
      <c r="S2" s="11"/>
    </row>
    <row r="3" spans="1:19" x14ac:dyDescent="0.25">
      <c r="A3" s="2">
        <v>1</v>
      </c>
      <c r="B3" s="3" t="s">
        <v>490</v>
      </c>
      <c r="C3" s="17" t="s">
        <v>498</v>
      </c>
      <c r="D3" s="17" t="s">
        <v>1011</v>
      </c>
      <c r="E3" s="17" t="s">
        <v>2909</v>
      </c>
      <c r="F3" s="17" t="s">
        <v>103</v>
      </c>
      <c r="G3" s="17" t="s">
        <v>44</v>
      </c>
      <c r="H3" s="17" t="s">
        <v>1013</v>
      </c>
      <c r="I3" s="17" t="s">
        <v>28</v>
      </c>
      <c r="J3" s="18" t="s">
        <v>1014</v>
      </c>
      <c r="K3" s="17" t="s">
        <v>23</v>
      </c>
      <c r="L3" s="17" t="s">
        <v>1015</v>
      </c>
      <c r="M3" s="17" t="s">
        <v>1012</v>
      </c>
      <c r="N3" s="17" t="s">
        <v>1016</v>
      </c>
      <c r="O3" s="18" t="s">
        <v>1017</v>
      </c>
      <c r="P3" s="18" t="s">
        <v>25</v>
      </c>
      <c r="Q3" s="32">
        <f t="shared" ref="Q3:Q66" si="0">LEN(L3)</f>
        <v>16</v>
      </c>
      <c r="R3" s="32">
        <f t="shared" ref="R3:R66" si="1">LEN(N3)</f>
        <v>11</v>
      </c>
      <c r="S3" s="21" t="s">
        <v>2906</v>
      </c>
    </row>
    <row r="4" spans="1:19" x14ac:dyDescent="0.25">
      <c r="A4" s="3">
        <v>2</v>
      </c>
      <c r="B4" s="3" t="s">
        <v>496</v>
      </c>
      <c r="C4" s="17" t="s">
        <v>499</v>
      </c>
      <c r="D4" s="17" t="s">
        <v>1011</v>
      </c>
      <c r="E4" s="17"/>
      <c r="F4" s="17" t="s">
        <v>477</v>
      </c>
      <c r="G4" s="17" t="s">
        <v>44</v>
      </c>
      <c r="H4" s="17" t="s">
        <v>478</v>
      </c>
      <c r="I4" s="17" t="s">
        <v>26</v>
      </c>
      <c r="J4" s="18" t="s">
        <v>479</v>
      </c>
      <c r="K4" s="17" t="s">
        <v>255</v>
      </c>
      <c r="L4" s="17" t="s">
        <v>480</v>
      </c>
      <c r="M4" s="17" t="s">
        <v>1012</v>
      </c>
      <c r="N4" s="17" t="s">
        <v>1018</v>
      </c>
      <c r="O4" s="18" t="s">
        <v>257</v>
      </c>
      <c r="P4" s="18" t="s">
        <v>258</v>
      </c>
      <c r="Q4" s="18">
        <f t="shared" si="0"/>
        <v>10</v>
      </c>
      <c r="R4" s="18">
        <f t="shared" si="1"/>
        <v>11</v>
      </c>
    </row>
    <row r="5" spans="1:19" x14ac:dyDescent="0.25">
      <c r="A5" s="2">
        <v>3</v>
      </c>
      <c r="B5" s="3" t="s">
        <v>490</v>
      </c>
      <c r="C5" s="17" t="s">
        <v>500</v>
      </c>
      <c r="D5" s="17" t="s">
        <v>1011</v>
      </c>
      <c r="E5" s="17" t="s">
        <v>2910</v>
      </c>
      <c r="F5" s="17" t="s">
        <v>1019</v>
      </c>
      <c r="G5" s="17" t="s">
        <v>1020</v>
      </c>
      <c r="H5" s="17" t="s">
        <v>45</v>
      </c>
      <c r="I5" s="17" t="s">
        <v>28</v>
      </c>
      <c r="J5" s="18" t="s">
        <v>1021</v>
      </c>
      <c r="K5" s="17" t="s">
        <v>23</v>
      </c>
      <c r="L5" s="17" t="s">
        <v>1022</v>
      </c>
      <c r="M5" s="17" t="s">
        <v>1012</v>
      </c>
      <c r="N5" s="17" t="s">
        <v>1023</v>
      </c>
      <c r="O5" s="18" t="s">
        <v>1017</v>
      </c>
      <c r="P5" s="18" t="s">
        <v>25</v>
      </c>
      <c r="Q5" s="32">
        <f t="shared" si="0"/>
        <v>16</v>
      </c>
      <c r="R5" s="32">
        <f t="shared" si="1"/>
        <v>11</v>
      </c>
      <c r="S5" s="21" t="s">
        <v>2911</v>
      </c>
    </row>
    <row r="6" spans="1:19" x14ac:dyDescent="0.25">
      <c r="A6" s="3">
        <v>4</v>
      </c>
      <c r="B6" s="3" t="s">
        <v>490</v>
      </c>
      <c r="C6" s="17" t="s">
        <v>501</v>
      </c>
      <c r="D6" s="17" t="s">
        <v>1011</v>
      </c>
      <c r="E6" s="17" t="s">
        <v>2910</v>
      </c>
      <c r="F6" s="17" t="s">
        <v>1024</v>
      </c>
      <c r="G6" s="17" t="s">
        <v>1020</v>
      </c>
      <c r="H6" s="17" t="s">
        <v>48</v>
      </c>
      <c r="I6" s="17" t="s">
        <v>26</v>
      </c>
      <c r="J6" s="18" t="s">
        <v>1025</v>
      </c>
      <c r="K6" s="17" t="s">
        <v>23</v>
      </c>
      <c r="L6" s="17" t="s">
        <v>1026</v>
      </c>
      <c r="M6" s="17" t="s">
        <v>1012</v>
      </c>
      <c r="N6" s="17" t="s">
        <v>1027</v>
      </c>
      <c r="O6" s="18" t="s">
        <v>1017</v>
      </c>
      <c r="P6" s="18" t="s">
        <v>25</v>
      </c>
      <c r="Q6" s="32">
        <f t="shared" si="0"/>
        <v>16</v>
      </c>
      <c r="R6" s="32">
        <f t="shared" si="1"/>
        <v>11</v>
      </c>
      <c r="S6" s="21" t="s">
        <v>2912</v>
      </c>
    </row>
    <row r="7" spans="1:19" x14ac:dyDescent="0.25">
      <c r="A7" s="2">
        <v>5</v>
      </c>
      <c r="B7" s="3" t="s">
        <v>490</v>
      </c>
      <c r="C7" s="17" t="s">
        <v>502</v>
      </c>
      <c r="D7" s="17" t="s">
        <v>1011</v>
      </c>
      <c r="E7" s="17" t="s">
        <v>2913</v>
      </c>
      <c r="F7" s="17" t="s">
        <v>1028</v>
      </c>
      <c r="G7" s="17" t="s">
        <v>57</v>
      </c>
      <c r="H7" s="17" t="s">
        <v>58</v>
      </c>
      <c r="I7" s="17" t="s">
        <v>26</v>
      </c>
      <c r="J7" s="18" t="s">
        <v>1029</v>
      </c>
      <c r="K7" s="17" t="s">
        <v>23</v>
      </c>
      <c r="L7" s="17" t="s">
        <v>1030</v>
      </c>
      <c r="M7" s="17" t="s">
        <v>1012</v>
      </c>
      <c r="N7" s="17" t="s">
        <v>1031</v>
      </c>
      <c r="O7" s="18" t="s">
        <v>1017</v>
      </c>
      <c r="P7" s="18" t="s">
        <v>25</v>
      </c>
      <c r="Q7" s="32">
        <f t="shared" si="0"/>
        <v>16</v>
      </c>
      <c r="R7" s="32">
        <f t="shared" si="1"/>
        <v>13</v>
      </c>
      <c r="S7" s="21" t="s">
        <v>2914</v>
      </c>
    </row>
    <row r="8" spans="1:19" x14ac:dyDescent="0.25">
      <c r="A8" s="3">
        <v>6</v>
      </c>
      <c r="B8" s="3" t="s">
        <v>490</v>
      </c>
      <c r="C8" s="17" t="s">
        <v>503</v>
      </c>
      <c r="D8" s="17" t="s">
        <v>1011</v>
      </c>
      <c r="E8" s="17" t="s">
        <v>2913</v>
      </c>
      <c r="F8" s="17" t="s">
        <v>1032</v>
      </c>
      <c r="G8" s="17" t="s">
        <v>57</v>
      </c>
      <c r="H8" s="17" t="s">
        <v>58</v>
      </c>
      <c r="I8" s="17" t="s">
        <v>22</v>
      </c>
      <c r="J8" s="18" t="s">
        <v>1033</v>
      </c>
      <c r="K8" s="17" t="s">
        <v>23</v>
      </c>
      <c r="L8" s="17" t="s">
        <v>1030</v>
      </c>
      <c r="M8" s="17" t="s">
        <v>1012</v>
      </c>
      <c r="N8" s="17" t="s">
        <v>1031</v>
      </c>
      <c r="O8" s="18" t="s">
        <v>1017</v>
      </c>
      <c r="P8" s="18" t="s">
        <v>25</v>
      </c>
      <c r="Q8" s="32">
        <f t="shared" si="0"/>
        <v>16</v>
      </c>
      <c r="R8" s="32">
        <f t="shared" si="1"/>
        <v>13</v>
      </c>
      <c r="S8" s="21" t="s">
        <v>2914</v>
      </c>
    </row>
    <row r="9" spans="1:19" x14ac:dyDescent="0.25">
      <c r="A9" s="2">
        <v>7</v>
      </c>
      <c r="B9" s="3" t="s">
        <v>490</v>
      </c>
      <c r="C9" s="17" t="s">
        <v>504</v>
      </c>
      <c r="D9" s="17" t="s">
        <v>1011</v>
      </c>
      <c r="E9" s="17" t="s">
        <v>2913</v>
      </c>
      <c r="F9" s="17" t="s">
        <v>103</v>
      </c>
      <c r="G9" s="17" t="s">
        <v>57</v>
      </c>
      <c r="H9" s="17" t="s">
        <v>1034</v>
      </c>
      <c r="I9" s="17" t="s">
        <v>28</v>
      </c>
      <c r="J9" s="18" t="s">
        <v>1035</v>
      </c>
      <c r="K9" s="17" t="s">
        <v>23</v>
      </c>
      <c r="L9" s="17" t="s">
        <v>1036</v>
      </c>
      <c r="M9" s="17" t="s">
        <v>1012</v>
      </c>
      <c r="N9" s="17" t="s">
        <v>1037</v>
      </c>
      <c r="O9" s="18" t="s">
        <v>1017</v>
      </c>
      <c r="P9" s="18" t="s">
        <v>25</v>
      </c>
      <c r="Q9" s="32">
        <f t="shared" si="0"/>
        <v>16</v>
      </c>
      <c r="R9" s="32">
        <f t="shared" si="1"/>
        <v>14</v>
      </c>
      <c r="S9" s="21" t="s">
        <v>2915</v>
      </c>
    </row>
    <row r="10" spans="1:19" x14ac:dyDescent="0.25">
      <c r="A10" s="3">
        <v>8</v>
      </c>
      <c r="B10" s="3" t="s">
        <v>494</v>
      </c>
      <c r="C10" s="17" t="s">
        <v>505</v>
      </c>
      <c r="D10" s="17" t="s">
        <v>1011</v>
      </c>
      <c r="E10" s="17"/>
      <c r="F10" s="17" t="s">
        <v>482</v>
      </c>
      <c r="G10" s="17" t="s">
        <v>57</v>
      </c>
      <c r="H10" s="17" t="s">
        <v>483</v>
      </c>
      <c r="I10" s="17" t="s">
        <v>26</v>
      </c>
      <c r="J10" s="18" t="s">
        <v>484</v>
      </c>
      <c r="K10" s="17" t="s">
        <v>255</v>
      </c>
      <c r="L10" s="17" t="s">
        <v>485</v>
      </c>
      <c r="M10" s="17" t="s">
        <v>1012</v>
      </c>
      <c r="N10" s="17"/>
      <c r="O10" s="18" t="s">
        <v>257</v>
      </c>
      <c r="P10" s="18" t="s">
        <v>258</v>
      </c>
      <c r="Q10" s="18">
        <f t="shared" si="0"/>
        <v>4</v>
      </c>
      <c r="R10" s="18">
        <f t="shared" si="1"/>
        <v>0</v>
      </c>
    </row>
    <row r="11" spans="1:19" x14ac:dyDescent="0.25">
      <c r="A11" s="2">
        <v>9</v>
      </c>
      <c r="B11" s="3" t="s">
        <v>494</v>
      </c>
      <c r="C11" s="17" t="s">
        <v>506</v>
      </c>
      <c r="D11" s="17" t="s">
        <v>1011</v>
      </c>
      <c r="E11" s="17"/>
      <c r="F11" s="17" t="s">
        <v>472</v>
      </c>
      <c r="G11" s="17" t="s">
        <v>57</v>
      </c>
      <c r="H11" s="17" t="s">
        <v>473</v>
      </c>
      <c r="I11" s="17" t="s">
        <v>26</v>
      </c>
      <c r="J11" s="18" t="s">
        <v>474</v>
      </c>
      <c r="K11" s="17" t="s">
        <v>255</v>
      </c>
      <c r="L11" s="17" t="s">
        <v>475</v>
      </c>
      <c r="M11" s="17" t="s">
        <v>1012</v>
      </c>
      <c r="N11" s="17" t="s">
        <v>1038</v>
      </c>
      <c r="O11" s="18" t="s">
        <v>257</v>
      </c>
      <c r="P11" s="18" t="s">
        <v>258</v>
      </c>
      <c r="Q11" s="18">
        <f t="shared" si="0"/>
        <v>10</v>
      </c>
      <c r="R11" s="18">
        <f t="shared" si="1"/>
        <v>11</v>
      </c>
    </row>
    <row r="12" spans="1:19" x14ac:dyDescent="0.25">
      <c r="A12" s="3">
        <v>10</v>
      </c>
      <c r="B12" s="3" t="s">
        <v>490</v>
      </c>
      <c r="C12" s="17" t="s">
        <v>507</v>
      </c>
      <c r="D12" s="17" t="s">
        <v>1011</v>
      </c>
      <c r="E12" s="17" t="s">
        <v>2913</v>
      </c>
      <c r="F12" s="17" t="s">
        <v>1039</v>
      </c>
      <c r="G12" s="17" t="s">
        <v>57</v>
      </c>
      <c r="H12" s="17" t="s">
        <v>1040</v>
      </c>
      <c r="I12" s="17" t="s">
        <v>26</v>
      </c>
      <c r="J12" s="18" t="s">
        <v>1041</v>
      </c>
      <c r="K12" s="17" t="s">
        <v>23</v>
      </c>
      <c r="L12" s="17" t="s">
        <v>1042</v>
      </c>
      <c r="M12" s="17" t="s">
        <v>1012</v>
      </c>
      <c r="N12" s="17" t="s">
        <v>1043</v>
      </c>
      <c r="O12" s="18" t="s">
        <v>1017</v>
      </c>
      <c r="P12" s="18" t="s">
        <v>25</v>
      </c>
      <c r="Q12" s="32">
        <f t="shared" si="0"/>
        <v>16</v>
      </c>
      <c r="R12" s="32">
        <f t="shared" si="1"/>
        <v>14</v>
      </c>
      <c r="S12" s="21" t="s">
        <v>2916</v>
      </c>
    </row>
    <row r="13" spans="1:19" x14ac:dyDescent="0.25">
      <c r="A13" s="2">
        <v>11</v>
      </c>
      <c r="B13" s="3" t="s">
        <v>490</v>
      </c>
      <c r="C13" s="17" t="s">
        <v>508</v>
      </c>
      <c r="D13" s="17" t="s">
        <v>1011</v>
      </c>
      <c r="E13" s="17" t="s">
        <v>2913</v>
      </c>
      <c r="F13" s="17" t="s">
        <v>1044</v>
      </c>
      <c r="G13" s="17" t="s">
        <v>57</v>
      </c>
      <c r="H13" s="17" t="s">
        <v>1040</v>
      </c>
      <c r="I13" s="17" t="s">
        <v>22</v>
      </c>
      <c r="J13" s="18" t="s">
        <v>1045</v>
      </c>
      <c r="K13" s="17" t="s">
        <v>23</v>
      </c>
      <c r="L13" s="17" t="s">
        <v>1042</v>
      </c>
      <c r="M13" s="17" t="s">
        <v>1012</v>
      </c>
      <c r="N13" s="17" t="s">
        <v>1043</v>
      </c>
      <c r="O13" s="18" t="s">
        <v>1017</v>
      </c>
      <c r="P13" s="18" t="s">
        <v>25</v>
      </c>
      <c r="Q13" s="32">
        <f t="shared" si="0"/>
        <v>16</v>
      </c>
      <c r="R13" s="32">
        <f t="shared" si="1"/>
        <v>14</v>
      </c>
      <c r="S13" s="21" t="s">
        <v>2915</v>
      </c>
    </row>
    <row r="14" spans="1:19" x14ac:dyDescent="0.25">
      <c r="A14" s="3">
        <v>12</v>
      </c>
      <c r="B14" s="3" t="s">
        <v>490</v>
      </c>
      <c r="C14" s="17" t="s">
        <v>509</v>
      </c>
      <c r="D14" s="17" t="s">
        <v>1011</v>
      </c>
      <c r="E14" s="17" t="s">
        <v>2913</v>
      </c>
      <c r="F14" s="17" t="s">
        <v>1046</v>
      </c>
      <c r="G14" s="17" t="s">
        <v>57</v>
      </c>
      <c r="H14" s="17" t="s">
        <v>1047</v>
      </c>
      <c r="I14" s="17" t="s">
        <v>26</v>
      </c>
      <c r="J14" s="18" t="s">
        <v>1048</v>
      </c>
      <c r="K14" s="17" t="s">
        <v>23</v>
      </c>
      <c r="L14" s="17" t="s">
        <v>1049</v>
      </c>
      <c r="M14" s="17" t="s">
        <v>1012</v>
      </c>
      <c r="N14" s="17" t="s">
        <v>1050</v>
      </c>
      <c r="O14" s="18" t="s">
        <v>1017</v>
      </c>
      <c r="P14" s="18" t="s">
        <v>25</v>
      </c>
      <c r="Q14" s="32">
        <f t="shared" si="0"/>
        <v>16</v>
      </c>
      <c r="R14" s="32">
        <f t="shared" si="1"/>
        <v>14</v>
      </c>
      <c r="S14" s="21" t="s">
        <v>2917</v>
      </c>
    </row>
    <row r="15" spans="1:19" x14ac:dyDescent="0.25">
      <c r="A15" s="2">
        <v>13</v>
      </c>
      <c r="B15" s="3" t="s">
        <v>490</v>
      </c>
      <c r="C15" s="17" t="s">
        <v>510</v>
      </c>
      <c r="D15" s="17" t="s">
        <v>1011</v>
      </c>
      <c r="E15" s="17" t="s">
        <v>2913</v>
      </c>
      <c r="F15" s="17" t="s">
        <v>1051</v>
      </c>
      <c r="G15" s="17" t="s">
        <v>57</v>
      </c>
      <c r="H15" s="17" t="s">
        <v>1047</v>
      </c>
      <c r="I15" s="17" t="s">
        <v>22</v>
      </c>
      <c r="J15" s="18" t="s">
        <v>1052</v>
      </c>
      <c r="K15" s="17" t="s">
        <v>23</v>
      </c>
      <c r="L15" s="17" t="s">
        <v>1049</v>
      </c>
      <c r="M15" s="17" t="s">
        <v>1012</v>
      </c>
      <c r="N15" s="17" t="s">
        <v>1050</v>
      </c>
      <c r="O15" s="18" t="s">
        <v>1017</v>
      </c>
      <c r="P15" s="18" t="s">
        <v>25</v>
      </c>
      <c r="Q15" s="32">
        <f t="shared" si="0"/>
        <v>16</v>
      </c>
      <c r="R15" s="32">
        <f t="shared" si="1"/>
        <v>14</v>
      </c>
      <c r="S15" s="21" t="s">
        <v>2918</v>
      </c>
    </row>
    <row r="16" spans="1:19" x14ac:dyDescent="0.25">
      <c r="A16" s="3" t="s">
        <v>2854</v>
      </c>
      <c r="B16" s="3" t="s">
        <v>490</v>
      </c>
      <c r="C16" s="17" t="s">
        <v>511</v>
      </c>
      <c r="D16" s="17" t="s">
        <v>1011</v>
      </c>
      <c r="E16" s="17"/>
      <c r="F16" s="17" t="s">
        <v>1053</v>
      </c>
      <c r="G16" s="17" t="s">
        <v>57</v>
      </c>
      <c r="H16" s="17" t="s">
        <v>1054</v>
      </c>
      <c r="I16" s="17" t="s">
        <v>26</v>
      </c>
      <c r="J16" s="18" t="s">
        <v>1055</v>
      </c>
      <c r="K16" s="17" t="s">
        <v>23</v>
      </c>
      <c r="L16" s="17" t="s">
        <v>1056</v>
      </c>
      <c r="M16" s="17" t="s">
        <v>1012</v>
      </c>
      <c r="N16" s="17" t="s">
        <v>1057</v>
      </c>
      <c r="O16" s="18" t="s">
        <v>1017</v>
      </c>
      <c r="P16" s="18" t="s">
        <v>25</v>
      </c>
      <c r="Q16" s="32">
        <f t="shared" si="0"/>
        <v>16</v>
      </c>
      <c r="R16" s="32">
        <f t="shared" si="1"/>
        <v>11</v>
      </c>
      <c r="S16" s="21" t="s">
        <v>2919</v>
      </c>
    </row>
    <row r="17" spans="1:19" s="14" customFormat="1" x14ac:dyDescent="0.25">
      <c r="A17" s="10">
        <v>15</v>
      </c>
      <c r="B17" s="11" t="s">
        <v>490</v>
      </c>
      <c r="C17" s="19" t="s">
        <v>512</v>
      </c>
      <c r="D17" s="19" t="s">
        <v>1011</v>
      </c>
      <c r="E17" s="19" t="s">
        <v>2913</v>
      </c>
      <c r="F17" s="19" t="s">
        <v>1058</v>
      </c>
      <c r="G17" s="19" t="s">
        <v>57</v>
      </c>
      <c r="H17" s="19" t="s">
        <v>1054</v>
      </c>
      <c r="I17" s="19" t="s">
        <v>22</v>
      </c>
      <c r="J17" s="20" t="s">
        <v>1059</v>
      </c>
      <c r="K17" s="19" t="s">
        <v>23</v>
      </c>
      <c r="L17" s="19" t="s">
        <v>1056</v>
      </c>
      <c r="M17" s="19" t="s">
        <v>1012</v>
      </c>
      <c r="N17" s="19" t="s">
        <v>1057</v>
      </c>
      <c r="O17" s="20" t="s">
        <v>1017</v>
      </c>
      <c r="P17" s="20" t="s">
        <v>25</v>
      </c>
      <c r="Q17" s="33">
        <f t="shared" si="0"/>
        <v>16</v>
      </c>
      <c r="R17" s="33">
        <f t="shared" si="1"/>
        <v>11</v>
      </c>
      <c r="S17" s="21" t="s">
        <v>2920</v>
      </c>
    </row>
    <row r="18" spans="1:19" x14ac:dyDescent="0.25">
      <c r="A18" s="3">
        <v>16</v>
      </c>
      <c r="B18" s="3" t="s">
        <v>490</v>
      </c>
      <c r="C18" s="17" t="s">
        <v>513</v>
      </c>
      <c r="D18" s="17" t="s">
        <v>1011</v>
      </c>
      <c r="E18" s="17" t="s">
        <v>2913</v>
      </c>
      <c r="F18" s="17" t="s">
        <v>1060</v>
      </c>
      <c r="G18" s="17" t="s">
        <v>57</v>
      </c>
      <c r="H18" s="17" t="s">
        <v>1054</v>
      </c>
      <c r="I18" s="17" t="s">
        <v>28</v>
      </c>
      <c r="J18" s="18" t="s">
        <v>1061</v>
      </c>
      <c r="K18" s="17" t="s">
        <v>23</v>
      </c>
      <c r="L18" s="17" t="s">
        <v>1056</v>
      </c>
      <c r="M18" s="17" t="s">
        <v>1012</v>
      </c>
      <c r="N18" s="17" t="s">
        <v>1057</v>
      </c>
      <c r="O18" s="18" t="s">
        <v>1017</v>
      </c>
      <c r="P18" s="18" t="s">
        <v>25</v>
      </c>
      <c r="Q18" s="32">
        <f t="shared" si="0"/>
        <v>16</v>
      </c>
      <c r="R18" s="32">
        <f t="shared" si="1"/>
        <v>11</v>
      </c>
      <c r="S18" s="21" t="s">
        <v>2920</v>
      </c>
    </row>
    <row r="19" spans="1:19" x14ac:dyDescent="0.25">
      <c r="A19" s="2">
        <v>17</v>
      </c>
      <c r="B19" s="3" t="s">
        <v>490</v>
      </c>
      <c r="C19" s="17" t="s">
        <v>514</v>
      </c>
      <c r="D19" s="17" t="s">
        <v>1011</v>
      </c>
      <c r="E19" s="17" t="s">
        <v>2913</v>
      </c>
      <c r="F19" s="17" t="s">
        <v>1062</v>
      </c>
      <c r="G19" s="17" t="s">
        <v>57</v>
      </c>
      <c r="H19" s="17" t="s">
        <v>1054</v>
      </c>
      <c r="I19" s="17" t="s">
        <v>27</v>
      </c>
      <c r="J19" s="18" t="s">
        <v>1063</v>
      </c>
      <c r="K19" s="17" t="s">
        <v>23</v>
      </c>
      <c r="L19" s="17" t="s">
        <v>1056</v>
      </c>
      <c r="M19" s="17" t="s">
        <v>1012</v>
      </c>
      <c r="N19" s="17" t="s">
        <v>1057</v>
      </c>
      <c r="O19" s="18" t="s">
        <v>1017</v>
      </c>
      <c r="P19" s="18" t="s">
        <v>25</v>
      </c>
      <c r="Q19" s="32">
        <f t="shared" si="0"/>
        <v>16</v>
      </c>
      <c r="R19" s="32">
        <f t="shared" si="1"/>
        <v>11</v>
      </c>
      <c r="S19" s="21" t="s">
        <v>2915</v>
      </c>
    </row>
    <row r="20" spans="1:19" s="30" customFormat="1" x14ac:dyDescent="0.25">
      <c r="A20" s="29">
        <v>18</v>
      </c>
      <c r="B20" s="3" t="s">
        <v>490</v>
      </c>
      <c r="C20" s="17" t="s">
        <v>515</v>
      </c>
      <c r="D20" s="17" t="s">
        <v>1011</v>
      </c>
      <c r="E20" s="17"/>
      <c r="F20" s="17"/>
      <c r="G20" s="17" t="s">
        <v>57</v>
      </c>
      <c r="H20" s="17" t="s">
        <v>1054</v>
      </c>
      <c r="I20" s="17" t="s">
        <v>41</v>
      </c>
      <c r="J20" s="17" t="s">
        <v>1064</v>
      </c>
      <c r="K20" s="17" t="s">
        <v>23</v>
      </c>
      <c r="L20" s="17" t="s">
        <v>1056</v>
      </c>
      <c r="M20" s="17" t="s">
        <v>1012</v>
      </c>
      <c r="N20" s="17" t="s">
        <v>1057</v>
      </c>
      <c r="O20" s="17" t="s">
        <v>1017</v>
      </c>
      <c r="P20" s="17" t="s">
        <v>25</v>
      </c>
      <c r="Q20" s="34">
        <f t="shared" si="0"/>
        <v>16</v>
      </c>
      <c r="R20" s="34">
        <f t="shared" si="1"/>
        <v>11</v>
      </c>
      <c r="S20" s="21" t="s">
        <v>2915</v>
      </c>
    </row>
    <row r="21" spans="1:19" s="30" customFormat="1" x14ac:dyDescent="0.25">
      <c r="A21" s="3">
        <v>19</v>
      </c>
      <c r="B21" s="3" t="s">
        <v>490</v>
      </c>
      <c r="C21" s="17" t="s">
        <v>516</v>
      </c>
      <c r="D21" s="17" t="s">
        <v>1011</v>
      </c>
      <c r="E21" s="17" t="s">
        <v>2913</v>
      </c>
      <c r="F21" s="17" t="s">
        <v>1065</v>
      </c>
      <c r="G21" s="17" t="s">
        <v>57</v>
      </c>
      <c r="H21" s="17" t="s">
        <v>1066</v>
      </c>
      <c r="I21" s="17" t="s">
        <v>26</v>
      </c>
      <c r="J21" s="17" t="s">
        <v>1067</v>
      </c>
      <c r="K21" s="17" t="s">
        <v>23</v>
      </c>
      <c r="L21" s="17" t="s">
        <v>1068</v>
      </c>
      <c r="M21" s="17" t="s">
        <v>1012</v>
      </c>
      <c r="N21" s="17" t="s">
        <v>1069</v>
      </c>
      <c r="O21" s="17" t="s">
        <v>1017</v>
      </c>
      <c r="P21" s="17" t="s">
        <v>25</v>
      </c>
      <c r="Q21" s="34">
        <f t="shared" si="0"/>
        <v>16</v>
      </c>
      <c r="R21" s="34">
        <f t="shared" si="1"/>
        <v>11</v>
      </c>
      <c r="S21" s="21" t="s">
        <v>2915</v>
      </c>
    </row>
    <row r="22" spans="1:19" s="30" customFormat="1" x14ac:dyDescent="0.25">
      <c r="A22" s="3">
        <v>20</v>
      </c>
      <c r="B22" s="3" t="s">
        <v>490</v>
      </c>
      <c r="C22" s="17" t="s">
        <v>517</v>
      </c>
      <c r="D22" s="17" t="s">
        <v>1011</v>
      </c>
      <c r="E22" s="17" t="s">
        <v>2913</v>
      </c>
      <c r="F22" s="17" t="s">
        <v>1070</v>
      </c>
      <c r="G22" s="17" t="s">
        <v>57</v>
      </c>
      <c r="H22" s="17" t="s">
        <v>1066</v>
      </c>
      <c r="I22" s="17" t="s">
        <v>28</v>
      </c>
      <c r="J22" s="17" t="s">
        <v>1071</v>
      </c>
      <c r="K22" s="17" t="s">
        <v>23</v>
      </c>
      <c r="L22" s="17" t="s">
        <v>1068</v>
      </c>
      <c r="M22" s="17" t="s">
        <v>1012</v>
      </c>
      <c r="N22" s="17" t="s">
        <v>1069</v>
      </c>
      <c r="O22" s="17" t="s">
        <v>1017</v>
      </c>
      <c r="P22" s="17" t="s">
        <v>25</v>
      </c>
      <c r="Q22" s="34">
        <f t="shared" si="0"/>
        <v>16</v>
      </c>
      <c r="R22" s="34">
        <f t="shared" si="1"/>
        <v>11</v>
      </c>
      <c r="S22" s="21" t="s">
        <v>3078</v>
      </c>
    </row>
    <row r="23" spans="1:19" s="30" customFormat="1" x14ac:dyDescent="0.25">
      <c r="A23" s="3">
        <v>21</v>
      </c>
      <c r="B23" s="3" t="s">
        <v>490</v>
      </c>
      <c r="C23" s="17" t="s">
        <v>518</v>
      </c>
      <c r="D23" s="17" t="s">
        <v>1011</v>
      </c>
      <c r="E23" s="17" t="s">
        <v>2913</v>
      </c>
      <c r="F23" s="17" t="s">
        <v>1072</v>
      </c>
      <c r="G23" s="17" t="s">
        <v>57</v>
      </c>
      <c r="H23" s="17" t="s">
        <v>1073</v>
      </c>
      <c r="I23" s="17" t="s">
        <v>26</v>
      </c>
      <c r="J23" s="17" t="s">
        <v>1074</v>
      </c>
      <c r="K23" s="17" t="s">
        <v>23</v>
      </c>
      <c r="L23" s="17" t="s">
        <v>1075</v>
      </c>
      <c r="M23" s="17" t="s">
        <v>1012</v>
      </c>
      <c r="N23" s="17" t="s">
        <v>1076</v>
      </c>
      <c r="O23" s="17" t="s">
        <v>1017</v>
      </c>
      <c r="P23" s="17" t="s">
        <v>25</v>
      </c>
      <c r="Q23" s="34">
        <f t="shared" si="0"/>
        <v>16</v>
      </c>
      <c r="R23" s="34">
        <f t="shared" si="1"/>
        <v>11</v>
      </c>
      <c r="S23" s="21" t="s">
        <v>3079</v>
      </c>
    </row>
    <row r="24" spans="1:19" s="30" customFormat="1" x14ac:dyDescent="0.25">
      <c r="A24" s="3">
        <v>22</v>
      </c>
      <c r="B24" s="3" t="s">
        <v>490</v>
      </c>
      <c r="C24" s="17" t="s">
        <v>519</v>
      </c>
      <c r="D24" s="17" t="s">
        <v>1011</v>
      </c>
      <c r="E24" s="17" t="s">
        <v>2913</v>
      </c>
      <c r="F24" s="17" t="s">
        <v>1077</v>
      </c>
      <c r="G24" s="17" t="s">
        <v>57</v>
      </c>
      <c r="H24" s="17" t="s">
        <v>1078</v>
      </c>
      <c r="I24" s="17" t="s">
        <v>26</v>
      </c>
      <c r="J24" s="17" t="s">
        <v>1079</v>
      </c>
      <c r="K24" s="17" t="s">
        <v>23</v>
      </c>
      <c r="L24" s="17" t="s">
        <v>1080</v>
      </c>
      <c r="M24" s="17" t="s">
        <v>1012</v>
      </c>
      <c r="N24" s="17" t="s">
        <v>1081</v>
      </c>
      <c r="O24" s="17" t="s">
        <v>1017</v>
      </c>
      <c r="P24" s="17" t="s">
        <v>25</v>
      </c>
      <c r="Q24" s="34">
        <f t="shared" si="0"/>
        <v>16</v>
      </c>
      <c r="R24" s="34">
        <f t="shared" si="1"/>
        <v>11</v>
      </c>
      <c r="S24" s="21" t="s">
        <v>2915</v>
      </c>
    </row>
    <row r="25" spans="1:19" s="30" customFormat="1" x14ac:dyDescent="0.25">
      <c r="A25" s="3">
        <v>23</v>
      </c>
      <c r="B25" s="3" t="s">
        <v>490</v>
      </c>
      <c r="C25" s="17" t="s">
        <v>520</v>
      </c>
      <c r="D25" s="17" t="s">
        <v>1011</v>
      </c>
      <c r="E25" s="17" t="s">
        <v>2913</v>
      </c>
      <c r="F25" s="17" t="s">
        <v>1082</v>
      </c>
      <c r="G25" s="17" t="s">
        <v>57</v>
      </c>
      <c r="H25" s="17" t="s">
        <v>1083</v>
      </c>
      <c r="I25" s="17" t="s">
        <v>26</v>
      </c>
      <c r="J25" s="17" t="s">
        <v>1084</v>
      </c>
      <c r="K25" s="17" t="s">
        <v>23</v>
      </c>
      <c r="L25" s="17" t="s">
        <v>1085</v>
      </c>
      <c r="M25" s="17" t="s">
        <v>1012</v>
      </c>
      <c r="N25" s="17" t="s">
        <v>1086</v>
      </c>
      <c r="O25" s="17" t="s">
        <v>1017</v>
      </c>
      <c r="P25" s="17" t="s">
        <v>25</v>
      </c>
      <c r="Q25" s="34">
        <f t="shared" si="0"/>
        <v>16</v>
      </c>
      <c r="R25" s="34">
        <f t="shared" si="1"/>
        <v>11</v>
      </c>
      <c r="S25" s="21" t="s">
        <v>3080</v>
      </c>
    </row>
    <row r="26" spans="1:19" s="30" customFormat="1" x14ac:dyDescent="0.25">
      <c r="A26" s="3">
        <v>24</v>
      </c>
      <c r="B26" s="3" t="s">
        <v>490</v>
      </c>
      <c r="C26" s="17" t="s">
        <v>521</v>
      </c>
      <c r="D26" s="17" t="s">
        <v>1011</v>
      </c>
      <c r="E26" s="17" t="s">
        <v>2913</v>
      </c>
      <c r="F26" s="17" t="s">
        <v>1087</v>
      </c>
      <c r="G26" s="17" t="s">
        <v>57</v>
      </c>
      <c r="H26" s="17" t="s">
        <v>1083</v>
      </c>
      <c r="I26" s="17" t="s">
        <v>22</v>
      </c>
      <c r="J26" s="17" t="s">
        <v>1088</v>
      </c>
      <c r="K26" s="17" t="s">
        <v>23</v>
      </c>
      <c r="L26" s="17" t="s">
        <v>1085</v>
      </c>
      <c r="M26" s="17" t="s">
        <v>1012</v>
      </c>
      <c r="N26" s="17" t="s">
        <v>1086</v>
      </c>
      <c r="O26" s="17" t="s">
        <v>1017</v>
      </c>
      <c r="P26" s="17" t="s">
        <v>25</v>
      </c>
      <c r="Q26" s="34">
        <f t="shared" si="0"/>
        <v>16</v>
      </c>
      <c r="R26" s="34">
        <f t="shared" si="1"/>
        <v>11</v>
      </c>
      <c r="S26" s="21" t="s">
        <v>2915</v>
      </c>
    </row>
    <row r="27" spans="1:19" s="30" customFormat="1" x14ac:dyDescent="0.25">
      <c r="A27" s="3">
        <v>25</v>
      </c>
      <c r="B27" s="3" t="s">
        <v>490</v>
      </c>
      <c r="C27" s="17" t="s">
        <v>522</v>
      </c>
      <c r="D27" s="17" t="s">
        <v>1011</v>
      </c>
      <c r="E27" s="17" t="s">
        <v>2913</v>
      </c>
      <c r="F27" s="17" t="s">
        <v>1089</v>
      </c>
      <c r="G27" s="17" t="s">
        <v>57</v>
      </c>
      <c r="H27" s="17" t="s">
        <v>1083</v>
      </c>
      <c r="I27" s="17" t="s">
        <v>28</v>
      </c>
      <c r="J27" s="17" t="s">
        <v>1090</v>
      </c>
      <c r="K27" s="17" t="s">
        <v>23</v>
      </c>
      <c r="L27" s="17" t="s">
        <v>1085</v>
      </c>
      <c r="M27" s="17" t="s">
        <v>1012</v>
      </c>
      <c r="N27" s="17" t="s">
        <v>1086</v>
      </c>
      <c r="O27" s="17" t="s">
        <v>1017</v>
      </c>
      <c r="P27" s="17" t="s">
        <v>25</v>
      </c>
      <c r="Q27" s="34">
        <f t="shared" si="0"/>
        <v>16</v>
      </c>
      <c r="R27" s="34">
        <f t="shared" si="1"/>
        <v>11</v>
      </c>
      <c r="S27" s="21" t="s">
        <v>2915</v>
      </c>
    </row>
    <row r="28" spans="1:19" x14ac:dyDescent="0.25">
      <c r="A28" s="3">
        <v>26</v>
      </c>
      <c r="B28" s="3" t="s">
        <v>494</v>
      </c>
      <c r="C28" s="17" t="s">
        <v>523</v>
      </c>
      <c r="D28" s="17" t="s">
        <v>1011</v>
      </c>
      <c r="E28" s="17"/>
      <c r="F28" s="17" t="s">
        <v>103</v>
      </c>
      <c r="G28" s="17" t="s">
        <v>468</v>
      </c>
      <c r="H28" s="17" t="s">
        <v>35</v>
      </c>
      <c r="I28" s="17" t="s">
        <v>41</v>
      </c>
      <c r="J28" s="18" t="s">
        <v>469</v>
      </c>
      <c r="K28" s="17" t="s">
        <v>255</v>
      </c>
      <c r="L28" s="17" t="s">
        <v>470</v>
      </c>
      <c r="M28" s="17" t="s">
        <v>1012</v>
      </c>
      <c r="N28" s="17"/>
      <c r="O28" s="18" t="s">
        <v>257</v>
      </c>
      <c r="P28" s="18" t="s">
        <v>258</v>
      </c>
      <c r="Q28" s="18">
        <f t="shared" si="0"/>
        <v>4</v>
      </c>
      <c r="R28" s="18">
        <f t="shared" si="1"/>
        <v>0</v>
      </c>
    </row>
    <row r="29" spans="1:19" s="30" customFormat="1" x14ac:dyDescent="0.25">
      <c r="A29" s="3">
        <v>27</v>
      </c>
      <c r="B29" s="3" t="s">
        <v>490</v>
      </c>
      <c r="C29" s="17" t="s">
        <v>524</v>
      </c>
      <c r="D29" s="17" t="s">
        <v>1011</v>
      </c>
      <c r="E29" s="17" t="s">
        <v>3081</v>
      </c>
      <c r="F29" s="17" t="s">
        <v>1091</v>
      </c>
      <c r="G29" s="17" t="s">
        <v>59</v>
      </c>
      <c r="H29" s="17" t="s">
        <v>60</v>
      </c>
      <c r="I29" s="17" t="s">
        <v>26</v>
      </c>
      <c r="J29" s="17" t="s">
        <v>1092</v>
      </c>
      <c r="K29" s="17" t="s">
        <v>23</v>
      </c>
      <c r="L29" s="17" t="s">
        <v>1093</v>
      </c>
      <c r="M29" s="17" t="s">
        <v>1012</v>
      </c>
      <c r="N29" s="17" t="s">
        <v>1094</v>
      </c>
      <c r="O29" s="17" t="s">
        <v>1017</v>
      </c>
      <c r="P29" s="17" t="s">
        <v>25</v>
      </c>
      <c r="Q29" s="34">
        <f t="shared" si="0"/>
        <v>16</v>
      </c>
      <c r="R29" s="34">
        <f t="shared" si="1"/>
        <v>14</v>
      </c>
      <c r="S29" s="21" t="s">
        <v>2906</v>
      </c>
    </row>
    <row r="30" spans="1:19" s="30" customFormat="1" x14ac:dyDescent="0.25">
      <c r="A30" s="3">
        <v>28</v>
      </c>
      <c r="B30" s="3" t="s">
        <v>490</v>
      </c>
      <c r="C30" s="17" t="s">
        <v>525</v>
      </c>
      <c r="D30" s="17" t="s">
        <v>1011</v>
      </c>
      <c r="E30" s="17" t="s">
        <v>3081</v>
      </c>
      <c r="F30" s="17" t="s">
        <v>1095</v>
      </c>
      <c r="G30" s="17" t="s">
        <v>59</v>
      </c>
      <c r="H30" s="17" t="s">
        <v>60</v>
      </c>
      <c r="I30" s="17" t="s">
        <v>22</v>
      </c>
      <c r="J30" s="17" t="s">
        <v>1096</v>
      </c>
      <c r="K30" s="17" t="s">
        <v>23</v>
      </c>
      <c r="L30" s="17" t="s">
        <v>1093</v>
      </c>
      <c r="M30" s="17" t="s">
        <v>1012</v>
      </c>
      <c r="N30" s="17" t="s">
        <v>1094</v>
      </c>
      <c r="O30" s="17" t="s">
        <v>1017</v>
      </c>
      <c r="P30" s="17" t="s">
        <v>25</v>
      </c>
      <c r="Q30" s="34">
        <f t="shared" si="0"/>
        <v>16</v>
      </c>
      <c r="R30" s="34">
        <f t="shared" si="1"/>
        <v>14</v>
      </c>
      <c r="S30" s="21" t="s">
        <v>2906</v>
      </c>
    </row>
    <row r="31" spans="1:19" s="30" customFormat="1" x14ac:dyDescent="0.25">
      <c r="A31" s="3">
        <v>29</v>
      </c>
      <c r="B31" s="3" t="s">
        <v>490</v>
      </c>
      <c r="C31" s="17" t="s">
        <v>526</v>
      </c>
      <c r="D31" s="17" t="s">
        <v>1011</v>
      </c>
      <c r="E31" s="17" t="s">
        <v>3082</v>
      </c>
      <c r="F31" s="17" t="s">
        <v>1097</v>
      </c>
      <c r="G31" s="17" t="s">
        <v>61</v>
      </c>
      <c r="H31" s="17" t="s">
        <v>1098</v>
      </c>
      <c r="I31" s="17" t="s">
        <v>26</v>
      </c>
      <c r="J31" s="17" t="s">
        <v>1099</v>
      </c>
      <c r="K31" s="17" t="s">
        <v>23</v>
      </c>
      <c r="L31" s="17" t="s">
        <v>1100</v>
      </c>
      <c r="M31" s="17" t="s">
        <v>1012</v>
      </c>
      <c r="N31" s="17" t="s">
        <v>1101</v>
      </c>
      <c r="O31" s="17" t="s">
        <v>1017</v>
      </c>
      <c r="P31" s="17" t="s">
        <v>25</v>
      </c>
      <c r="Q31" s="34">
        <f t="shared" si="0"/>
        <v>16</v>
      </c>
      <c r="R31" s="34">
        <f t="shared" si="1"/>
        <v>14</v>
      </c>
      <c r="S31" s="21" t="s">
        <v>3083</v>
      </c>
    </row>
    <row r="32" spans="1:19" s="30" customFormat="1" x14ac:dyDescent="0.25">
      <c r="A32" s="3">
        <v>30</v>
      </c>
      <c r="B32" s="3" t="s">
        <v>490</v>
      </c>
      <c r="C32" s="17" t="s">
        <v>527</v>
      </c>
      <c r="D32" s="17" t="s">
        <v>1011</v>
      </c>
      <c r="E32" s="17" t="s">
        <v>3082</v>
      </c>
      <c r="F32" s="17" t="s">
        <v>1102</v>
      </c>
      <c r="G32" s="17" t="s">
        <v>61</v>
      </c>
      <c r="H32" s="17" t="s">
        <v>1103</v>
      </c>
      <c r="I32" s="17" t="s">
        <v>26</v>
      </c>
      <c r="J32" s="17" t="s">
        <v>1104</v>
      </c>
      <c r="K32" s="17" t="s">
        <v>23</v>
      </c>
      <c r="L32" s="17" t="s">
        <v>1105</v>
      </c>
      <c r="M32" s="17" t="s">
        <v>1012</v>
      </c>
      <c r="N32" s="17" t="s">
        <v>1106</v>
      </c>
      <c r="O32" s="17" t="s">
        <v>1017</v>
      </c>
      <c r="P32" s="17" t="s">
        <v>25</v>
      </c>
      <c r="Q32" s="34">
        <f t="shared" si="0"/>
        <v>16</v>
      </c>
      <c r="R32" s="34">
        <f t="shared" si="1"/>
        <v>12</v>
      </c>
      <c r="S32" s="21" t="s">
        <v>3084</v>
      </c>
    </row>
    <row r="33" spans="1:19" s="30" customFormat="1" x14ac:dyDescent="0.25">
      <c r="A33" s="3">
        <v>31</v>
      </c>
      <c r="B33" s="3" t="s">
        <v>490</v>
      </c>
      <c r="C33" s="17" t="s">
        <v>528</v>
      </c>
      <c r="D33" s="17" t="s">
        <v>1011</v>
      </c>
      <c r="E33" s="17" t="s">
        <v>3082</v>
      </c>
      <c r="F33" s="17" t="s">
        <v>1107</v>
      </c>
      <c r="G33" s="17" t="s">
        <v>61</v>
      </c>
      <c r="H33" s="17" t="s">
        <v>1108</v>
      </c>
      <c r="I33" s="17" t="s">
        <v>26</v>
      </c>
      <c r="J33" s="17" t="s">
        <v>1109</v>
      </c>
      <c r="K33" s="17" t="s">
        <v>23</v>
      </c>
      <c r="L33" s="17" t="s">
        <v>1110</v>
      </c>
      <c r="M33" s="17" t="s">
        <v>1012</v>
      </c>
      <c r="N33" s="17" t="s">
        <v>1111</v>
      </c>
      <c r="O33" s="17" t="s">
        <v>1017</v>
      </c>
      <c r="P33" s="17" t="s">
        <v>25</v>
      </c>
      <c r="Q33" s="34">
        <f t="shared" si="0"/>
        <v>16</v>
      </c>
      <c r="R33" s="34">
        <f t="shared" si="1"/>
        <v>15</v>
      </c>
      <c r="S33" s="21" t="s">
        <v>3085</v>
      </c>
    </row>
    <row r="34" spans="1:19" s="30" customFormat="1" x14ac:dyDescent="0.25">
      <c r="A34" s="3">
        <v>32</v>
      </c>
      <c r="B34" s="3" t="s">
        <v>490</v>
      </c>
      <c r="C34" s="17" t="s">
        <v>529</v>
      </c>
      <c r="D34" s="17" t="s">
        <v>1011</v>
      </c>
      <c r="E34" s="17" t="s">
        <v>3082</v>
      </c>
      <c r="F34" s="17" t="s">
        <v>1112</v>
      </c>
      <c r="G34" s="17" t="s">
        <v>61</v>
      </c>
      <c r="H34" s="17" t="s">
        <v>1108</v>
      </c>
      <c r="I34" s="17" t="s">
        <v>22</v>
      </c>
      <c r="J34" s="17" t="s">
        <v>1113</v>
      </c>
      <c r="K34" s="17" t="s">
        <v>23</v>
      </c>
      <c r="L34" s="17" t="s">
        <v>1110</v>
      </c>
      <c r="M34" s="17" t="s">
        <v>1012</v>
      </c>
      <c r="N34" s="17" t="s">
        <v>1111</v>
      </c>
      <c r="O34" s="17" t="s">
        <v>1017</v>
      </c>
      <c r="P34" s="17" t="s">
        <v>25</v>
      </c>
      <c r="Q34" s="34">
        <f t="shared" si="0"/>
        <v>16</v>
      </c>
      <c r="R34" s="34">
        <f t="shared" si="1"/>
        <v>15</v>
      </c>
      <c r="S34" s="21" t="s">
        <v>2915</v>
      </c>
    </row>
    <row r="35" spans="1:19" s="30" customFormat="1" x14ac:dyDescent="0.25">
      <c r="A35" s="3">
        <v>33</v>
      </c>
      <c r="B35" s="3" t="s">
        <v>490</v>
      </c>
      <c r="C35" s="17" t="s">
        <v>530</v>
      </c>
      <c r="D35" s="17" t="s">
        <v>1011</v>
      </c>
      <c r="E35" s="17" t="s">
        <v>3082</v>
      </c>
      <c r="F35" s="17" t="s">
        <v>1114</v>
      </c>
      <c r="G35" s="17" t="s">
        <v>61</v>
      </c>
      <c r="H35" s="17" t="s">
        <v>1115</v>
      </c>
      <c r="I35" s="17" t="s">
        <v>26</v>
      </c>
      <c r="J35" s="17" t="s">
        <v>1116</v>
      </c>
      <c r="K35" s="17" t="s">
        <v>23</v>
      </c>
      <c r="L35" s="17" t="s">
        <v>1117</v>
      </c>
      <c r="M35" s="17" t="s">
        <v>1012</v>
      </c>
      <c r="N35" s="17" t="s">
        <v>1118</v>
      </c>
      <c r="O35" s="17" t="s">
        <v>1017</v>
      </c>
      <c r="P35" s="17" t="s">
        <v>25</v>
      </c>
      <c r="Q35" s="34">
        <f t="shared" si="0"/>
        <v>16</v>
      </c>
      <c r="R35" s="34">
        <f t="shared" si="1"/>
        <v>14</v>
      </c>
      <c r="S35" s="21" t="s">
        <v>3086</v>
      </c>
    </row>
    <row r="36" spans="1:19" s="30" customFormat="1" x14ac:dyDescent="0.25">
      <c r="A36" s="3">
        <v>34</v>
      </c>
      <c r="B36" s="3" t="s">
        <v>490</v>
      </c>
      <c r="C36" s="17" t="s">
        <v>531</v>
      </c>
      <c r="D36" s="17" t="s">
        <v>1011</v>
      </c>
      <c r="E36" s="17" t="s">
        <v>3082</v>
      </c>
      <c r="F36" s="17" t="s">
        <v>1119</v>
      </c>
      <c r="G36" s="17" t="s">
        <v>61</v>
      </c>
      <c r="H36" s="17" t="s">
        <v>1115</v>
      </c>
      <c r="I36" s="17" t="s">
        <v>22</v>
      </c>
      <c r="J36" s="17" t="s">
        <v>1120</v>
      </c>
      <c r="K36" s="17" t="s">
        <v>23</v>
      </c>
      <c r="L36" s="17" t="s">
        <v>1117</v>
      </c>
      <c r="M36" s="17" t="s">
        <v>1012</v>
      </c>
      <c r="N36" s="17" t="s">
        <v>1118</v>
      </c>
      <c r="O36" s="17" t="s">
        <v>1017</v>
      </c>
      <c r="P36" s="17" t="s">
        <v>25</v>
      </c>
      <c r="Q36" s="34">
        <f t="shared" si="0"/>
        <v>16</v>
      </c>
      <c r="R36" s="34">
        <f t="shared" si="1"/>
        <v>14</v>
      </c>
      <c r="S36" s="21" t="s">
        <v>2915</v>
      </c>
    </row>
    <row r="37" spans="1:19" s="30" customFormat="1" x14ac:dyDescent="0.25">
      <c r="A37" s="29">
        <v>35</v>
      </c>
      <c r="B37" s="3" t="s">
        <v>490</v>
      </c>
      <c r="C37" s="17" t="s">
        <v>532</v>
      </c>
      <c r="D37" s="17" t="s">
        <v>1011</v>
      </c>
      <c r="E37" s="17" t="s">
        <v>3082</v>
      </c>
      <c r="F37" s="17" t="s">
        <v>1121</v>
      </c>
      <c r="G37" s="17" t="s">
        <v>61</v>
      </c>
      <c r="H37" s="17" t="s">
        <v>1115</v>
      </c>
      <c r="I37" s="17" t="s">
        <v>28</v>
      </c>
      <c r="J37" s="17" t="s">
        <v>1122</v>
      </c>
      <c r="K37" s="17" t="s">
        <v>23</v>
      </c>
      <c r="L37" s="17" t="s">
        <v>1117</v>
      </c>
      <c r="M37" s="17" t="s">
        <v>1012</v>
      </c>
      <c r="N37" s="17" t="s">
        <v>1118</v>
      </c>
      <c r="O37" s="17" t="s">
        <v>1017</v>
      </c>
      <c r="P37" s="17" t="s">
        <v>25</v>
      </c>
      <c r="Q37" s="34">
        <f t="shared" si="0"/>
        <v>16</v>
      </c>
      <c r="R37" s="34">
        <f t="shared" si="1"/>
        <v>14</v>
      </c>
      <c r="S37" s="21" t="s">
        <v>2915</v>
      </c>
    </row>
    <row r="38" spans="1:19" x14ac:dyDescent="0.25">
      <c r="A38" s="3">
        <v>36</v>
      </c>
      <c r="B38" s="3" t="s">
        <v>494</v>
      </c>
      <c r="C38" s="17" t="s">
        <v>533</v>
      </c>
      <c r="D38" s="17" t="s">
        <v>1011</v>
      </c>
      <c r="E38" s="17"/>
      <c r="F38" s="17" t="s">
        <v>1123</v>
      </c>
      <c r="G38" s="17" t="s">
        <v>1124</v>
      </c>
      <c r="H38" s="17" t="s">
        <v>55</v>
      </c>
      <c r="I38" s="17" t="s">
        <v>26</v>
      </c>
      <c r="J38" s="18" t="s">
        <v>1125</v>
      </c>
      <c r="K38" s="17" t="s">
        <v>255</v>
      </c>
      <c r="L38" s="17" t="s">
        <v>489</v>
      </c>
      <c r="M38" s="17" t="s">
        <v>1012</v>
      </c>
      <c r="N38" s="17"/>
      <c r="O38" s="18" t="s">
        <v>257</v>
      </c>
      <c r="P38" s="18" t="s">
        <v>258</v>
      </c>
      <c r="Q38" s="18">
        <f t="shared" si="0"/>
        <v>10</v>
      </c>
      <c r="R38" s="18">
        <f t="shared" si="1"/>
        <v>0</v>
      </c>
    </row>
    <row r="39" spans="1:19" s="26" customFormat="1" x14ac:dyDescent="0.25">
      <c r="A39" s="22">
        <v>37</v>
      </c>
      <c r="B39" s="23" t="s">
        <v>490</v>
      </c>
      <c r="C39" s="24" t="s">
        <v>534</v>
      </c>
      <c r="D39" s="24" t="s">
        <v>1011</v>
      </c>
      <c r="E39" s="24" t="s">
        <v>2908</v>
      </c>
      <c r="F39" s="24" t="s">
        <v>1126</v>
      </c>
      <c r="G39" s="24" t="s">
        <v>1127</v>
      </c>
      <c r="H39" s="24" t="s">
        <v>41</v>
      </c>
      <c r="I39" s="24" t="s">
        <v>26</v>
      </c>
      <c r="J39" s="25" t="s">
        <v>1128</v>
      </c>
      <c r="K39" s="24" t="s">
        <v>23</v>
      </c>
      <c r="L39" s="24" t="s">
        <v>1129</v>
      </c>
      <c r="M39" s="24" t="s">
        <v>1012</v>
      </c>
      <c r="N39" s="24" t="s">
        <v>1130</v>
      </c>
      <c r="O39" s="25" t="s">
        <v>1017</v>
      </c>
      <c r="P39" s="25" t="s">
        <v>25</v>
      </c>
      <c r="Q39" s="35">
        <f t="shared" si="0"/>
        <v>16</v>
      </c>
      <c r="R39" s="35">
        <f t="shared" si="1"/>
        <v>15</v>
      </c>
      <c r="S39" s="23" t="s">
        <v>2906</v>
      </c>
    </row>
    <row r="40" spans="1:19" s="26" customFormat="1" x14ac:dyDescent="0.25">
      <c r="A40" s="23">
        <v>38</v>
      </c>
      <c r="B40" s="23" t="s">
        <v>490</v>
      </c>
      <c r="C40" s="24" t="s">
        <v>535</v>
      </c>
      <c r="D40" s="24" t="s">
        <v>1011</v>
      </c>
      <c r="E40" s="24" t="s">
        <v>2898</v>
      </c>
      <c r="F40" s="24" t="s">
        <v>1131</v>
      </c>
      <c r="G40" s="24" t="s">
        <v>1132</v>
      </c>
      <c r="H40" s="24" t="s">
        <v>22</v>
      </c>
      <c r="I40" s="24" t="s">
        <v>26</v>
      </c>
      <c r="J40" s="25" t="s">
        <v>1133</v>
      </c>
      <c r="K40" s="24" t="s">
        <v>23</v>
      </c>
      <c r="L40" s="24" t="s">
        <v>1134</v>
      </c>
      <c r="M40" s="24" t="s">
        <v>1012</v>
      </c>
      <c r="N40" s="24" t="s">
        <v>1135</v>
      </c>
      <c r="O40" s="25" t="s">
        <v>1017</v>
      </c>
      <c r="P40" s="25" t="s">
        <v>25</v>
      </c>
      <c r="Q40" s="35">
        <f t="shared" si="0"/>
        <v>16</v>
      </c>
      <c r="R40" s="35">
        <f t="shared" si="1"/>
        <v>14</v>
      </c>
      <c r="S40" s="23" t="s">
        <v>2899</v>
      </c>
    </row>
    <row r="41" spans="1:19" s="26" customFormat="1" x14ac:dyDescent="0.25">
      <c r="A41" s="22">
        <v>39</v>
      </c>
      <c r="B41" s="23" t="s">
        <v>490</v>
      </c>
      <c r="C41" s="24" t="s">
        <v>536</v>
      </c>
      <c r="D41" s="24" t="s">
        <v>1011</v>
      </c>
      <c r="E41" s="24" t="s">
        <v>2898</v>
      </c>
      <c r="F41" s="24" t="s">
        <v>1136</v>
      </c>
      <c r="G41" s="24" t="s">
        <v>1132</v>
      </c>
      <c r="H41" s="24" t="s">
        <v>28</v>
      </c>
      <c r="I41" s="24" t="s">
        <v>26</v>
      </c>
      <c r="J41" s="25" t="s">
        <v>1137</v>
      </c>
      <c r="K41" s="24" t="s">
        <v>23</v>
      </c>
      <c r="L41" s="24" t="s">
        <v>1138</v>
      </c>
      <c r="M41" s="24" t="s">
        <v>1012</v>
      </c>
      <c r="N41" s="24" t="s">
        <v>1139</v>
      </c>
      <c r="O41" s="25" t="s">
        <v>1017</v>
      </c>
      <c r="P41" s="25" t="s">
        <v>25</v>
      </c>
      <c r="Q41" s="35">
        <f t="shared" si="0"/>
        <v>16</v>
      </c>
      <c r="R41" s="35">
        <f t="shared" si="1"/>
        <v>14</v>
      </c>
      <c r="S41" s="23" t="s">
        <v>2900</v>
      </c>
    </row>
    <row r="42" spans="1:19" x14ac:dyDescent="0.25">
      <c r="A42" s="3">
        <v>40</v>
      </c>
      <c r="B42" s="3" t="s">
        <v>494</v>
      </c>
      <c r="C42" s="17" t="s">
        <v>537</v>
      </c>
      <c r="D42" s="17" t="s">
        <v>1011</v>
      </c>
      <c r="E42" s="17"/>
      <c r="F42" s="17" t="s">
        <v>440</v>
      </c>
      <c r="G42" s="17" t="s">
        <v>441</v>
      </c>
      <c r="H42" s="17" t="s">
        <v>122</v>
      </c>
      <c r="I42" s="17" t="s">
        <v>26</v>
      </c>
      <c r="J42" s="18" t="s">
        <v>442</v>
      </c>
      <c r="K42" s="17" t="s">
        <v>255</v>
      </c>
      <c r="L42" s="17" t="s">
        <v>122</v>
      </c>
      <c r="M42" s="17" t="s">
        <v>1012</v>
      </c>
      <c r="N42" s="17"/>
      <c r="O42" s="18" t="s">
        <v>257</v>
      </c>
      <c r="P42" s="18" t="s">
        <v>258</v>
      </c>
      <c r="Q42" s="18">
        <f t="shared" si="0"/>
        <v>2</v>
      </c>
      <c r="R42" s="18">
        <f t="shared" si="1"/>
        <v>0</v>
      </c>
    </row>
    <row r="43" spans="1:19" s="26" customFormat="1" x14ac:dyDescent="0.25">
      <c r="A43" s="22">
        <v>41</v>
      </c>
      <c r="B43" s="23" t="s">
        <v>490</v>
      </c>
      <c r="C43" s="24" t="s">
        <v>538</v>
      </c>
      <c r="D43" s="24" t="s">
        <v>1011</v>
      </c>
      <c r="E43" s="24" t="s">
        <v>2901</v>
      </c>
      <c r="F43" s="24" t="s">
        <v>1140</v>
      </c>
      <c r="G43" s="24" t="s">
        <v>1141</v>
      </c>
      <c r="H43" s="24" t="s">
        <v>1142</v>
      </c>
      <c r="I43" s="24" t="s">
        <v>26</v>
      </c>
      <c r="J43" s="25" t="s">
        <v>1143</v>
      </c>
      <c r="K43" s="24" t="s">
        <v>23</v>
      </c>
      <c r="L43" s="24" t="s">
        <v>1144</v>
      </c>
      <c r="M43" s="24" t="s">
        <v>1012</v>
      </c>
      <c r="N43" s="24" t="s">
        <v>1145</v>
      </c>
      <c r="O43" s="25" t="s">
        <v>1017</v>
      </c>
      <c r="P43" s="25" t="s">
        <v>25</v>
      </c>
      <c r="Q43" s="35">
        <f t="shared" si="0"/>
        <v>16</v>
      </c>
      <c r="R43" s="35">
        <f t="shared" si="1"/>
        <v>13</v>
      </c>
      <c r="S43" s="23" t="s">
        <v>2902</v>
      </c>
    </row>
    <row r="44" spans="1:19" s="26" customFormat="1" x14ac:dyDescent="0.25">
      <c r="A44" s="23">
        <v>42</v>
      </c>
      <c r="B44" s="23" t="s">
        <v>490</v>
      </c>
      <c r="C44" s="24" t="s">
        <v>539</v>
      </c>
      <c r="D44" s="24" t="s">
        <v>1011</v>
      </c>
      <c r="E44" s="24" t="s">
        <v>2903</v>
      </c>
      <c r="F44" s="24" t="s">
        <v>1146</v>
      </c>
      <c r="G44" s="24" t="s">
        <v>1147</v>
      </c>
      <c r="H44" s="24" t="s">
        <v>43</v>
      </c>
      <c r="I44" s="24" t="s">
        <v>26</v>
      </c>
      <c r="J44" s="25" t="s">
        <v>1148</v>
      </c>
      <c r="K44" s="24" t="s">
        <v>23</v>
      </c>
      <c r="L44" s="24" t="s">
        <v>1149</v>
      </c>
      <c r="M44" s="24" t="s">
        <v>1012</v>
      </c>
      <c r="N44" s="24" t="s">
        <v>1150</v>
      </c>
      <c r="O44" s="25" t="s">
        <v>1017</v>
      </c>
      <c r="P44" s="25" t="s">
        <v>25</v>
      </c>
      <c r="Q44" s="35">
        <f t="shared" si="0"/>
        <v>16</v>
      </c>
      <c r="R44" s="35">
        <f t="shared" si="1"/>
        <v>13</v>
      </c>
      <c r="S44" s="23" t="s">
        <v>2904</v>
      </c>
    </row>
    <row r="45" spans="1:19" s="26" customFormat="1" x14ac:dyDescent="0.25">
      <c r="A45" s="22">
        <v>43</v>
      </c>
      <c r="B45" s="23" t="s">
        <v>490</v>
      </c>
      <c r="C45" s="24" t="s">
        <v>540</v>
      </c>
      <c r="D45" s="24" t="s">
        <v>1011</v>
      </c>
      <c r="E45" s="24" t="s">
        <v>2905</v>
      </c>
      <c r="F45" s="24" t="s">
        <v>1151</v>
      </c>
      <c r="G45" s="24" t="s">
        <v>1152</v>
      </c>
      <c r="H45" s="24" t="s">
        <v>26</v>
      </c>
      <c r="I45" s="24" t="s">
        <v>26</v>
      </c>
      <c r="J45" s="25" t="s">
        <v>1153</v>
      </c>
      <c r="K45" s="24" t="s">
        <v>23</v>
      </c>
      <c r="L45" s="24" t="s">
        <v>1154</v>
      </c>
      <c r="M45" s="24" t="s">
        <v>1012</v>
      </c>
      <c r="N45" s="24" t="s">
        <v>1155</v>
      </c>
      <c r="O45" s="25" t="s">
        <v>1017</v>
      </c>
      <c r="P45" s="25" t="s">
        <v>25</v>
      </c>
      <c r="Q45" s="35">
        <f t="shared" si="0"/>
        <v>16</v>
      </c>
      <c r="R45" s="35">
        <f t="shared" si="1"/>
        <v>14</v>
      </c>
      <c r="S45" s="23" t="s">
        <v>2906</v>
      </c>
    </row>
    <row r="46" spans="1:19" s="26" customFormat="1" x14ac:dyDescent="0.25">
      <c r="A46" s="23">
        <v>44</v>
      </c>
      <c r="B46" s="23" t="s">
        <v>490</v>
      </c>
      <c r="C46" s="24" t="s">
        <v>541</v>
      </c>
      <c r="D46" s="24" t="s">
        <v>1011</v>
      </c>
      <c r="E46" s="24" t="s">
        <v>2907</v>
      </c>
      <c r="F46" s="24" t="s">
        <v>1156</v>
      </c>
      <c r="G46" s="24" t="s">
        <v>1157</v>
      </c>
      <c r="H46" s="24" t="s">
        <v>52</v>
      </c>
      <c r="I46" s="24" t="s">
        <v>26</v>
      </c>
      <c r="J46" s="25" t="s">
        <v>1158</v>
      </c>
      <c r="K46" s="24" t="s">
        <v>23</v>
      </c>
      <c r="L46" s="24" t="s">
        <v>1159</v>
      </c>
      <c r="M46" s="24" t="s">
        <v>1012</v>
      </c>
      <c r="N46" s="24" t="s">
        <v>1160</v>
      </c>
      <c r="O46" s="25" t="s">
        <v>1017</v>
      </c>
      <c r="P46" s="25" t="s">
        <v>25</v>
      </c>
      <c r="Q46" s="35">
        <f t="shared" si="0"/>
        <v>16</v>
      </c>
      <c r="R46" s="35">
        <f t="shared" si="1"/>
        <v>11</v>
      </c>
      <c r="S46" s="23" t="s">
        <v>2906</v>
      </c>
    </row>
    <row r="47" spans="1:19" s="26" customFormat="1" x14ac:dyDescent="0.25">
      <c r="A47" s="22">
        <v>45</v>
      </c>
      <c r="B47" s="23" t="s">
        <v>490</v>
      </c>
      <c r="C47" s="24" t="s">
        <v>542</v>
      </c>
      <c r="D47" s="24" t="s">
        <v>1011</v>
      </c>
      <c r="E47" s="24" t="s">
        <v>2907</v>
      </c>
      <c r="F47" s="24" t="s">
        <v>1161</v>
      </c>
      <c r="G47" s="24" t="s">
        <v>1157</v>
      </c>
      <c r="H47" s="24" t="s">
        <v>52</v>
      </c>
      <c r="I47" s="24" t="s">
        <v>22</v>
      </c>
      <c r="J47" s="25" t="s">
        <v>1162</v>
      </c>
      <c r="K47" s="24" t="s">
        <v>23</v>
      </c>
      <c r="L47" s="24" t="s">
        <v>1159</v>
      </c>
      <c r="M47" s="24" t="s">
        <v>1012</v>
      </c>
      <c r="N47" s="24" t="s">
        <v>1160</v>
      </c>
      <c r="O47" s="25" t="s">
        <v>1017</v>
      </c>
      <c r="P47" s="25" t="s">
        <v>25</v>
      </c>
      <c r="Q47" s="35">
        <f t="shared" si="0"/>
        <v>16</v>
      </c>
      <c r="R47" s="35">
        <f t="shared" si="1"/>
        <v>11</v>
      </c>
      <c r="S47" s="23" t="s">
        <v>2906</v>
      </c>
    </row>
    <row r="48" spans="1:19" x14ac:dyDescent="0.25">
      <c r="A48" s="3">
        <v>46</v>
      </c>
      <c r="B48" s="3" t="s">
        <v>490</v>
      </c>
      <c r="C48" s="17" t="s">
        <v>543</v>
      </c>
      <c r="D48" s="17" t="s">
        <v>1011</v>
      </c>
      <c r="E48" s="17" t="s">
        <v>2921</v>
      </c>
      <c r="F48" s="17" t="s">
        <v>1163</v>
      </c>
      <c r="G48" s="17" t="s">
        <v>70</v>
      </c>
      <c r="H48" s="17" t="s">
        <v>1164</v>
      </c>
      <c r="I48" s="17" t="s">
        <v>26</v>
      </c>
      <c r="J48" s="18" t="s">
        <v>1165</v>
      </c>
      <c r="K48" s="17" t="s">
        <v>23</v>
      </c>
      <c r="L48" s="17" t="s">
        <v>1166</v>
      </c>
      <c r="M48" s="17" t="s">
        <v>1012</v>
      </c>
      <c r="N48" s="17" t="s">
        <v>1167</v>
      </c>
      <c r="O48" s="18" t="s">
        <v>1017</v>
      </c>
      <c r="P48" s="18" t="s">
        <v>25</v>
      </c>
      <c r="Q48" s="32">
        <f t="shared" si="0"/>
        <v>16</v>
      </c>
      <c r="R48" s="32">
        <f t="shared" si="1"/>
        <v>15</v>
      </c>
    </row>
    <row r="49" spans="1:19" x14ac:dyDescent="0.25">
      <c r="A49" s="2">
        <v>47</v>
      </c>
      <c r="B49" s="3" t="s">
        <v>490</v>
      </c>
      <c r="C49" s="17" t="s">
        <v>544</v>
      </c>
      <c r="D49" s="17" t="s">
        <v>1011</v>
      </c>
      <c r="E49" s="17" t="s">
        <v>2921</v>
      </c>
      <c r="F49" s="17" t="s">
        <v>1168</v>
      </c>
      <c r="G49" s="17" t="s">
        <v>70</v>
      </c>
      <c r="H49" s="17" t="s">
        <v>1169</v>
      </c>
      <c r="I49" s="17" t="s">
        <v>26</v>
      </c>
      <c r="J49" s="18" t="s">
        <v>1170</v>
      </c>
      <c r="K49" s="17" t="s">
        <v>23</v>
      </c>
      <c r="L49" s="17" t="s">
        <v>1171</v>
      </c>
      <c r="M49" s="17" t="s">
        <v>1012</v>
      </c>
      <c r="N49" s="17" t="s">
        <v>1172</v>
      </c>
      <c r="O49" s="18" t="s">
        <v>1017</v>
      </c>
      <c r="P49" s="18" t="s">
        <v>25</v>
      </c>
      <c r="Q49" s="32">
        <f t="shared" si="0"/>
        <v>16</v>
      </c>
      <c r="R49" s="32">
        <f t="shared" si="1"/>
        <v>11</v>
      </c>
      <c r="S49" s="3" t="s">
        <v>2922</v>
      </c>
    </row>
    <row r="50" spans="1:19" x14ac:dyDescent="0.25">
      <c r="A50" s="3">
        <v>48</v>
      </c>
      <c r="B50" s="3" t="s">
        <v>490</v>
      </c>
      <c r="C50" s="17" t="s">
        <v>545</v>
      </c>
      <c r="D50" s="17" t="s">
        <v>1011</v>
      </c>
      <c r="E50" s="17" t="s">
        <v>2921</v>
      </c>
      <c r="F50" s="17" t="s">
        <v>1173</v>
      </c>
      <c r="G50" s="17" t="s">
        <v>70</v>
      </c>
      <c r="H50" s="17" t="s">
        <v>1169</v>
      </c>
      <c r="I50" s="17" t="s">
        <v>22</v>
      </c>
      <c r="J50" s="18" t="s">
        <v>1174</v>
      </c>
      <c r="K50" s="17" t="s">
        <v>23</v>
      </c>
      <c r="L50" s="17" t="s">
        <v>1175</v>
      </c>
      <c r="M50" s="17" t="s">
        <v>1012</v>
      </c>
      <c r="N50" s="17" t="s">
        <v>1176</v>
      </c>
      <c r="O50" s="18" t="s">
        <v>1017</v>
      </c>
      <c r="P50" s="18" t="s">
        <v>25</v>
      </c>
      <c r="Q50" s="32">
        <f t="shared" si="0"/>
        <v>16</v>
      </c>
      <c r="R50" s="32">
        <f t="shared" si="1"/>
        <v>15</v>
      </c>
      <c r="S50" s="21" t="s">
        <v>2915</v>
      </c>
    </row>
    <row r="51" spans="1:19" x14ac:dyDescent="0.25">
      <c r="A51" s="2">
        <v>49</v>
      </c>
      <c r="B51" s="3" t="s">
        <v>490</v>
      </c>
      <c r="C51" s="17" t="s">
        <v>546</v>
      </c>
      <c r="D51" s="17" t="s">
        <v>1011</v>
      </c>
      <c r="E51" s="17" t="s">
        <v>2923</v>
      </c>
      <c r="F51" s="17" t="s">
        <v>1177</v>
      </c>
      <c r="G51" s="17" t="s">
        <v>1178</v>
      </c>
      <c r="H51" s="17" t="s">
        <v>1013</v>
      </c>
      <c r="I51" s="17" t="s">
        <v>26</v>
      </c>
      <c r="J51" s="18" t="s">
        <v>1179</v>
      </c>
      <c r="K51" s="17" t="s">
        <v>23</v>
      </c>
      <c r="L51" s="17" t="s">
        <v>1180</v>
      </c>
      <c r="M51" s="17" t="s">
        <v>1012</v>
      </c>
      <c r="N51" s="17" t="s">
        <v>1181</v>
      </c>
      <c r="O51" s="18" t="s">
        <v>1017</v>
      </c>
      <c r="P51" s="18" t="s">
        <v>25</v>
      </c>
      <c r="Q51" s="32">
        <f t="shared" si="0"/>
        <v>16</v>
      </c>
      <c r="R51" s="32">
        <f t="shared" si="1"/>
        <v>15</v>
      </c>
      <c r="S51" s="21" t="s">
        <v>2924</v>
      </c>
    </row>
    <row r="52" spans="1:19" x14ac:dyDescent="0.25">
      <c r="A52" s="3">
        <v>50</v>
      </c>
      <c r="B52" s="3" t="s">
        <v>494</v>
      </c>
      <c r="C52" s="17" t="s">
        <v>547</v>
      </c>
      <c r="D52" s="17" t="s">
        <v>1011</v>
      </c>
      <c r="E52" s="17"/>
      <c r="F52" s="17" t="s">
        <v>435</v>
      </c>
      <c r="G52" s="17" t="s">
        <v>436</v>
      </c>
      <c r="H52" s="17" t="s">
        <v>32</v>
      </c>
      <c r="I52" s="17" t="s">
        <v>26</v>
      </c>
      <c r="J52" s="18" t="s">
        <v>437</v>
      </c>
      <c r="K52" s="17" t="s">
        <v>255</v>
      </c>
      <c r="L52" s="17" t="s">
        <v>438</v>
      </c>
      <c r="M52" s="17" t="s">
        <v>1012</v>
      </c>
      <c r="N52" s="17" t="s">
        <v>1182</v>
      </c>
      <c r="O52" s="18" t="s">
        <v>257</v>
      </c>
      <c r="P52" s="18" t="s">
        <v>258</v>
      </c>
      <c r="Q52" s="18">
        <f t="shared" si="0"/>
        <v>10</v>
      </c>
      <c r="R52" s="18">
        <f t="shared" si="1"/>
        <v>11</v>
      </c>
    </row>
    <row r="53" spans="1:19" x14ac:dyDescent="0.25">
      <c r="A53" s="2">
        <v>51</v>
      </c>
      <c r="B53" s="3" t="s">
        <v>490</v>
      </c>
      <c r="C53" s="17" t="s">
        <v>548</v>
      </c>
      <c r="D53" s="17" t="s">
        <v>1011</v>
      </c>
      <c r="E53" s="17" t="s">
        <v>2925</v>
      </c>
      <c r="F53" s="17" t="s">
        <v>1183</v>
      </c>
      <c r="G53" s="17" t="s">
        <v>436</v>
      </c>
      <c r="H53" s="17" t="s">
        <v>1184</v>
      </c>
      <c r="I53" s="17" t="s">
        <v>26</v>
      </c>
      <c r="J53" s="18" t="s">
        <v>1185</v>
      </c>
      <c r="K53" s="17" t="s">
        <v>23</v>
      </c>
      <c r="L53" s="17" t="s">
        <v>1186</v>
      </c>
      <c r="M53" s="17" t="s">
        <v>1012</v>
      </c>
      <c r="N53" s="17" t="s">
        <v>1187</v>
      </c>
      <c r="O53" s="18" t="s">
        <v>1017</v>
      </c>
      <c r="P53" s="18" t="s">
        <v>25</v>
      </c>
      <c r="Q53" s="32">
        <f t="shared" si="0"/>
        <v>16</v>
      </c>
      <c r="R53" s="32">
        <f t="shared" si="1"/>
        <v>14</v>
      </c>
      <c r="S53" s="21" t="s">
        <v>2926</v>
      </c>
    </row>
    <row r="54" spans="1:19" x14ac:dyDescent="0.25">
      <c r="A54" s="3">
        <v>52</v>
      </c>
      <c r="B54" s="3" t="s">
        <v>494</v>
      </c>
      <c r="C54" s="17" t="s">
        <v>549</v>
      </c>
      <c r="D54" s="17" t="s">
        <v>1011</v>
      </c>
      <c r="E54" s="17"/>
      <c r="F54" s="17" t="s">
        <v>1188</v>
      </c>
      <c r="G54" s="17" t="s">
        <v>436</v>
      </c>
      <c r="H54" s="17" t="s">
        <v>1189</v>
      </c>
      <c r="I54" s="17" t="s">
        <v>26</v>
      </c>
      <c r="J54" s="18" t="s">
        <v>1190</v>
      </c>
      <c r="K54" s="17" t="s">
        <v>255</v>
      </c>
      <c r="L54" s="17" t="s">
        <v>1191</v>
      </c>
      <c r="M54" s="17" t="s">
        <v>1012</v>
      </c>
      <c r="N54" s="17" t="s">
        <v>1192</v>
      </c>
      <c r="O54" s="18" t="s">
        <v>257</v>
      </c>
      <c r="P54" s="18" t="s">
        <v>258</v>
      </c>
      <c r="Q54" s="18">
        <f t="shared" si="0"/>
        <v>10</v>
      </c>
      <c r="R54" s="18">
        <f t="shared" si="1"/>
        <v>11</v>
      </c>
    </row>
    <row r="55" spans="1:19" x14ac:dyDescent="0.25">
      <c r="A55" s="2">
        <v>53</v>
      </c>
      <c r="B55" s="3" t="s">
        <v>490</v>
      </c>
      <c r="C55" s="17" t="s">
        <v>550</v>
      </c>
      <c r="D55" s="17" t="s">
        <v>1011</v>
      </c>
      <c r="E55" s="17" t="s">
        <v>2927</v>
      </c>
      <c r="F55" s="17" t="s">
        <v>1193</v>
      </c>
      <c r="G55" s="17" t="s">
        <v>1194</v>
      </c>
      <c r="H55" s="17" t="s">
        <v>45</v>
      </c>
      <c r="I55" s="17" t="s">
        <v>26</v>
      </c>
      <c r="J55" s="18" t="s">
        <v>1195</v>
      </c>
      <c r="K55" s="17" t="s">
        <v>23</v>
      </c>
      <c r="L55" s="17" t="s">
        <v>1196</v>
      </c>
      <c r="M55" s="17" t="s">
        <v>1012</v>
      </c>
      <c r="N55" s="17" t="s">
        <v>1197</v>
      </c>
      <c r="O55" s="18" t="s">
        <v>1017</v>
      </c>
      <c r="P55" s="18" t="s">
        <v>25</v>
      </c>
      <c r="Q55" s="32">
        <f t="shared" si="0"/>
        <v>16</v>
      </c>
      <c r="R55" s="32">
        <f t="shared" si="1"/>
        <v>14</v>
      </c>
      <c r="S55" s="21" t="s">
        <v>2928</v>
      </c>
    </row>
    <row r="56" spans="1:19" x14ac:dyDescent="0.25">
      <c r="A56" s="3">
        <v>54</v>
      </c>
      <c r="B56" s="3" t="s">
        <v>490</v>
      </c>
      <c r="C56" s="17" t="s">
        <v>551</v>
      </c>
      <c r="D56" s="17" t="s">
        <v>1011</v>
      </c>
      <c r="E56" s="17" t="s">
        <v>2929</v>
      </c>
      <c r="F56" s="17" t="s">
        <v>1198</v>
      </c>
      <c r="G56" s="17" t="s">
        <v>1199</v>
      </c>
      <c r="H56" s="17" t="s">
        <v>71</v>
      </c>
      <c r="I56" s="17" t="s">
        <v>26</v>
      </c>
      <c r="J56" s="18" t="s">
        <v>1200</v>
      </c>
      <c r="K56" s="17" t="s">
        <v>23</v>
      </c>
      <c r="L56" s="17" t="s">
        <v>1201</v>
      </c>
      <c r="M56" s="17" t="s">
        <v>1012</v>
      </c>
      <c r="N56" s="17" t="s">
        <v>1202</v>
      </c>
      <c r="O56" s="18" t="s">
        <v>1017</v>
      </c>
      <c r="P56" s="18" t="s">
        <v>25</v>
      </c>
      <c r="Q56" s="32">
        <f t="shared" si="0"/>
        <v>16</v>
      </c>
      <c r="R56" s="32">
        <f t="shared" si="1"/>
        <v>11</v>
      </c>
      <c r="S56" s="21" t="s">
        <v>2899</v>
      </c>
    </row>
    <row r="57" spans="1:19" x14ac:dyDescent="0.25">
      <c r="A57" s="2">
        <v>55</v>
      </c>
      <c r="B57" s="3" t="s">
        <v>490</v>
      </c>
      <c r="C57" s="17" t="s">
        <v>552</v>
      </c>
      <c r="D57" s="17" t="s">
        <v>1011</v>
      </c>
      <c r="E57" s="17" t="s">
        <v>2930</v>
      </c>
      <c r="F57" s="17" t="s">
        <v>1203</v>
      </c>
      <c r="G57" s="17" t="s">
        <v>1204</v>
      </c>
      <c r="H57" s="17" t="s">
        <v>1205</v>
      </c>
      <c r="I57" s="17" t="s">
        <v>22</v>
      </c>
      <c r="J57" s="18" t="s">
        <v>1206</v>
      </c>
      <c r="K57" s="17" t="s">
        <v>23</v>
      </c>
      <c r="L57" s="17" t="s">
        <v>1207</v>
      </c>
      <c r="M57" s="17" t="s">
        <v>1012</v>
      </c>
      <c r="N57" s="17" t="s">
        <v>1208</v>
      </c>
      <c r="O57" s="18" t="s">
        <v>1017</v>
      </c>
      <c r="P57" s="18" t="s">
        <v>25</v>
      </c>
      <c r="Q57" s="32">
        <f t="shared" si="0"/>
        <v>16</v>
      </c>
      <c r="R57" s="32">
        <f t="shared" si="1"/>
        <v>14</v>
      </c>
      <c r="S57" s="21" t="s">
        <v>2931</v>
      </c>
    </row>
    <row r="58" spans="1:19" x14ac:dyDescent="0.25">
      <c r="A58" s="3">
        <v>56</v>
      </c>
      <c r="B58" s="3" t="s">
        <v>490</v>
      </c>
      <c r="C58" s="17" t="s">
        <v>553</v>
      </c>
      <c r="D58" s="17" t="s">
        <v>1011</v>
      </c>
      <c r="E58" s="17" t="s">
        <v>2930</v>
      </c>
      <c r="F58" s="17" t="s">
        <v>1209</v>
      </c>
      <c r="G58" s="17" t="s">
        <v>1204</v>
      </c>
      <c r="H58" s="17" t="s">
        <v>1210</v>
      </c>
      <c r="I58" s="17" t="s">
        <v>26</v>
      </c>
      <c r="J58" s="18" t="s">
        <v>1211</v>
      </c>
      <c r="K58" s="17" t="s">
        <v>23</v>
      </c>
      <c r="L58" s="17" t="s">
        <v>1212</v>
      </c>
      <c r="M58" s="17" t="s">
        <v>1012</v>
      </c>
      <c r="N58" s="17" t="s">
        <v>1213</v>
      </c>
      <c r="O58" s="18" t="s">
        <v>1017</v>
      </c>
      <c r="P58" s="18" t="s">
        <v>25</v>
      </c>
      <c r="Q58" s="32">
        <f t="shared" si="0"/>
        <v>16</v>
      </c>
      <c r="R58" s="32">
        <f t="shared" si="1"/>
        <v>12</v>
      </c>
      <c r="S58" s="21" t="s">
        <v>2932</v>
      </c>
    </row>
    <row r="59" spans="1:19" x14ac:dyDescent="0.25">
      <c r="A59" s="2">
        <v>57</v>
      </c>
      <c r="B59" s="3" t="s">
        <v>494</v>
      </c>
      <c r="C59" s="17" t="s">
        <v>554</v>
      </c>
      <c r="D59" s="17" t="s">
        <v>1011</v>
      </c>
      <c r="E59" s="17"/>
      <c r="F59" s="17" t="s">
        <v>1214</v>
      </c>
      <c r="G59" s="17" t="s">
        <v>151</v>
      </c>
      <c r="H59" s="17" t="s">
        <v>1215</v>
      </c>
      <c r="I59" s="17" t="s">
        <v>26</v>
      </c>
      <c r="J59" s="18" t="s">
        <v>1216</v>
      </c>
      <c r="K59" s="17" t="s">
        <v>255</v>
      </c>
      <c r="L59" s="17" t="s">
        <v>1217</v>
      </c>
      <c r="M59" s="17" t="s">
        <v>1012</v>
      </c>
      <c r="N59" s="17" t="s">
        <v>1218</v>
      </c>
      <c r="O59" s="18" t="s">
        <v>257</v>
      </c>
      <c r="P59" s="18" t="s">
        <v>258</v>
      </c>
      <c r="Q59" s="18">
        <f t="shared" si="0"/>
        <v>10</v>
      </c>
      <c r="R59" s="18">
        <f t="shared" si="1"/>
        <v>11</v>
      </c>
    </row>
    <row r="60" spans="1:19" x14ac:dyDescent="0.25">
      <c r="A60" s="3">
        <v>58</v>
      </c>
      <c r="B60" s="3" t="s">
        <v>490</v>
      </c>
      <c r="C60" s="17" t="s">
        <v>555</v>
      </c>
      <c r="D60" s="17" t="s">
        <v>1011</v>
      </c>
      <c r="E60" s="17" t="s">
        <v>2933</v>
      </c>
      <c r="F60" s="17" t="s">
        <v>1219</v>
      </c>
      <c r="G60" s="17" t="s">
        <v>1220</v>
      </c>
      <c r="H60" s="17" t="s">
        <v>1221</v>
      </c>
      <c r="I60" s="17" t="s">
        <v>28</v>
      </c>
      <c r="J60" s="18" t="s">
        <v>1222</v>
      </c>
      <c r="K60" s="17" t="s">
        <v>23</v>
      </c>
      <c r="L60" s="17" t="s">
        <v>1223</v>
      </c>
      <c r="M60" s="17" t="s">
        <v>1012</v>
      </c>
      <c r="N60" s="17" t="s">
        <v>1224</v>
      </c>
      <c r="O60" s="18" t="s">
        <v>1017</v>
      </c>
      <c r="P60" s="18" t="s">
        <v>25</v>
      </c>
      <c r="Q60" s="32">
        <f t="shared" si="0"/>
        <v>16</v>
      </c>
      <c r="R60" s="32">
        <f t="shared" si="1"/>
        <v>11</v>
      </c>
      <c r="S60" s="21" t="s">
        <v>2934</v>
      </c>
    </row>
    <row r="61" spans="1:19" x14ac:dyDescent="0.25">
      <c r="A61" s="2">
        <v>59</v>
      </c>
      <c r="B61" s="3" t="s">
        <v>490</v>
      </c>
      <c r="C61" s="17" t="s">
        <v>556</v>
      </c>
      <c r="D61" s="17" t="s">
        <v>1011</v>
      </c>
      <c r="E61" s="17" t="s">
        <v>2935</v>
      </c>
      <c r="F61" s="17" t="s">
        <v>1225</v>
      </c>
      <c r="G61" s="17" t="s">
        <v>1226</v>
      </c>
      <c r="H61" s="17" t="s">
        <v>1227</v>
      </c>
      <c r="I61" s="17" t="s">
        <v>27</v>
      </c>
      <c r="J61" s="18" t="s">
        <v>1228</v>
      </c>
      <c r="K61" s="17" t="s">
        <v>23</v>
      </c>
      <c r="L61" s="17" t="s">
        <v>1229</v>
      </c>
      <c r="M61" s="17" t="s">
        <v>1012</v>
      </c>
      <c r="N61" s="17" t="s">
        <v>1230</v>
      </c>
      <c r="O61" s="18" t="s">
        <v>1017</v>
      </c>
      <c r="P61" s="18" t="s">
        <v>25</v>
      </c>
      <c r="Q61" s="32">
        <f t="shared" si="0"/>
        <v>16</v>
      </c>
      <c r="R61" s="32">
        <f t="shared" si="1"/>
        <v>11</v>
      </c>
      <c r="S61" s="21" t="s">
        <v>2936</v>
      </c>
    </row>
    <row r="62" spans="1:19" x14ac:dyDescent="0.25">
      <c r="A62" s="3">
        <v>60</v>
      </c>
      <c r="B62" s="3" t="s">
        <v>490</v>
      </c>
      <c r="C62" s="17" t="s">
        <v>557</v>
      </c>
      <c r="D62" s="17" t="s">
        <v>1011</v>
      </c>
      <c r="E62" s="17" t="s">
        <v>2935</v>
      </c>
      <c r="F62" s="17" t="s">
        <v>1231</v>
      </c>
      <c r="G62" s="17" t="s">
        <v>1226</v>
      </c>
      <c r="H62" s="17" t="s">
        <v>1232</v>
      </c>
      <c r="I62" s="17" t="s">
        <v>27</v>
      </c>
      <c r="J62" s="18" t="s">
        <v>1233</v>
      </c>
      <c r="K62" s="17" t="s">
        <v>23</v>
      </c>
      <c r="L62" s="17" t="s">
        <v>1234</v>
      </c>
      <c r="M62" s="17" t="s">
        <v>1012</v>
      </c>
      <c r="N62" s="17"/>
      <c r="O62" s="18" t="s">
        <v>1017</v>
      </c>
      <c r="P62" s="18" t="s">
        <v>25</v>
      </c>
      <c r="Q62" s="32">
        <f t="shared" si="0"/>
        <v>16</v>
      </c>
      <c r="R62" s="32">
        <f t="shared" si="1"/>
        <v>0</v>
      </c>
      <c r="S62" s="21" t="s">
        <v>2937</v>
      </c>
    </row>
    <row r="63" spans="1:19" x14ac:dyDescent="0.25">
      <c r="A63" s="2">
        <v>61</v>
      </c>
      <c r="B63" s="3" t="s">
        <v>490</v>
      </c>
      <c r="C63" s="17" t="s">
        <v>558</v>
      </c>
      <c r="D63" s="17" t="s">
        <v>1011</v>
      </c>
      <c r="E63" s="17" t="s">
        <v>2935</v>
      </c>
      <c r="F63" s="17" t="s">
        <v>1235</v>
      </c>
      <c r="G63" s="17" t="s">
        <v>1226</v>
      </c>
      <c r="H63" s="17" t="s">
        <v>1047</v>
      </c>
      <c r="I63" s="17" t="s">
        <v>26</v>
      </c>
      <c r="J63" s="18" t="s">
        <v>1236</v>
      </c>
      <c r="K63" s="17" t="s">
        <v>23</v>
      </c>
      <c r="L63" s="17" t="s">
        <v>1237</v>
      </c>
      <c r="M63" s="17" t="s">
        <v>1012</v>
      </c>
      <c r="N63" s="17" t="s">
        <v>1238</v>
      </c>
      <c r="O63" s="18" t="s">
        <v>1017</v>
      </c>
      <c r="P63" s="18" t="s">
        <v>25</v>
      </c>
      <c r="Q63" s="32">
        <f t="shared" si="0"/>
        <v>16</v>
      </c>
      <c r="R63" s="32">
        <f t="shared" si="1"/>
        <v>11</v>
      </c>
      <c r="S63" s="21" t="s">
        <v>2938</v>
      </c>
    </row>
    <row r="64" spans="1:19" x14ac:dyDescent="0.25">
      <c r="A64" s="3">
        <v>62</v>
      </c>
      <c r="B64" s="3" t="s">
        <v>490</v>
      </c>
      <c r="C64" s="17" t="s">
        <v>559</v>
      </c>
      <c r="D64" s="17" t="s">
        <v>1011</v>
      </c>
      <c r="E64" s="17" t="s">
        <v>2935</v>
      </c>
      <c r="F64" s="17" t="s">
        <v>1239</v>
      </c>
      <c r="G64" s="17" t="s">
        <v>1226</v>
      </c>
      <c r="H64" s="17" t="s">
        <v>1240</v>
      </c>
      <c r="I64" s="17" t="s">
        <v>26</v>
      </c>
      <c r="J64" s="18" t="s">
        <v>1241</v>
      </c>
      <c r="K64" s="17" t="s">
        <v>23</v>
      </c>
      <c r="L64" s="17" t="s">
        <v>1242</v>
      </c>
      <c r="M64" s="17" t="s">
        <v>1012</v>
      </c>
      <c r="N64" s="17" t="s">
        <v>1243</v>
      </c>
      <c r="O64" s="18" t="s">
        <v>1017</v>
      </c>
      <c r="P64" s="18" t="s">
        <v>25</v>
      </c>
      <c r="Q64" s="32">
        <f t="shared" si="0"/>
        <v>16</v>
      </c>
      <c r="R64" s="32">
        <f t="shared" si="1"/>
        <v>11</v>
      </c>
      <c r="S64" s="21" t="s">
        <v>2939</v>
      </c>
    </row>
    <row r="65" spans="1:19" x14ac:dyDescent="0.25">
      <c r="A65" s="2">
        <v>63</v>
      </c>
      <c r="B65" s="3" t="s">
        <v>490</v>
      </c>
      <c r="C65" s="17" t="s">
        <v>560</v>
      </c>
      <c r="D65" s="17" t="s">
        <v>1011</v>
      </c>
      <c r="E65" s="17" t="s">
        <v>2935</v>
      </c>
      <c r="F65" s="17" t="s">
        <v>1244</v>
      </c>
      <c r="G65" s="17" t="s">
        <v>1226</v>
      </c>
      <c r="H65" s="17" t="s">
        <v>1240</v>
      </c>
      <c r="I65" s="17" t="s">
        <v>22</v>
      </c>
      <c r="J65" s="18" t="s">
        <v>1245</v>
      </c>
      <c r="K65" s="17" t="s">
        <v>23</v>
      </c>
      <c r="L65" s="17" t="s">
        <v>1242</v>
      </c>
      <c r="M65" s="17" t="s">
        <v>1012</v>
      </c>
      <c r="N65" s="17" t="s">
        <v>1243</v>
      </c>
      <c r="O65" s="18" t="s">
        <v>1017</v>
      </c>
      <c r="P65" s="18" t="s">
        <v>25</v>
      </c>
      <c r="Q65" s="32">
        <f t="shared" si="0"/>
        <v>16</v>
      </c>
      <c r="R65" s="32">
        <f t="shared" si="1"/>
        <v>11</v>
      </c>
      <c r="S65" s="21" t="s">
        <v>2915</v>
      </c>
    </row>
    <row r="66" spans="1:19" x14ac:dyDescent="0.25">
      <c r="A66" s="3">
        <v>64</v>
      </c>
      <c r="B66" s="3" t="s">
        <v>490</v>
      </c>
      <c r="C66" s="17" t="s">
        <v>561</v>
      </c>
      <c r="D66" s="17" t="s">
        <v>1011</v>
      </c>
      <c r="E66" s="17" t="s">
        <v>2935</v>
      </c>
      <c r="F66" s="17" t="s">
        <v>1246</v>
      </c>
      <c r="G66" s="17" t="s">
        <v>1226</v>
      </c>
      <c r="H66" s="17" t="s">
        <v>1240</v>
      </c>
      <c r="I66" s="17" t="s">
        <v>28</v>
      </c>
      <c r="J66" s="18" t="s">
        <v>1247</v>
      </c>
      <c r="K66" s="17" t="s">
        <v>23</v>
      </c>
      <c r="L66" s="17" t="s">
        <v>1242</v>
      </c>
      <c r="M66" s="17" t="s">
        <v>1012</v>
      </c>
      <c r="N66" s="17" t="s">
        <v>1243</v>
      </c>
      <c r="O66" s="18" t="s">
        <v>1017</v>
      </c>
      <c r="P66" s="18" t="s">
        <v>25</v>
      </c>
      <c r="Q66" s="32">
        <f t="shared" si="0"/>
        <v>16</v>
      </c>
      <c r="R66" s="32">
        <f t="shared" si="1"/>
        <v>11</v>
      </c>
      <c r="S66" s="21" t="s">
        <v>2915</v>
      </c>
    </row>
    <row r="67" spans="1:19" x14ac:dyDescent="0.25">
      <c r="A67" s="2">
        <v>65</v>
      </c>
      <c r="B67" s="3" t="s">
        <v>490</v>
      </c>
      <c r="C67" s="17" t="s">
        <v>562</v>
      </c>
      <c r="D67" s="17" t="s">
        <v>1011</v>
      </c>
      <c r="E67" s="17" t="s">
        <v>2935</v>
      </c>
      <c r="F67" s="17" t="s">
        <v>1248</v>
      </c>
      <c r="G67" s="17" t="s">
        <v>1226</v>
      </c>
      <c r="H67" s="17" t="s">
        <v>1249</v>
      </c>
      <c r="I67" s="17" t="s">
        <v>26</v>
      </c>
      <c r="J67" s="18" t="s">
        <v>1250</v>
      </c>
      <c r="K67" s="17" t="s">
        <v>23</v>
      </c>
      <c r="L67" s="17" t="s">
        <v>1251</v>
      </c>
      <c r="M67" s="17" t="s">
        <v>1012</v>
      </c>
      <c r="N67" s="17" t="s">
        <v>1252</v>
      </c>
      <c r="O67" s="18" t="s">
        <v>1017</v>
      </c>
      <c r="P67" s="18" t="s">
        <v>25</v>
      </c>
      <c r="Q67" s="32">
        <f t="shared" ref="Q67:Q130" si="2">LEN(L67)</f>
        <v>16</v>
      </c>
      <c r="R67" s="32">
        <f t="shared" ref="R67:R130" si="3">LEN(N67)</f>
        <v>11</v>
      </c>
      <c r="S67" s="21" t="s">
        <v>2915</v>
      </c>
    </row>
    <row r="68" spans="1:19" x14ac:dyDescent="0.25">
      <c r="A68" s="3">
        <v>66</v>
      </c>
      <c r="B68" s="3" t="s">
        <v>490</v>
      </c>
      <c r="C68" s="17" t="s">
        <v>563</v>
      </c>
      <c r="D68" s="17" t="s">
        <v>1011</v>
      </c>
      <c r="E68" s="17" t="s">
        <v>2935</v>
      </c>
      <c r="F68" s="17" t="s">
        <v>1253</v>
      </c>
      <c r="G68" s="17" t="s">
        <v>1226</v>
      </c>
      <c r="H68" s="17" t="s">
        <v>1249</v>
      </c>
      <c r="I68" s="17" t="s">
        <v>22</v>
      </c>
      <c r="J68" s="18" t="s">
        <v>1254</v>
      </c>
      <c r="K68" s="17" t="s">
        <v>23</v>
      </c>
      <c r="L68" s="17" t="s">
        <v>1251</v>
      </c>
      <c r="M68" s="17" t="s">
        <v>1012</v>
      </c>
      <c r="N68" s="17" t="s">
        <v>1252</v>
      </c>
      <c r="O68" s="18" t="s">
        <v>1017</v>
      </c>
      <c r="P68" s="18" t="s">
        <v>25</v>
      </c>
      <c r="Q68" s="32">
        <f t="shared" si="2"/>
        <v>16</v>
      </c>
      <c r="R68" s="32">
        <f t="shared" si="3"/>
        <v>11</v>
      </c>
      <c r="S68" s="21" t="s">
        <v>2915</v>
      </c>
    </row>
    <row r="69" spans="1:19" x14ac:dyDescent="0.25">
      <c r="A69" s="2">
        <v>67</v>
      </c>
      <c r="B69" s="3" t="s">
        <v>490</v>
      </c>
      <c r="C69" s="17" t="s">
        <v>564</v>
      </c>
      <c r="D69" s="17" t="s">
        <v>1011</v>
      </c>
      <c r="E69" s="17" t="s">
        <v>2935</v>
      </c>
      <c r="F69" s="17" t="s">
        <v>1255</v>
      </c>
      <c r="G69" s="17" t="s">
        <v>1226</v>
      </c>
      <c r="H69" s="17" t="s">
        <v>1249</v>
      </c>
      <c r="I69" s="17" t="s">
        <v>28</v>
      </c>
      <c r="J69" s="18" t="s">
        <v>1256</v>
      </c>
      <c r="K69" s="17" t="s">
        <v>23</v>
      </c>
      <c r="L69" s="17" t="s">
        <v>1251</v>
      </c>
      <c r="M69" s="17" t="s">
        <v>1012</v>
      </c>
      <c r="N69" s="17" t="s">
        <v>1252</v>
      </c>
      <c r="O69" s="18" t="s">
        <v>1017</v>
      </c>
      <c r="P69" s="18" t="s">
        <v>25</v>
      </c>
      <c r="Q69" s="32">
        <f t="shared" si="2"/>
        <v>16</v>
      </c>
      <c r="R69" s="32">
        <f t="shared" si="3"/>
        <v>11</v>
      </c>
      <c r="S69" s="21" t="s">
        <v>2915</v>
      </c>
    </row>
    <row r="70" spans="1:19" x14ac:dyDescent="0.25">
      <c r="A70" s="3">
        <v>68</v>
      </c>
      <c r="B70" s="3" t="s">
        <v>490</v>
      </c>
      <c r="C70" s="17" t="s">
        <v>565</v>
      </c>
      <c r="D70" s="17" t="s">
        <v>1011</v>
      </c>
      <c r="E70" s="17" t="s">
        <v>2940</v>
      </c>
      <c r="F70" s="17" t="s">
        <v>1257</v>
      </c>
      <c r="G70" s="17" t="s">
        <v>1258</v>
      </c>
      <c r="H70" s="17" t="s">
        <v>31</v>
      </c>
      <c r="I70" s="17" t="s">
        <v>26</v>
      </c>
      <c r="J70" s="18" t="s">
        <v>1259</v>
      </c>
      <c r="K70" s="17" t="s">
        <v>23</v>
      </c>
      <c r="L70" s="17" t="s">
        <v>1260</v>
      </c>
      <c r="M70" s="17" t="s">
        <v>1012</v>
      </c>
      <c r="N70" s="17" t="s">
        <v>1261</v>
      </c>
      <c r="O70" s="18" t="s">
        <v>1017</v>
      </c>
      <c r="P70" s="18" t="s">
        <v>25</v>
      </c>
      <c r="Q70" s="32">
        <f t="shared" si="2"/>
        <v>16</v>
      </c>
      <c r="R70" s="32">
        <f t="shared" si="3"/>
        <v>11</v>
      </c>
      <c r="S70" s="21" t="s">
        <v>2941</v>
      </c>
    </row>
    <row r="71" spans="1:19" x14ac:dyDescent="0.25">
      <c r="A71" s="2">
        <v>69</v>
      </c>
      <c r="B71" s="3" t="s">
        <v>490</v>
      </c>
      <c r="C71" s="17" t="s">
        <v>566</v>
      </c>
      <c r="D71" s="17" t="s">
        <v>1011</v>
      </c>
      <c r="E71" s="17" t="s">
        <v>2942</v>
      </c>
      <c r="F71" s="17" t="s">
        <v>1262</v>
      </c>
      <c r="G71" s="17" t="s">
        <v>1263</v>
      </c>
      <c r="H71" s="17" t="s">
        <v>1205</v>
      </c>
      <c r="I71" s="17" t="s">
        <v>26</v>
      </c>
      <c r="J71" s="18" t="s">
        <v>1264</v>
      </c>
      <c r="K71" s="17" t="s">
        <v>23</v>
      </c>
      <c r="L71" s="17" t="s">
        <v>1265</v>
      </c>
      <c r="M71" s="17" t="s">
        <v>1012</v>
      </c>
      <c r="N71" s="17" t="s">
        <v>1266</v>
      </c>
      <c r="O71" s="18" t="s">
        <v>1017</v>
      </c>
      <c r="P71" s="18" t="s">
        <v>25</v>
      </c>
      <c r="Q71" s="32">
        <f t="shared" si="2"/>
        <v>16</v>
      </c>
      <c r="R71" s="32">
        <f t="shared" si="3"/>
        <v>11</v>
      </c>
      <c r="S71" s="21" t="s">
        <v>2943</v>
      </c>
    </row>
    <row r="72" spans="1:19" x14ac:dyDescent="0.25">
      <c r="A72" s="3">
        <v>70</v>
      </c>
      <c r="B72" s="3" t="s">
        <v>490</v>
      </c>
      <c r="C72" s="17" t="s">
        <v>567</v>
      </c>
      <c r="D72" s="17" t="s">
        <v>1011</v>
      </c>
      <c r="E72" s="17" t="s">
        <v>2944</v>
      </c>
      <c r="F72" s="17" t="s">
        <v>1267</v>
      </c>
      <c r="G72" s="17" t="s">
        <v>1268</v>
      </c>
      <c r="H72" s="17" t="s">
        <v>49</v>
      </c>
      <c r="I72" s="17" t="s">
        <v>26</v>
      </c>
      <c r="J72" s="18" t="s">
        <v>1269</v>
      </c>
      <c r="K72" s="17" t="s">
        <v>23</v>
      </c>
      <c r="L72" s="17" t="s">
        <v>1270</v>
      </c>
      <c r="M72" s="17" t="s">
        <v>1012</v>
      </c>
      <c r="N72" s="17" t="s">
        <v>1270</v>
      </c>
      <c r="O72" s="18" t="s">
        <v>1017</v>
      </c>
      <c r="P72" s="18" t="s">
        <v>25</v>
      </c>
      <c r="Q72" s="32">
        <f t="shared" si="2"/>
        <v>16</v>
      </c>
      <c r="R72" s="32">
        <f t="shared" si="3"/>
        <v>16</v>
      </c>
      <c r="S72" s="21" t="s">
        <v>2899</v>
      </c>
    </row>
    <row r="73" spans="1:19" x14ac:dyDescent="0.25">
      <c r="A73" s="2">
        <v>71</v>
      </c>
      <c r="B73" s="3" t="s">
        <v>494</v>
      </c>
      <c r="C73" s="17" t="s">
        <v>568</v>
      </c>
      <c r="D73" s="17" t="s">
        <v>1011</v>
      </c>
      <c r="E73" s="17"/>
      <c r="F73" s="17" t="s">
        <v>430</v>
      </c>
      <c r="G73" s="17" t="s">
        <v>431</v>
      </c>
      <c r="H73" s="17" t="s">
        <v>29</v>
      </c>
      <c r="I73" s="17" t="s">
        <v>26</v>
      </c>
      <c r="J73" s="18" t="s">
        <v>432</v>
      </c>
      <c r="K73" s="17" t="s">
        <v>255</v>
      </c>
      <c r="L73" s="17" t="s">
        <v>433</v>
      </c>
      <c r="M73" s="17" t="s">
        <v>1012</v>
      </c>
      <c r="N73" s="17" t="s">
        <v>1271</v>
      </c>
      <c r="O73" s="18" t="s">
        <v>257</v>
      </c>
      <c r="P73" s="18" t="s">
        <v>258</v>
      </c>
      <c r="Q73" s="18">
        <f t="shared" si="2"/>
        <v>9</v>
      </c>
      <c r="R73" s="18">
        <f t="shared" si="3"/>
        <v>11</v>
      </c>
    </row>
    <row r="74" spans="1:19" x14ac:dyDescent="0.25">
      <c r="A74" s="3">
        <v>72</v>
      </c>
      <c r="B74" s="3" t="s">
        <v>494</v>
      </c>
      <c r="C74" s="17" t="s">
        <v>569</v>
      </c>
      <c r="D74" s="17" t="s">
        <v>1011</v>
      </c>
      <c r="E74" s="17"/>
      <c r="F74" s="17" t="s">
        <v>1272</v>
      </c>
      <c r="G74" s="17" t="s">
        <v>431</v>
      </c>
      <c r="H74" s="17" t="s">
        <v>1273</v>
      </c>
      <c r="I74" s="17" t="s">
        <v>26</v>
      </c>
      <c r="J74" s="18" t="s">
        <v>1274</v>
      </c>
      <c r="K74" s="17" t="s">
        <v>255</v>
      </c>
      <c r="L74" s="17" t="s">
        <v>1275</v>
      </c>
      <c r="M74" s="17" t="s">
        <v>1012</v>
      </c>
      <c r="N74" s="17" t="s">
        <v>1276</v>
      </c>
      <c r="O74" s="18" t="s">
        <v>257</v>
      </c>
      <c r="P74" s="18" t="s">
        <v>258</v>
      </c>
      <c r="Q74" s="18">
        <f t="shared" si="2"/>
        <v>9</v>
      </c>
      <c r="R74" s="18">
        <f t="shared" si="3"/>
        <v>11</v>
      </c>
    </row>
    <row r="75" spans="1:19" x14ac:dyDescent="0.25">
      <c r="A75" s="2">
        <v>73</v>
      </c>
      <c r="B75" s="3" t="s">
        <v>494</v>
      </c>
      <c r="C75" s="17" t="s">
        <v>570</v>
      </c>
      <c r="D75" s="17" t="s">
        <v>1011</v>
      </c>
      <c r="E75" s="17"/>
      <c r="F75" s="17" t="s">
        <v>1277</v>
      </c>
      <c r="G75" s="17" t="s">
        <v>431</v>
      </c>
      <c r="H75" s="17" t="s">
        <v>1278</v>
      </c>
      <c r="I75" s="17" t="s">
        <v>26</v>
      </c>
      <c r="J75" s="18" t="s">
        <v>1279</v>
      </c>
      <c r="K75" s="17" t="s">
        <v>255</v>
      </c>
      <c r="L75" s="17" t="s">
        <v>1280</v>
      </c>
      <c r="M75" s="17" t="s">
        <v>1012</v>
      </c>
      <c r="N75" s="17" t="s">
        <v>1281</v>
      </c>
      <c r="O75" s="18" t="s">
        <v>257</v>
      </c>
      <c r="P75" s="18" t="s">
        <v>258</v>
      </c>
      <c r="Q75" s="18">
        <f t="shared" si="2"/>
        <v>10</v>
      </c>
      <c r="R75" s="18">
        <f t="shared" si="3"/>
        <v>11</v>
      </c>
    </row>
    <row r="76" spans="1:19" x14ac:dyDescent="0.25">
      <c r="A76" s="3">
        <v>74</v>
      </c>
      <c r="B76" s="3" t="s">
        <v>490</v>
      </c>
      <c r="C76" s="17" t="s">
        <v>571</v>
      </c>
      <c r="D76" s="17" t="s">
        <v>1011</v>
      </c>
      <c r="E76" s="17" t="s">
        <v>2945</v>
      </c>
      <c r="F76" s="17" t="s">
        <v>1282</v>
      </c>
      <c r="G76" s="17" t="s">
        <v>99</v>
      </c>
      <c r="H76" s="17" t="s">
        <v>1283</v>
      </c>
      <c r="I76" s="17" t="s">
        <v>26</v>
      </c>
      <c r="J76" s="18" t="s">
        <v>1284</v>
      </c>
      <c r="K76" s="17" t="s">
        <v>23</v>
      </c>
      <c r="L76" s="17" t="s">
        <v>1285</v>
      </c>
      <c r="M76" s="17" t="s">
        <v>1012</v>
      </c>
      <c r="N76" s="17" t="s">
        <v>1286</v>
      </c>
      <c r="O76" s="18" t="s">
        <v>1017</v>
      </c>
      <c r="P76" s="18" t="s">
        <v>25</v>
      </c>
      <c r="Q76" s="32">
        <f t="shared" si="2"/>
        <v>16</v>
      </c>
      <c r="R76" s="32">
        <f t="shared" si="3"/>
        <v>11</v>
      </c>
      <c r="S76" s="21" t="s">
        <v>2946</v>
      </c>
    </row>
    <row r="77" spans="1:19" x14ac:dyDescent="0.25">
      <c r="A77" s="2">
        <v>75</v>
      </c>
      <c r="B77" s="3" t="s">
        <v>490</v>
      </c>
      <c r="C77" s="17" t="s">
        <v>572</v>
      </c>
      <c r="D77" s="17" t="s">
        <v>1011</v>
      </c>
      <c r="E77" s="17" t="s">
        <v>2945</v>
      </c>
      <c r="F77" s="17" t="s">
        <v>1287</v>
      </c>
      <c r="G77" s="17" t="s">
        <v>99</v>
      </c>
      <c r="H77" s="17" t="s">
        <v>1283</v>
      </c>
      <c r="I77" s="17" t="s">
        <v>22</v>
      </c>
      <c r="J77" s="18" t="s">
        <v>1288</v>
      </c>
      <c r="K77" s="17" t="s">
        <v>23</v>
      </c>
      <c r="L77" s="17" t="s">
        <v>1285</v>
      </c>
      <c r="M77" s="17" t="s">
        <v>1012</v>
      </c>
      <c r="N77" s="17" t="s">
        <v>1286</v>
      </c>
      <c r="O77" s="18" t="s">
        <v>1017</v>
      </c>
      <c r="P77" s="18" t="s">
        <v>25</v>
      </c>
      <c r="Q77" s="32">
        <f t="shared" si="2"/>
        <v>16</v>
      </c>
      <c r="R77" s="32">
        <f t="shared" si="3"/>
        <v>11</v>
      </c>
      <c r="S77" s="21" t="s">
        <v>2915</v>
      </c>
    </row>
    <row r="78" spans="1:19" x14ac:dyDescent="0.25">
      <c r="A78" s="27">
        <v>76</v>
      </c>
      <c r="B78" s="3" t="s">
        <v>490</v>
      </c>
      <c r="C78" s="17" t="s">
        <v>573</v>
      </c>
      <c r="D78" s="17" t="s">
        <v>1011</v>
      </c>
      <c r="E78" s="17" t="s">
        <v>2945</v>
      </c>
      <c r="F78" s="17" t="s">
        <v>1289</v>
      </c>
      <c r="G78" s="17" t="s">
        <v>99</v>
      </c>
      <c r="H78" s="17" t="s">
        <v>1290</v>
      </c>
      <c r="I78" s="17" t="s">
        <v>26</v>
      </c>
      <c r="J78" s="18" t="s">
        <v>1291</v>
      </c>
      <c r="K78" s="17" t="s">
        <v>23</v>
      </c>
      <c r="L78" s="17" t="s">
        <v>1292</v>
      </c>
      <c r="M78" s="17" t="s">
        <v>1012</v>
      </c>
      <c r="N78" s="17" t="s">
        <v>1293</v>
      </c>
      <c r="O78" s="18" t="s">
        <v>1017</v>
      </c>
      <c r="P78" s="18" t="s">
        <v>25</v>
      </c>
      <c r="Q78" s="32">
        <f t="shared" si="2"/>
        <v>16</v>
      </c>
      <c r="R78" s="32">
        <f t="shared" si="3"/>
        <v>10</v>
      </c>
      <c r="S78" s="21" t="s">
        <v>2947</v>
      </c>
    </row>
    <row r="79" spans="1:19" x14ac:dyDescent="0.25">
      <c r="A79" s="2">
        <v>77</v>
      </c>
      <c r="B79" s="3" t="s">
        <v>490</v>
      </c>
      <c r="C79" s="17" t="s">
        <v>574</v>
      </c>
      <c r="D79" s="17" t="s">
        <v>1011</v>
      </c>
      <c r="E79" s="17" t="s">
        <v>2945</v>
      </c>
      <c r="F79" s="17" t="s">
        <v>1294</v>
      </c>
      <c r="G79" s="17" t="s">
        <v>99</v>
      </c>
      <c r="H79" s="17" t="s">
        <v>1295</v>
      </c>
      <c r="I79" s="17" t="s">
        <v>26</v>
      </c>
      <c r="J79" s="18" t="s">
        <v>1296</v>
      </c>
      <c r="K79" s="17" t="s">
        <v>23</v>
      </c>
      <c r="L79" s="17" t="s">
        <v>1297</v>
      </c>
      <c r="M79" s="17" t="s">
        <v>1012</v>
      </c>
      <c r="N79" s="17" t="s">
        <v>1298</v>
      </c>
      <c r="O79" s="18" t="s">
        <v>1017</v>
      </c>
      <c r="P79" s="18" t="s">
        <v>25</v>
      </c>
      <c r="Q79" s="32">
        <f t="shared" si="2"/>
        <v>16</v>
      </c>
      <c r="R79" s="32">
        <f t="shared" si="3"/>
        <v>11</v>
      </c>
      <c r="S79" s="21" t="s">
        <v>2948</v>
      </c>
    </row>
    <row r="80" spans="1:19" x14ac:dyDescent="0.25">
      <c r="A80" s="3">
        <v>78</v>
      </c>
      <c r="B80" s="3" t="s">
        <v>490</v>
      </c>
      <c r="C80" s="17" t="s">
        <v>575</v>
      </c>
      <c r="D80" s="17" t="s">
        <v>1011</v>
      </c>
      <c r="E80" s="17" t="s">
        <v>2945</v>
      </c>
      <c r="F80" s="17" t="s">
        <v>1299</v>
      </c>
      <c r="G80" s="17" t="s">
        <v>99</v>
      </c>
      <c r="H80" s="17" t="s">
        <v>112</v>
      </c>
      <c r="I80" s="17" t="s">
        <v>26</v>
      </c>
      <c r="J80" s="18" t="s">
        <v>1300</v>
      </c>
      <c r="K80" s="17" t="s">
        <v>23</v>
      </c>
      <c r="L80" s="17" t="s">
        <v>1301</v>
      </c>
      <c r="M80" s="17" t="s">
        <v>1012</v>
      </c>
      <c r="N80" s="17" t="s">
        <v>1302</v>
      </c>
      <c r="O80" s="18" t="s">
        <v>1017</v>
      </c>
      <c r="P80" s="18" t="s">
        <v>25</v>
      </c>
      <c r="Q80" s="32">
        <f t="shared" si="2"/>
        <v>16</v>
      </c>
      <c r="R80" s="32">
        <f t="shared" si="3"/>
        <v>11</v>
      </c>
      <c r="S80" s="21" t="s">
        <v>2915</v>
      </c>
    </row>
    <row r="81" spans="1:19" x14ac:dyDescent="0.25">
      <c r="A81" s="2">
        <v>79</v>
      </c>
      <c r="B81" s="3" t="s">
        <v>490</v>
      </c>
      <c r="C81" s="17" t="s">
        <v>576</v>
      </c>
      <c r="D81" s="17" t="s">
        <v>1011</v>
      </c>
      <c r="E81" s="17" t="s">
        <v>2945</v>
      </c>
      <c r="F81" s="17" t="s">
        <v>1303</v>
      </c>
      <c r="G81" s="17" t="s">
        <v>99</v>
      </c>
      <c r="H81" s="17" t="s">
        <v>1304</v>
      </c>
      <c r="I81" s="17" t="s">
        <v>26</v>
      </c>
      <c r="J81" s="18" t="s">
        <v>1305</v>
      </c>
      <c r="K81" s="17" t="s">
        <v>23</v>
      </c>
      <c r="L81" s="17" t="s">
        <v>1306</v>
      </c>
      <c r="M81" s="17" t="s">
        <v>1012</v>
      </c>
      <c r="N81" s="17" t="s">
        <v>1307</v>
      </c>
      <c r="O81" s="18" t="s">
        <v>1017</v>
      </c>
      <c r="P81" s="18" t="s">
        <v>25</v>
      </c>
      <c r="Q81" s="32">
        <f t="shared" si="2"/>
        <v>16</v>
      </c>
      <c r="R81" s="32">
        <f t="shared" si="3"/>
        <v>13</v>
      </c>
      <c r="S81" s="21" t="s">
        <v>2915</v>
      </c>
    </row>
    <row r="82" spans="1:19" x14ac:dyDescent="0.25">
      <c r="A82" s="3">
        <v>80</v>
      </c>
      <c r="B82" s="3" t="s">
        <v>490</v>
      </c>
      <c r="C82" s="17" t="s">
        <v>577</v>
      </c>
      <c r="D82" s="17" t="s">
        <v>1011</v>
      </c>
      <c r="E82" s="17" t="s">
        <v>2945</v>
      </c>
      <c r="F82" s="17" t="s">
        <v>1308</v>
      </c>
      <c r="G82" s="17" t="s">
        <v>99</v>
      </c>
      <c r="H82" s="17" t="s">
        <v>1304</v>
      </c>
      <c r="I82" s="17" t="s">
        <v>22</v>
      </c>
      <c r="J82" s="18" t="s">
        <v>1309</v>
      </c>
      <c r="K82" s="17" t="s">
        <v>23</v>
      </c>
      <c r="L82" s="17" t="s">
        <v>1306</v>
      </c>
      <c r="M82" s="17" t="s">
        <v>1012</v>
      </c>
      <c r="N82" s="17" t="s">
        <v>1307</v>
      </c>
      <c r="O82" s="18" t="s">
        <v>1017</v>
      </c>
      <c r="P82" s="18" t="s">
        <v>25</v>
      </c>
      <c r="Q82" s="32">
        <f t="shared" si="2"/>
        <v>16</v>
      </c>
      <c r="R82" s="32">
        <f t="shared" si="3"/>
        <v>13</v>
      </c>
      <c r="S82" s="21" t="s">
        <v>2915</v>
      </c>
    </row>
    <row r="83" spans="1:19" x14ac:dyDescent="0.25">
      <c r="A83" s="2">
        <v>81</v>
      </c>
      <c r="B83" s="3" t="s">
        <v>490</v>
      </c>
      <c r="C83" s="17" t="s">
        <v>578</v>
      </c>
      <c r="D83" s="17" t="s">
        <v>1011</v>
      </c>
      <c r="E83" s="17" t="s">
        <v>2949</v>
      </c>
      <c r="F83" s="17" t="s">
        <v>1310</v>
      </c>
      <c r="G83" s="17" t="s">
        <v>98</v>
      </c>
      <c r="H83" s="17" t="s">
        <v>27</v>
      </c>
      <c r="I83" s="17" t="s">
        <v>27</v>
      </c>
      <c r="J83" s="18" t="s">
        <v>1311</v>
      </c>
      <c r="K83" s="17" t="s">
        <v>23</v>
      </c>
      <c r="L83" s="17" t="s">
        <v>1312</v>
      </c>
      <c r="M83" s="17" t="s">
        <v>1012</v>
      </c>
      <c r="N83" s="17" t="s">
        <v>1313</v>
      </c>
      <c r="O83" s="18" t="s">
        <v>1017</v>
      </c>
      <c r="P83" s="18" t="s">
        <v>25</v>
      </c>
      <c r="Q83" s="32">
        <f t="shared" si="2"/>
        <v>16</v>
      </c>
      <c r="R83" s="32">
        <f t="shared" si="3"/>
        <v>11</v>
      </c>
      <c r="S83" s="21" t="s">
        <v>2915</v>
      </c>
    </row>
    <row r="84" spans="1:19" x14ac:dyDescent="0.25">
      <c r="A84" s="3">
        <v>82</v>
      </c>
      <c r="B84" s="3" t="s">
        <v>490</v>
      </c>
      <c r="C84" s="17" t="s">
        <v>579</v>
      </c>
      <c r="D84" s="17" t="s">
        <v>1011</v>
      </c>
      <c r="E84" s="17" t="s">
        <v>2949</v>
      </c>
      <c r="F84" s="17" t="s">
        <v>1314</v>
      </c>
      <c r="G84" s="17" t="s">
        <v>98</v>
      </c>
      <c r="H84" s="17" t="s">
        <v>1315</v>
      </c>
      <c r="I84" s="17" t="s">
        <v>22</v>
      </c>
      <c r="J84" s="18" t="s">
        <v>1316</v>
      </c>
      <c r="K84" s="17" t="s">
        <v>23</v>
      </c>
      <c r="L84" s="17" t="s">
        <v>1317</v>
      </c>
      <c r="M84" s="17" t="s">
        <v>1012</v>
      </c>
      <c r="N84" s="17" t="s">
        <v>1318</v>
      </c>
      <c r="O84" s="18" t="s">
        <v>1017</v>
      </c>
      <c r="P84" s="18" t="s">
        <v>25</v>
      </c>
      <c r="Q84" s="32">
        <f t="shared" si="2"/>
        <v>16</v>
      </c>
      <c r="R84" s="32">
        <f t="shared" si="3"/>
        <v>11</v>
      </c>
      <c r="S84" s="21" t="s">
        <v>2915</v>
      </c>
    </row>
    <row r="85" spans="1:19" x14ac:dyDescent="0.25">
      <c r="A85" s="2">
        <v>83</v>
      </c>
      <c r="B85" s="3" t="s">
        <v>494</v>
      </c>
      <c r="C85" s="17" t="s">
        <v>580</v>
      </c>
      <c r="D85" s="17" t="s">
        <v>1011</v>
      </c>
      <c r="E85" s="17"/>
      <c r="F85" s="17" t="s">
        <v>1319</v>
      </c>
      <c r="G85" s="17" t="s">
        <v>98</v>
      </c>
      <c r="H85" s="17" t="s">
        <v>1320</v>
      </c>
      <c r="I85" s="17" t="s">
        <v>26</v>
      </c>
      <c r="J85" s="18" t="s">
        <v>1321</v>
      </c>
      <c r="K85" s="17" t="s">
        <v>255</v>
      </c>
      <c r="L85" s="17" t="s">
        <v>457</v>
      </c>
      <c r="M85" s="17" t="s">
        <v>1012</v>
      </c>
      <c r="N85" s="17"/>
      <c r="O85" s="18" t="s">
        <v>257</v>
      </c>
      <c r="P85" s="18" t="s">
        <v>258</v>
      </c>
      <c r="Q85" s="18">
        <f t="shared" si="2"/>
        <v>9</v>
      </c>
      <c r="R85" s="18">
        <f t="shared" si="3"/>
        <v>0</v>
      </c>
    </row>
    <row r="86" spans="1:19" x14ac:dyDescent="0.25">
      <c r="A86" s="3">
        <v>84</v>
      </c>
      <c r="B86" s="3" t="s">
        <v>490</v>
      </c>
      <c r="C86" s="17" t="s">
        <v>581</v>
      </c>
      <c r="D86" s="17" t="s">
        <v>1011</v>
      </c>
      <c r="E86" s="17" t="s">
        <v>2949</v>
      </c>
      <c r="F86" s="17" t="s">
        <v>1322</v>
      </c>
      <c r="G86" s="17" t="s">
        <v>98</v>
      </c>
      <c r="H86" s="17" t="s">
        <v>1323</v>
      </c>
      <c r="I86" s="17" t="s">
        <v>28</v>
      </c>
      <c r="J86" s="18" t="s">
        <v>1324</v>
      </c>
      <c r="K86" s="17" t="s">
        <v>23</v>
      </c>
      <c r="L86" s="17" t="s">
        <v>1325</v>
      </c>
      <c r="M86" s="17" t="s">
        <v>1012</v>
      </c>
      <c r="N86" s="17" t="s">
        <v>1313</v>
      </c>
      <c r="O86" s="18" t="s">
        <v>1017</v>
      </c>
      <c r="P86" s="18" t="s">
        <v>25</v>
      </c>
      <c r="Q86" s="32">
        <f t="shared" si="2"/>
        <v>16</v>
      </c>
      <c r="R86" s="32">
        <f t="shared" si="3"/>
        <v>11</v>
      </c>
      <c r="S86" s="21" t="s">
        <v>2899</v>
      </c>
    </row>
    <row r="87" spans="1:19" x14ac:dyDescent="0.25">
      <c r="A87" s="2">
        <v>85</v>
      </c>
      <c r="B87" s="3" t="s">
        <v>490</v>
      </c>
      <c r="C87" s="17" t="s">
        <v>582</v>
      </c>
      <c r="D87" s="17" t="s">
        <v>1011</v>
      </c>
      <c r="E87" s="17" t="s">
        <v>2949</v>
      </c>
      <c r="F87" s="17" t="s">
        <v>1326</v>
      </c>
      <c r="G87" s="17" t="s">
        <v>98</v>
      </c>
      <c r="H87" s="17" t="s">
        <v>1327</v>
      </c>
      <c r="I87" s="17" t="s">
        <v>26</v>
      </c>
      <c r="J87" s="18" t="s">
        <v>1328</v>
      </c>
      <c r="K87" s="17" t="s">
        <v>23</v>
      </c>
      <c r="L87" s="17" t="s">
        <v>1329</v>
      </c>
      <c r="M87" s="17" t="s">
        <v>1012</v>
      </c>
      <c r="N87" s="17" t="s">
        <v>1330</v>
      </c>
      <c r="O87" s="18" t="s">
        <v>1017</v>
      </c>
      <c r="P87" s="18" t="s">
        <v>25</v>
      </c>
      <c r="Q87" s="32">
        <f t="shared" si="2"/>
        <v>16</v>
      </c>
      <c r="R87" s="32">
        <f t="shared" si="3"/>
        <v>13</v>
      </c>
      <c r="S87" s="21" t="s">
        <v>2950</v>
      </c>
    </row>
    <row r="88" spans="1:19" x14ac:dyDescent="0.25">
      <c r="A88" s="3">
        <v>86</v>
      </c>
      <c r="B88" s="3" t="s">
        <v>490</v>
      </c>
      <c r="C88" s="17" t="s">
        <v>583</v>
      </c>
      <c r="D88" s="17" t="s">
        <v>1011</v>
      </c>
      <c r="E88" s="17" t="s">
        <v>2949</v>
      </c>
      <c r="F88" s="17" t="s">
        <v>1331</v>
      </c>
      <c r="G88" s="17" t="s">
        <v>98</v>
      </c>
      <c r="H88" s="17" t="s">
        <v>1327</v>
      </c>
      <c r="I88" s="17" t="s">
        <v>22</v>
      </c>
      <c r="J88" s="18" t="s">
        <v>1332</v>
      </c>
      <c r="K88" s="17" t="s">
        <v>23</v>
      </c>
      <c r="L88" s="17" t="s">
        <v>1329</v>
      </c>
      <c r="M88" s="17" t="s">
        <v>1012</v>
      </c>
      <c r="N88" s="17" t="s">
        <v>1330</v>
      </c>
      <c r="O88" s="18" t="s">
        <v>1017</v>
      </c>
      <c r="P88" s="18" t="s">
        <v>25</v>
      </c>
      <c r="Q88" s="32">
        <f t="shared" si="2"/>
        <v>16</v>
      </c>
      <c r="R88" s="32">
        <f t="shared" si="3"/>
        <v>13</v>
      </c>
      <c r="S88" s="21" t="s">
        <v>2915</v>
      </c>
    </row>
    <row r="89" spans="1:19" x14ac:dyDescent="0.25">
      <c r="A89" s="2">
        <v>87</v>
      </c>
      <c r="B89" s="3" t="s">
        <v>490</v>
      </c>
      <c r="C89" s="17" t="s">
        <v>584</v>
      </c>
      <c r="D89" s="17" t="s">
        <v>1011</v>
      </c>
      <c r="E89" s="17" t="s">
        <v>2951</v>
      </c>
      <c r="F89" s="17" t="s">
        <v>95</v>
      </c>
      <c r="G89" s="17" t="s">
        <v>96</v>
      </c>
      <c r="H89" s="17" t="s">
        <v>27</v>
      </c>
      <c r="I89" s="17" t="s">
        <v>27</v>
      </c>
      <c r="J89" s="18" t="s">
        <v>97</v>
      </c>
      <c r="K89" s="17" t="s">
        <v>23</v>
      </c>
      <c r="L89" s="17" t="s">
        <v>1333</v>
      </c>
      <c r="M89" s="17" t="s">
        <v>1012</v>
      </c>
      <c r="N89" s="17" t="s">
        <v>1334</v>
      </c>
      <c r="O89" s="18" t="s">
        <v>1017</v>
      </c>
      <c r="P89" s="18" t="s">
        <v>25</v>
      </c>
      <c r="Q89" s="32">
        <f t="shared" si="2"/>
        <v>16</v>
      </c>
      <c r="R89" s="32">
        <f t="shared" si="3"/>
        <v>15</v>
      </c>
      <c r="S89" s="21" t="s">
        <v>2906</v>
      </c>
    </row>
    <row r="90" spans="1:19" x14ac:dyDescent="0.25">
      <c r="A90" s="3">
        <v>88</v>
      </c>
      <c r="B90" s="3" t="s">
        <v>490</v>
      </c>
      <c r="C90" s="17" t="s">
        <v>585</v>
      </c>
      <c r="D90" s="17" t="s">
        <v>1011</v>
      </c>
      <c r="E90" s="17" t="s">
        <v>2952</v>
      </c>
      <c r="F90" s="17" t="s">
        <v>1335</v>
      </c>
      <c r="G90" s="17" t="s">
        <v>1336</v>
      </c>
      <c r="H90" s="17" t="s">
        <v>1337</v>
      </c>
      <c r="I90" s="17" t="s">
        <v>26</v>
      </c>
      <c r="J90" s="18" t="s">
        <v>1338</v>
      </c>
      <c r="K90" s="17" t="s">
        <v>23</v>
      </c>
      <c r="L90" s="17" t="s">
        <v>1339</v>
      </c>
      <c r="M90" s="17" t="s">
        <v>1012</v>
      </c>
      <c r="N90" s="17" t="s">
        <v>1340</v>
      </c>
      <c r="O90" s="18" t="s">
        <v>1017</v>
      </c>
      <c r="P90" s="18" t="s">
        <v>25</v>
      </c>
      <c r="Q90" s="32">
        <f t="shared" si="2"/>
        <v>16</v>
      </c>
      <c r="R90" s="32">
        <f t="shared" si="3"/>
        <v>13</v>
      </c>
      <c r="S90" s="21" t="s">
        <v>2915</v>
      </c>
    </row>
    <row r="91" spans="1:19" x14ac:dyDescent="0.25">
      <c r="A91" s="2">
        <v>89</v>
      </c>
      <c r="B91" s="3" t="s">
        <v>490</v>
      </c>
      <c r="C91" s="17" t="s">
        <v>586</v>
      </c>
      <c r="D91" s="17" t="s">
        <v>1011</v>
      </c>
      <c r="E91" s="17" t="s">
        <v>2952</v>
      </c>
      <c r="F91" s="17" t="s">
        <v>103</v>
      </c>
      <c r="G91" s="17" t="s">
        <v>1336</v>
      </c>
      <c r="H91" s="17" t="s">
        <v>1337</v>
      </c>
      <c r="I91" s="17" t="s">
        <v>22</v>
      </c>
      <c r="J91" s="18" t="s">
        <v>1341</v>
      </c>
      <c r="K91" s="17" t="s">
        <v>23</v>
      </c>
      <c r="L91" s="17" t="s">
        <v>1339</v>
      </c>
      <c r="M91" s="17" t="s">
        <v>1012</v>
      </c>
      <c r="N91" s="17" t="s">
        <v>1340</v>
      </c>
      <c r="O91" s="18" t="s">
        <v>1017</v>
      </c>
      <c r="P91" s="18" t="s">
        <v>25</v>
      </c>
      <c r="Q91" s="32">
        <f t="shared" si="2"/>
        <v>16</v>
      </c>
      <c r="R91" s="32">
        <f t="shared" si="3"/>
        <v>13</v>
      </c>
      <c r="S91" s="21" t="s">
        <v>2915</v>
      </c>
    </row>
    <row r="92" spans="1:19" x14ac:dyDescent="0.25">
      <c r="A92" s="3">
        <v>90</v>
      </c>
      <c r="B92" s="3" t="s">
        <v>490</v>
      </c>
      <c r="C92" s="17" t="s">
        <v>587</v>
      </c>
      <c r="D92" s="17" t="s">
        <v>1011</v>
      </c>
      <c r="E92" s="17" t="s">
        <v>2952</v>
      </c>
      <c r="F92" s="17" t="s">
        <v>1342</v>
      </c>
      <c r="G92" s="17" t="s">
        <v>1336</v>
      </c>
      <c r="H92" s="17" t="s">
        <v>1337</v>
      </c>
      <c r="I92" s="17" t="s">
        <v>28</v>
      </c>
      <c r="J92" s="18" t="s">
        <v>1343</v>
      </c>
      <c r="K92" s="17" t="s">
        <v>23</v>
      </c>
      <c r="L92" s="17" t="s">
        <v>1339</v>
      </c>
      <c r="M92" s="17" t="s">
        <v>1012</v>
      </c>
      <c r="N92" s="17" t="s">
        <v>1340</v>
      </c>
      <c r="O92" s="18" t="s">
        <v>1017</v>
      </c>
      <c r="P92" s="18" t="s">
        <v>25</v>
      </c>
      <c r="Q92" s="32">
        <f t="shared" si="2"/>
        <v>16</v>
      </c>
      <c r="R92" s="32">
        <f t="shared" si="3"/>
        <v>13</v>
      </c>
      <c r="S92" s="21" t="s">
        <v>2915</v>
      </c>
    </row>
    <row r="93" spans="1:19" x14ac:dyDescent="0.25">
      <c r="A93" s="2">
        <v>91</v>
      </c>
      <c r="B93" s="3" t="s">
        <v>490</v>
      </c>
      <c r="C93" s="17" t="s">
        <v>588</v>
      </c>
      <c r="D93" s="17" t="s">
        <v>1011</v>
      </c>
      <c r="E93" s="17" t="s">
        <v>2952</v>
      </c>
      <c r="F93" s="17" t="s">
        <v>1344</v>
      </c>
      <c r="G93" s="17" t="s">
        <v>1336</v>
      </c>
      <c r="H93" s="17" t="s">
        <v>1232</v>
      </c>
      <c r="I93" s="17" t="s">
        <v>26</v>
      </c>
      <c r="J93" s="18" t="s">
        <v>1345</v>
      </c>
      <c r="K93" s="17" t="s">
        <v>23</v>
      </c>
      <c r="L93" s="17" t="s">
        <v>1346</v>
      </c>
      <c r="M93" s="17" t="s">
        <v>1012</v>
      </c>
      <c r="N93" s="17" t="s">
        <v>1347</v>
      </c>
      <c r="O93" s="18" t="s">
        <v>1017</v>
      </c>
      <c r="P93" s="18" t="s">
        <v>25</v>
      </c>
      <c r="Q93" s="32">
        <f t="shared" si="2"/>
        <v>16</v>
      </c>
      <c r="R93" s="32">
        <f t="shared" si="3"/>
        <v>11</v>
      </c>
      <c r="S93" s="21" t="s">
        <v>2915</v>
      </c>
    </row>
    <row r="94" spans="1:19" x14ac:dyDescent="0.25">
      <c r="A94" s="3">
        <v>92</v>
      </c>
      <c r="B94" s="3" t="s">
        <v>490</v>
      </c>
      <c r="C94" s="17" t="s">
        <v>589</v>
      </c>
      <c r="D94" s="17" t="s">
        <v>1011</v>
      </c>
      <c r="E94" s="17" t="s">
        <v>2953</v>
      </c>
      <c r="F94" s="17" t="s">
        <v>1348</v>
      </c>
      <c r="G94" s="17" t="s">
        <v>1349</v>
      </c>
      <c r="H94" s="17" t="s">
        <v>105</v>
      </c>
      <c r="I94" s="17" t="s">
        <v>26</v>
      </c>
      <c r="J94" s="18" t="s">
        <v>1350</v>
      </c>
      <c r="K94" s="17" t="s">
        <v>23</v>
      </c>
      <c r="L94" s="17" t="s">
        <v>1351</v>
      </c>
      <c r="M94" s="17" t="s">
        <v>1012</v>
      </c>
      <c r="N94" s="17" t="s">
        <v>1352</v>
      </c>
      <c r="O94" s="18" t="s">
        <v>1017</v>
      </c>
      <c r="P94" s="18" t="s">
        <v>25</v>
      </c>
      <c r="Q94" s="32">
        <f t="shared" si="2"/>
        <v>16</v>
      </c>
      <c r="R94" s="32">
        <f t="shared" si="3"/>
        <v>11</v>
      </c>
      <c r="S94" s="21" t="s">
        <v>2954</v>
      </c>
    </row>
    <row r="95" spans="1:19" x14ac:dyDescent="0.25">
      <c r="A95" s="2">
        <v>93</v>
      </c>
      <c r="B95" s="3" t="s">
        <v>490</v>
      </c>
      <c r="C95" s="17" t="s">
        <v>590</v>
      </c>
      <c r="D95" s="17" t="s">
        <v>1011</v>
      </c>
      <c r="E95" s="17" t="s">
        <v>2953</v>
      </c>
      <c r="F95" s="17" t="s">
        <v>1353</v>
      </c>
      <c r="G95" s="17" t="s">
        <v>1349</v>
      </c>
      <c r="H95" s="17" t="s">
        <v>105</v>
      </c>
      <c r="I95" s="17" t="s">
        <v>28</v>
      </c>
      <c r="J95" s="18" t="s">
        <v>1354</v>
      </c>
      <c r="K95" s="17" t="s">
        <v>23</v>
      </c>
      <c r="L95" s="17" t="s">
        <v>1351</v>
      </c>
      <c r="M95" s="17" t="s">
        <v>1012</v>
      </c>
      <c r="N95" s="17" t="s">
        <v>1352</v>
      </c>
      <c r="O95" s="18" t="s">
        <v>1017</v>
      </c>
      <c r="P95" s="18" t="s">
        <v>25</v>
      </c>
      <c r="Q95" s="32">
        <f t="shared" si="2"/>
        <v>16</v>
      </c>
      <c r="R95" s="32">
        <f t="shared" si="3"/>
        <v>11</v>
      </c>
      <c r="S95" s="21" t="s">
        <v>2954</v>
      </c>
    </row>
    <row r="96" spans="1:19" x14ac:dyDescent="0.25">
      <c r="A96" s="3">
        <v>94</v>
      </c>
      <c r="B96" s="3" t="s">
        <v>490</v>
      </c>
      <c r="C96" s="17" t="s">
        <v>591</v>
      </c>
      <c r="D96" s="17" t="s">
        <v>1011</v>
      </c>
      <c r="E96" s="17" t="s">
        <v>2955</v>
      </c>
      <c r="F96" s="17" t="s">
        <v>1355</v>
      </c>
      <c r="G96" s="17" t="s">
        <v>94</v>
      </c>
      <c r="H96" s="17" t="s">
        <v>27</v>
      </c>
      <c r="I96" s="17" t="s">
        <v>26</v>
      </c>
      <c r="J96" s="18" t="s">
        <v>1356</v>
      </c>
      <c r="K96" s="17" t="s">
        <v>23</v>
      </c>
      <c r="L96" s="17" t="s">
        <v>1357</v>
      </c>
      <c r="M96" s="17" t="s">
        <v>1012</v>
      </c>
      <c r="N96" s="17" t="s">
        <v>1358</v>
      </c>
      <c r="O96" s="18" t="s">
        <v>1017</v>
      </c>
      <c r="P96" s="18" t="s">
        <v>25</v>
      </c>
      <c r="Q96" s="32">
        <f t="shared" si="2"/>
        <v>16</v>
      </c>
      <c r="R96" s="32">
        <f t="shared" si="3"/>
        <v>15</v>
      </c>
      <c r="S96" s="21" t="s">
        <v>2915</v>
      </c>
    </row>
    <row r="97" spans="1:19" x14ac:dyDescent="0.25">
      <c r="A97" s="2">
        <v>95</v>
      </c>
      <c r="B97" s="3" t="s">
        <v>490</v>
      </c>
      <c r="C97" s="17" t="s">
        <v>592</v>
      </c>
      <c r="D97" s="17" t="s">
        <v>1011</v>
      </c>
      <c r="E97" s="17" t="s">
        <v>2955</v>
      </c>
      <c r="F97" s="17" t="s">
        <v>103</v>
      </c>
      <c r="G97" s="17" t="s">
        <v>94</v>
      </c>
      <c r="H97" s="17" t="s">
        <v>27</v>
      </c>
      <c r="I97" s="17" t="s">
        <v>28</v>
      </c>
      <c r="J97" s="18" t="s">
        <v>1359</v>
      </c>
      <c r="K97" s="17" t="s">
        <v>23</v>
      </c>
      <c r="L97" s="17" t="s">
        <v>1357</v>
      </c>
      <c r="M97" s="17" t="s">
        <v>1012</v>
      </c>
      <c r="N97" s="17" t="s">
        <v>1358</v>
      </c>
      <c r="O97" s="18" t="s">
        <v>1017</v>
      </c>
      <c r="P97" s="18" t="s">
        <v>25</v>
      </c>
      <c r="Q97" s="32">
        <f t="shared" si="2"/>
        <v>16</v>
      </c>
      <c r="R97" s="32">
        <f t="shared" si="3"/>
        <v>15</v>
      </c>
      <c r="S97" s="21" t="s">
        <v>2915</v>
      </c>
    </row>
    <row r="98" spans="1:19" x14ac:dyDescent="0.25">
      <c r="A98" s="3">
        <v>96</v>
      </c>
      <c r="B98" s="3" t="s">
        <v>490</v>
      </c>
      <c r="C98" s="17" t="s">
        <v>593</v>
      </c>
      <c r="D98" s="17" t="s">
        <v>1011</v>
      </c>
      <c r="E98" s="17" t="s">
        <v>2955</v>
      </c>
      <c r="F98" s="17" t="s">
        <v>103</v>
      </c>
      <c r="G98" s="17" t="s">
        <v>94</v>
      </c>
      <c r="H98" s="17" t="s">
        <v>27</v>
      </c>
      <c r="I98" s="17" t="s">
        <v>27</v>
      </c>
      <c r="J98" s="18" t="s">
        <v>1360</v>
      </c>
      <c r="K98" s="17" t="s">
        <v>23</v>
      </c>
      <c r="L98" s="17" t="s">
        <v>1357</v>
      </c>
      <c r="M98" s="17" t="s">
        <v>1012</v>
      </c>
      <c r="N98" s="17" t="s">
        <v>1358</v>
      </c>
      <c r="O98" s="18" t="s">
        <v>1017</v>
      </c>
      <c r="P98" s="18" t="s">
        <v>25</v>
      </c>
      <c r="Q98" s="32">
        <f t="shared" si="2"/>
        <v>16</v>
      </c>
      <c r="R98" s="32">
        <f t="shared" si="3"/>
        <v>15</v>
      </c>
      <c r="S98" s="21" t="s">
        <v>2915</v>
      </c>
    </row>
    <row r="99" spans="1:19" x14ac:dyDescent="0.25">
      <c r="A99" s="2">
        <v>97</v>
      </c>
      <c r="B99" s="3" t="s">
        <v>494</v>
      </c>
      <c r="C99" s="17" t="s">
        <v>594</v>
      </c>
      <c r="D99" s="17" t="s">
        <v>1011</v>
      </c>
      <c r="E99" s="17"/>
      <c r="F99" s="17" t="s">
        <v>90</v>
      </c>
      <c r="G99" s="17" t="s">
        <v>91</v>
      </c>
      <c r="H99" s="17" t="s">
        <v>92</v>
      </c>
      <c r="I99" s="17" t="s">
        <v>26</v>
      </c>
      <c r="J99" s="18" t="s">
        <v>93</v>
      </c>
      <c r="K99" s="17" t="s">
        <v>255</v>
      </c>
      <c r="L99" s="17" t="s">
        <v>428</v>
      </c>
      <c r="M99" s="17" t="s">
        <v>1012</v>
      </c>
      <c r="N99" s="17" t="s">
        <v>1361</v>
      </c>
      <c r="O99" s="18" t="s">
        <v>257</v>
      </c>
      <c r="P99" s="18" t="s">
        <v>258</v>
      </c>
      <c r="Q99" s="18">
        <f t="shared" si="2"/>
        <v>10</v>
      </c>
      <c r="R99" s="18">
        <f t="shared" si="3"/>
        <v>11</v>
      </c>
    </row>
    <row r="100" spans="1:19" x14ac:dyDescent="0.25">
      <c r="A100" s="3">
        <v>98</v>
      </c>
      <c r="B100" s="3" t="s">
        <v>490</v>
      </c>
      <c r="C100" s="17" t="s">
        <v>595</v>
      </c>
      <c r="D100" s="17" t="s">
        <v>1011</v>
      </c>
      <c r="E100" s="17" t="s">
        <v>2956</v>
      </c>
      <c r="F100" s="17" t="s">
        <v>90</v>
      </c>
      <c r="G100" s="17" t="s">
        <v>91</v>
      </c>
      <c r="H100" s="17" t="s">
        <v>92</v>
      </c>
      <c r="I100" s="17" t="s">
        <v>26</v>
      </c>
      <c r="J100" s="18" t="s">
        <v>93</v>
      </c>
      <c r="K100" s="17" t="s">
        <v>23</v>
      </c>
      <c r="L100" s="17" t="s">
        <v>1362</v>
      </c>
      <c r="M100" s="17" t="s">
        <v>1012</v>
      </c>
      <c r="N100" s="17" t="s">
        <v>1363</v>
      </c>
      <c r="O100" s="18" t="s">
        <v>1017</v>
      </c>
      <c r="P100" s="18" t="s">
        <v>25</v>
      </c>
      <c r="Q100" s="32">
        <f t="shared" si="2"/>
        <v>16</v>
      </c>
      <c r="R100" s="32">
        <f t="shared" si="3"/>
        <v>11</v>
      </c>
      <c r="S100" s="21" t="s">
        <v>2957</v>
      </c>
    </row>
    <row r="101" spans="1:19" x14ac:dyDescent="0.25">
      <c r="A101" s="2">
        <v>99</v>
      </c>
      <c r="B101" s="3" t="s">
        <v>494</v>
      </c>
      <c r="C101" s="17" t="s">
        <v>596</v>
      </c>
      <c r="D101" s="17" t="s">
        <v>1011</v>
      </c>
      <c r="E101" s="17"/>
      <c r="F101" s="17" t="s">
        <v>423</v>
      </c>
      <c r="G101" s="17" t="s">
        <v>424</v>
      </c>
      <c r="H101" s="17" t="s">
        <v>40</v>
      </c>
      <c r="I101" s="17" t="s">
        <v>26</v>
      </c>
      <c r="J101" s="18" t="s">
        <v>425</v>
      </c>
      <c r="K101" s="17" t="s">
        <v>255</v>
      </c>
      <c r="L101" s="17" t="s">
        <v>426</v>
      </c>
      <c r="M101" s="17" t="s">
        <v>1012</v>
      </c>
      <c r="N101" s="17" t="s">
        <v>1364</v>
      </c>
      <c r="O101" s="18" t="s">
        <v>257</v>
      </c>
      <c r="P101" s="18" t="s">
        <v>258</v>
      </c>
      <c r="Q101" s="18">
        <f t="shared" si="2"/>
        <v>10</v>
      </c>
      <c r="R101" s="18">
        <f t="shared" si="3"/>
        <v>11</v>
      </c>
    </row>
    <row r="102" spans="1:19" x14ac:dyDescent="0.25">
      <c r="A102" s="3">
        <v>100</v>
      </c>
      <c r="B102" s="3" t="s">
        <v>490</v>
      </c>
      <c r="C102" s="17" t="s">
        <v>597</v>
      </c>
      <c r="D102" s="17" t="s">
        <v>1011</v>
      </c>
      <c r="E102" s="17" t="s">
        <v>2958</v>
      </c>
      <c r="F102" s="17" t="s">
        <v>1365</v>
      </c>
      <c r="G102" s="17" t="s">
        <v>1366</v>
      </c>
      <c r="H102" s="17" t="s">
        <v>22</v>
      </c>
      <c r="I102" s="17" t="s">
        <v>26</v>
      </c>
      <c r="J102" s="18" t="s">
        <v>1367</v>
      </c>
      <c r="K102" s="17" t="s">
        <v>23</v>
      </c>
      <c r="L102" s="17" t="s">
        <v>1368</v>
      </c>
      <c r="M102" s="17" t="s">
        <v>1012</v>
      </c>
      <c r="N102" s="17" t="s">
        <v>1369</v>
      </c>
      <c r="O102" s="18" t="s">
        <v>1017</v>
      </c>
      <c r="P102" s="18" t="s">
        <v>25</v>
      </c>
      <c r="Q102" s="32">
        <f t="shared" si="2"/>
        <v>16</v>
      </c>
      <c r="R102" s="32">
        <f t="shared" si="3"/>
        <v>14</v>
      </c>
      <c r="S102" s="21" t="s">
        <v>2906</v>
      </c>
    </row>
    <row r="103" spans="1:19" x14ac:dyDescent="0.25">
      <c r="A103" s="2">
        <v>101</v>
      </c>
      <c r="B103" s="3" t="s">
        <v>490</v>
      </c>
      <c r="C103" s="17" t="s">
        <v>598</v>
      </c>
      <c r="D103" s="17" t="s">
        <v>1011</v>
      </c>
      <c r="E103" s="17" t="s">
        <v>2958</v>
      </c>
      <c r="F103" s="17" t="s">
        <v>1370</v>
      </c>
      <c r="G103" s="17" t="s">
        <v>1366</v>
      </c>
      <c r="H103" s="17" t="s">
        <v>27</v>
      </c>
      <c r="I103" s="17" t="s">
        <v>26</v>
      </c>
      <c r="J103" s="18" t="s">
        <v>1371</v>
      </c>
      <c r="K103" s="17" t="s">
        <v>23</v>
      </c>
      <c r="L103" s="17" t="s">
        <v>1372</v>
      </c>
      <c r="M103" s="17" t="s">
        <v>1012</v>
      </c>
      <c r="N103" s="17" t="s">
        <v>1373</v>
      </c>
      <c r="O103" s="18" t="s">
        <v>1017</v>
      </c>
      <c r="P103" s="18" t="s">
        <v>25</v>
      </c>
      <c r="Q103" s="32">
        <f t="shared" si="2"/>
        <v>16</v>
      </c>
      <c r="R103" s="32">
        <f t="shared" si="3"/>
        <v>14</v>
      </c>
      <c r="S103" s="21" t="s">
        <v>2899</v>
      </c>
    </row>
    <row r="104" spans="1:19" x14ac:dyDescent="0.25">
      <c r="A104" s="3">
        <v>102</v>
      </c>
      <c r="B104" s="3" t="s">
        <v>490</v>
      </c>
      <c r="C104" s="17" t="s">
        <v>599</v>
      </c>
      <c r="D104" s="17" t="s">
        <v>1011</v>
      </c>
      <c r="E104" s="17" t="s">
        <v>2958</v>
      </c>
      <c r="F104" s="17" t="s">
        <v>103</v>
      </c>
      <c r="G104" s="17" t="s">
        <v>1366</v>
      </c>
      <c r="H104" s="17" t="s">
        <v>27</v>
      </c>
      <c r="I104" s="17" t="s">
        <v>22</v>
      </c>
      <c r="J104" s="18" t="s">
        <v>1374</v>
      </c>
      <c r="K104" s="17" t="s">
        <v>23</v>
      </c>
      <c r="L104" s="17" t="s">
        <v>1372</v>
      </c>
      <c r="M104" s="17" t="s">
        <v>1012</v>
      </c>
      <c r="N104" s="17" t="s">
        <v>1373</v>
      </c>
      <c r="O104" s="18" t="s">
        <v>1017</v>
      </c>
      <c r="P104" s="18" t="s">
        <v>25</v>
      </c>
      <c r="Q104" s="32">
        <f t="shared" si="2"/>
        <v>16</v>
      </c>
      <c r="R104" s="32">
        <f t="shared" si="3"/>
        <v>14</v>
      </c>
      <c r="S104" s="21" t="s">
        <v>2899</v>
      </c>
    </row>
    <row r="105" spans="1:19" x14ac:dyDescent="0.25">
      <c r="A105" s="2">
        <v>103</v>
      </c>
      <c r="B105" s="3" t="s">
        <v>490</v>
      </c>
      <c r="C105" s="17" t="s">
        <v>600</v>
      </c>
      <c r="D105" s="17" t="s">
        <v>1011</v>
      </c>
      <c r="E105" s="17" t="s">
        <v>2958</v>
      </c>
      <c r="F105" s="17" t="s">
        <v>103</v>
      </c>
      <c r="G105" s="17" t="s">
        <v>1366</v>
      </c>
      <c r="H105" s="17" t="s">
        <v>27</v>
      </c>
      <c r="I105" s="17" t="s">
        <v>28</v>
      </c>
      <c r="J105" s="18" t="s">
        <v>1375</v>
      </c>
      <c r="K105" s="17" t="s">
        <v>23</v>
      </c>
      <c r="L105" s="17" t="s">
        <v>1372</v>
      </c>
      <c r="M105" s="17" t="s">
        <v>1012</v>
      </c>
      <c r="N105" s="17" t="s">
        <v>1373</v>
      </c>
      <c r="O105" s="18" t="s">
        <v>1017</v>
      </c>
      <c r="P105" s="18" t="s">
        <v>25</v>
      </c>
      <c r="Q105" s="32">
        <f t="shared" si="2"/>
        <v>16</v>
      </c>
      <c r="R105" s="32">
        <f t="shared" si="3"/>
        <v>14</v>
      </c>
      <c r="S105" s="21" t="s">
        <v>2899</v>
      </c>
    </row>
    <row r="106" spans="1:19" x14ac:dyDescent="0.25">
      <c r="A106" s="3">
        <v>104</v>
      </c>
      <c r="B106" s="3" t="s">
        <v>490</v>
      </c>
      <c r="C106" s="17" t="s">
        <v>601</v>
      </c>
      <c r="D106" s="17" t="s">
        <v>1011</v>
      </c>
      <c r="E106" s="17" t="s">
        <v>2959</v>
      </c>
      <c r="F106" s="17" t="s">
        <v>1376</v>
      </c>
      <c r="G106" s="17" t="s">
        <v>1377</v>
      </c>
      <c r="H106" s="17" t="s">
        <v>1115</v>
      </c>
      <c r="I106" s="17" t="s">
        <v>26</v>
      </c>
      <c r="J106" s="18" t="s">
        <v>1378</v>
      </c>
      <c r="K106" s="17" t="s">
        <v>23</v>
      </c>
      <c r="L106" s="17" t="s">
        <v>1379</v>
      </c>
      <c r="M106" s="17" t="s">
        <v>1012</v>
      </c>
      <c r="N106" s="17" t="s">
        <v>1380</v>
      </c>
      <c r="O106" s="18" t="s">
        <v>1017</v>
      </c>
      <c r="P106" s="18" t="s">
        <v>25</v>
      </c>
      <c r="Q106" s="32">
        <f t="shared" si="2"/>
        <v>16</v>
      </c>
      <c r="R106" s="32">
        <f t="shared" si="3"/>
        <v>10</v>
      </c>
      <c r="S106" s="21" t="s">
        <v>2915</v>
      </c>
    </row>
    <row r="107" spans="1:19" x14ac:dyDescent="0.25">
      <c r="A107" s="2">
        <v>105</v>
      </c>
      <c r="B107" s="3" t="s">
        <v>494</v>
      </c>
      <c r="C107" s="17" t="s">
        <v>602</v>
      </c>
      <c r="D107" s="17" t="s">
        <v>1011</v>
      </c>
      <c r="E107" s="17"/>
      <c r="F107" s="17" t="s">
        <v>419</v>
      </c>
      <c r="G107" s="17" t="s">
        <v>87</v>
      </c>
      <c r="H107" s="17" t="s">
        <v>71</v>
      </c>
      <c r="I107" s="17" t="s">
        <v>26</v>
      </c>
      <c r="J107" s="18" t="s">
        <v>420</v>
      </c>
      <c r="K107" s="17" t="s">
        <v>255</v>
      </c>
      <c r="L107" s="17" t="s">
        <v>421</v>
      </c>
      <c r="M107" s="17" t="s">
        <v>1012</v>
      </c>
      <c r="N107" s="17"/>
      <c r="O107" s="18" t="s">
        <v>257</v>
      </c>
      <c r="P107" s="18" t="s">
        <v>258</v>
      </c>
      <c r="Q107" s="18">
        <f t="shared" si="2"/>
        <v>9</v>
      </c>
      <c r="R107" s="18">
        <f t="shared" si="3"/>
        <v>0</v>
      </c>
    </row>
    <row r="108" spans="1:19" x14ac:dyDescent="0.25">
      <c r="A108" s="3">
        <v>106</v>
      </c>
      <c r="B108" s="3" t="s">
        <v>490</v>
      </c>
      <c r="C108" s="17" t="s">
        <v>603</v>
      </c>
      <c r="D108" s="17" t="s">
        <v>1011</v>
      </c>
      <c r="E108" s="17" t="s">
        <v>2960</v>
      </c>
      <c r="F108" s="17" t="s">
        <v>1381</v>
      </c>
      <c r="G108" s="17" t="s">
        <v>87</v>
      </c>
      <c r="H108" s="17" t="s">
        <v>72</v>
      </c>
      <c r="I108" s="17" t="s">
        <v>26</v>
      </c>
      <c r="J108" s="18" t="s">
        <v>1382</v>
      </c>
      <c r="K108" s="17" t="s">
        <v>23</v>
      </c>
      <c r="L108" s="17" t="s">
        <v>1383</v>
      </c>
      <c r="M108" s="17" t="s">
        <v>1012</v>
      </c>
      <c r="N108" s="17" t="s">
        <v>1384</v>
      </c>
      <c r="O108" s="18" t="s">
        <v>1017</v>
      </c>
      <c r="P108" s="18" t="s">
        <v>25</v>
      </c>
      <c r="Q108" s="32">
        <f t="shared" si="2"/>
        <v>16</v>
      </c>
      <c r="R108" s="32">
        <f t="shared" si="3"/>
        <v>15</v>
      </c>
      <c r="S108" s="21" t="s">
        <v>2961</v>
      </c>
    </row>
    <row r="109" spans="1:19" x14ac:dyDescent="0.25">
      <c r="A109" s="2">
        <v>107</v>
      </c>
      <c r="B109" s="3" t="s">
        <v>490</v>
      </c>
      <c r="C109" s="17" t="s">
        <v>604</v>
      </c>
      <c r="D109" s="17" t="s">
        <v>1011</v>
      </c>
      <c r="E109" s="17" t="s">
        <v>2960</v>
      </c>
      <c r="F109" s="17" t="s">
        <v>1385</v>
      </c>
      <c r="G109" s="17" t="s">
        <v>87</v>
      </c>
      <c r="H109" s="17" t="s">
        <v>40</v>
      </c>
      <c r="I109" s="17" t="s">
        <v>26</v>
      </c>
      <c r="J109" s="18" t="s">
        <v>1386</v>
      </c>
      <c r="K109" s="17" t="s">
        <v>23</v>
      </c>
      <c r="L109" s="17" t="s">
        <v>1383</v>
      </c>
      <c r="M109" s="17" t="s">
        <v>1012</v>
      </c>
      <c r="N109" s="17" t="s">
        <v>1384</v>
      </c>
      <c r="O109" s="18" t="s">
        <v>1017</v>
      </c>
      <c r="P109" s="18" t="s">
        <v>25</v>
      </c>
      <c r="Q109" s="32">
        <f t="shared" si="2"/>
        <v>16</v>
      </c>
      <c r="R109" s="32">
        <f t="shared" si="3"/>
        <v>15</v>
      </c>
      <c r="S109" s="21" t="s">
        <v>2961</v>
      </c>
    </row>
    <row r="110" spans="1:19" x14ac:dyDescent="0.25">
      <c r="A110" s="3">
        <v>108</v>
      </c>
      <c r="B110" s="3" t="s">
        <v>494</v>
      </c>
      <c r="C110" s="17" t="s">
        <v>605</v>
      </c>
      <c r="D110" s="17" t="s">
        <v>1011</v>
      </c>
      <c r="E110" s="17"/>
      <c r="F110" s="17" t="s">
        <v>1387</v>
      </c>
      <c r="G110" s="17" t="s">
        <v>1388</v>
      </c>
      <c r="H110" s="17" t="s">
        <v>1389</v>
      </c>
      <c r="I110" s="17" t="s">
        <v>26</v>
      </c>
      <c r="J110" s="18" t="s">
        <v>1390</v>
      </c>
      <c r="K110" s="17" t="s">
        <v>255</v>
      </c>
      <c r="L110" s="17" t="s">
        <v>1391</v>
      </c>
      <c r="M110" s="17" t="s">
        <v>1012</v>
      </c>
      <c r="N110" s="17" t="s">
        <v>1392</v>
      </c>
      <c r="O110" s="18" t="s">
        <v>257</v>
      </c>
      <c r="P110" s="18" t="s">
        <v>258</v>
      </c>
      <c r="Q110" s="18">
        <f t="shared" si="2"/>
        <v>10</v>
      </c>
      <c r="R110" s="18">
        <f t="shared" si="3"/>
        <v>11</v>
      </c>
    </row>
    <row r="111" spans="1:19" x14ac:dyDescent="0.25">
      <c r="A111" s="2">
        <v>109</v>
      </c>
      <c r="B111" s="3" t="s">
        <v>490</v>
      </c>
      <c r="C111" s="17" t="s">
        <v>606</v>
      </c>
      <c r="D111" s="17" t="s">
        <v>1011</v>
      </c>
      <c r="E111" s="17" t="s">
        <v>2962</v>
      </c>
      <c r="F111" s="17" t="s">
        <v>1393</v>
      </c>
      <c r="G111" s="17" t="s">
        <v>1394</v>
      </c>
      <c r="H111" s="17" t="s">
        <v>1395</v>
      </c>
      <c r="I111" s="17" t="s">
        <v>26</v>
      </c>
      <c r="J111" s="18" t="s">
        <v>1396</v>
      </c>
      <c r="K111" s="17" t="s">
        <v>23</v>
      </c>
      <c r="L111" s="17" t="s">
        <v>1397</v>
      </c>
      <c r="M111" s="17" t="s">
        <v>1012</v>
      </c>
      <c r="N111" s="17" t="s">
        <v>1398</v>
      </c>
      <c r="O111" s="18" t="s">
        <v>1017</v>
      </c>
      <c r="P111" s="18" t="s">
        <v>25</v>
      </c>
      <c r="Q111" s="32">
        <f t="shared" si="2"/>
        <v>16</v>
      </c>
      <c r="R111" s="32">
        <f t="shared" si="3"/>
        <v>14</v>
      </c>
      <c r="S111" s="21" t="s">
        <v>2963</v>
      </c>
    </row>
    <row r="112" spans="1:19" x14ac:dyDescent="0.25">
      <c r="A112" s="3">
        <v>110</v>
      </c>
      <c r="B112" s="3" t="s">
        <v>490</v>
      </c>
      <c r="C112" s="17" t="s">
        <v>607</v>
      </c>
      <c r="D112" s="17" t="s">
        <v>1011</v>
      </c>
      <c r="E112" s="17" t="s">
        <v>2964</v>
      </c>
      <c r="F112" s="17" t="s">
        <v>1399</v>
      </c>
      <c r="G112" s="17" t="s">
        <v>1400</v>
      </c>
      <c r="H112" s="17" t="s">
        <v>1401</v>
      </c>
      <c r="I112" s="17" t="s">
        <v>22</v>
      </c>
      <c r="J112" s="18" t="s">
        <v>1402</v>
      </c>
      <c r="K112" s="17" t="s">
        <v>23</v>
      </c>
      <c r="L112" s="17" t="s">
        <v>1403</v>
      </c>
      <c r="M112" s="17" t="s">
        <v>1012</v>
      </c>
      <c r="N112" s="17" t="s">
        <v>1404</v>
      </c>
      <c r="O112" s="18" t="s">
        <v>1017</v>
      </c>
      <c r="P112" s="18" t="s">
        <v>25</v>
      </c>
      <c r="Q112" s="32">
        <f t="shared" si="2"/>
        <v>16</v>
      </c>
      <c r="R112" s="32">
        <f t="shared" si="3"/>
        <v>15</v>
      </c>
      <c r="S112" s="21" t="s">
        <v>2965</v>
      </c>
    </row>
    <row r="113" spans="1:19" x14ac:dyDescent="0.25">
      <c r="A113" s="2">
        <v>111</v>
      </c>
      <c r="B113" s="3" t="s">
        <v>494</v>
      </c>
      <c r="C113" s="17" t="s">
        <v>608</v>
      </c>
      <c r="D113" s="17" t="s">
        <v>1011</v>
      </c>
      <c r="E113" s="17"/>
      <c r="F113" s="17" t="s">
        <v>404</v>
      </c>
      <c r="G113" s="17" t="s">
        <v>405</v>
      </c>
      <c r="H113" s="17" t="s">
        <v>36</v>
      </c>
      <c r="I113" s="17" t="s">
        <v>26</v>
      </c>
      <c r="J113" s="18" t="s">
        <v>406</v>
      </c>
      <c r="K113" s="17" t="s">
        <v>255</v>
      </c>
      <c r="L113" s="17" t="s">
        <v>407</v>
      </c>
      <c r="M113" s="17" t="s">
        <v>1012</v>
      </c>
      <c r="N113" s="17" t="s">
        <v>1405</v>
      </c>
      <c r="O113" s="18" t="s">
        <v>257</v>
      </c>
      <c r="P113" s="18" t="s">
        <v>258</v>
      </c>
      <c r="Q113" s="18">
        <f t="shared" si="2"/>
        <v>10</v>
      </c>
      <c r="R113" s="18">
        <f t="shared" si="3"/>
        <v>11</v>
      </c>
    </row>
    <row r="114" spans="1:19" x14ac:dyDescent="0.25">
      <c r="A114" s="3">
        <v>112</v>
      </c>
      <c r="B114" s="3" t="s">
        <v>490</v>
      </c>
      <c r="C114" s="17" t="s">
        <v>609</v>
      </c>
      <c r="D114" s="17" t="s">
        <v>1011</v>
      </c>
      <c r="E114" s="17" t="s">
        <v>2966</v>
      </c>
      <c r="F114" s="17" t="s">
        <v>1406</v>
      </c>
      <c r="G114" s="17" t="s">
        <v>85</v>
      </c>
      <c r="H114" s="17" t="s">
        <v>1407</v>
      </c>
      <c r="I114" s="17" t="s">
        <v>26</v>
      </c>
      <c r="J114" s="18" t="s">
        <v>1408</v>
      </c>
      <c r="K114" s="17" t="s">
        <v>23</v>
      </c>
      <c r="L114" s="17" t="s">
        <v>1409</v>
      </c>
      <c r="M114" s="17" t="s">
        <v>1012</v>
      </c>
      <c r="N114" s="17" t="s">
        <v>1410</v>
      </c>
      <c r="O114" s="18" t="s">
        <v>1017</v>
      </c>
      <c r="P114" s="18" t="s">
        <v>25</v>
      </c>
      <c r="Q114" s="32">
        <f t="shared" si="2"/>
        <v>16</v>
      </c>
      <c r="R114" s="32">
        <f t="shared" si="3"/>
        <v>11</v>
      </c>
      <c r="S114" s="21" t="s">
        <v>2915</v>
      </c>
    </row>
    <row r="115" spans="1:19" x14ac:dyDescent="0.25">
      <c r="A115" s="2">
        <v>113</v>
      </c>
      <c r="B115" s="3" t="s">
        <v>490</v>
      </c>
      <c r="C115" s="17" t="s">
        <v>610</v>
      </c>
      <c r="D115" s="17" t="s">
        <v>1011</v>
      </c>
      <c r="E115" s="17" t="s">
        <v>2966</v>
      </c>
      <c r="F115" s="17" t="s">
        <v>1411</v>
      </c>
      <c r="G115" s="17" t="s">
        <v>85</v>
      </c>
      <c r="H115" s="17" t="s">
        <v>1407</v>
      </c>
      <c r="I115" s="17" t="s">
        <v>22</v>
      </c>
      <c r="J115" s="18" t="s">
        <v>1412</v>
      </c>
      <c r="K115" s="17" t="s">
        <v>23</v>
      </c>
      <c r="L115" s="17" t="s">
        <v>1409</v>
      </c>
      <c r="M115" s="17" t="s">
        <v>1012</v>
      </c>
      <c r="N115" s="17" t="s">
        <v>1410</v>
      </c>
      <c r="O115" s="18" t="s">
        <v>1017</v>
      </c>
      <c r="P115" s="18" t="s">
        <v>25</v>
      </c>
      <c r="Q115" s="32">
        <f t="shared" si="2"/>
        <v>16</v>
      </c>
      <c r="R115" s="32">
        <f t="shared" si="3"/>
        <v>11</v>
      </c>
      <c r="S115" s="21" t="s">
        <v>2915</v>
      </c>
    </row>
    <row r="116" spans="1:19" x14ac:dyDescent="0.25">
      <c r="A116" s="3">
        <v>114</v>
      </c>
      <c r="B116" s="3" t="s">
        <v>490</v>
      </c>
      <c r="C116" s="17" t="s">
        <v>611</v>
      </c>
      <c r="D116" s="17" t="s">
        <v>1011</v>
      </c>
      <c r="E116" s="17" t="s">
        <v>2967</v>
      </c>
      <c r="F116" s="17" t="s">
        <v>1413</v>
      </c>
      <c r="G116" s="17" t="s">
        <v>1414</v>
      </c>
      <c r="H116" s="17" t="s">
        <v>73</v>
      </c>
      <c r="I116" s="17" t="s">
        <v>26</v>
      </c>
      <c r="J116" s="18" t="s">
        <v>1415</v>
      </c>
      <c r="K116" s="17" t="s">
        <v>23</v>
      </c>
      <c r="L116" s="17" t="s">
        <v>1416</v>
      </c>
      <c r="M116" s="17" t="s">
        <v>1012</v>
      </c>
      <c r="N116" s="17" t="s">
        <v>1417</v>
      </c>
      <c r="O116" s="18" t="s">
        <v>1017</v>
      </c>
      <c r="P116" s="18" t="s">
        <v>25</v>
      </c>
      <c r="Q116" s="32">
        <f t="shared" si="2"/>
        <v>16</v>
      </c>
      <c r="R116" s="32">
        <f t="shared" si="3"/>
        <v>11</v>
      </c>
      <c r="S116" s="21" t="s">
        <v>2968</v>
      </c>
    </row>
    <row r="117" spans="1:19" x14ac:dyDescent="0.25">
      <c r="A117" s="2">
        <v>115</v>
      </c>
      <c r="B117" s="3" t="s">
        <v>490</v>
      </c>
      <c r="C117" s="17" t="s">
        <v>612</v>
      </c>
      <c r="D117" s="17" t="s">
        <v>1011</v>
      </c>
      <c r="E117" s="17" t="s">
        <v>2969</v>
      </c>
      <c r="F117" s="17" t="s">
        <v>1418</v>
      </c>
      <c r="G117" s="17" t="s">
        <v>1419</v>
      </c>
      <c r="H117" s="17" t="s">
        <v>35</v>
      </c>
      <c r="I117" s="17" t="s">
        <v>26</v>
      </c>
      <c r="J117" s="18" t="s">
        <v>1420</v>
      </c>
      <c r="K117" s="17" t="s">
        <v>23</v>
      </c>
      <c r="L117" s="17" t="s">
        <v>1421</v>
      </c>
      <c r="M117" s="17" t="s">
        <v>1012</v>
      </c>
      <c r="N117" s="17" t="s">
        <v>1422</v>
      </c>
      <c r="O117" s="18" t="s">
        <v>1017</v>
      </c>
      <c r="P117" s="18" t="s">
        <v>25</v>
      </c>
      <c r="Q117" s="32">
        <f t="shared" si="2"/>
        <v>16</v>
      </c>
      <c r="R117" s="32">
        <f t="shared" si="3"/>
        <v>13</v>
      </c>
      <c r="S117" s="21" t="s">
        <v>2915</v>
      </c>
    </row>
    <row r="118" spans="1:19" x14ac:dyDescent="0.25">
      <c r="A118" s="3">
        <v>116</v>
      </c>
      <c r="B118" s="3" t="s">
        <v>490</v>
      </c>
      <c r="C118" s="17" t="s">
        <v>613</v>
      </c>
      <c r="D118" s="17" t="s">
        <v>1011</v>
      </c>
      <c r="E118" s="17" t="s">
        <v>2969</v>
      </c>
      <c r="F118" s="17" t="s">
        <v>103</v>
      </c>
      <c r="G118" s="17" t="s">
        <v>1419</v>
      </c>
      <c r="H118" s="17" t="s">
        <v>35</v>
      </c>
      <c r="I118" s="17" t="s">
        <v>22</v>
      </c>
      <c r="J118" s="18" t="s">
        <v>1423</v>
      </c>
      <c r="K118" s="17" t="s">
        <v>23</v>
      </c>
      <c r="L118" s="17" t="s">
        <v>1421</v>
      </c>
      <c r="M118" s="17" t="s">
        <v>1012</v>
      </c>
      <c r="N118" s="17" t="s">
        <v>1422</v>
      </c>
      <c r="O118" s="18" t="s">
        <v>1017</v>
      </c>
      <c r="P118" s="18" t="s">
        <v>25</v>
      </c>
      <c r="Q118" s="32">
        <f t="shared" si="2"/>
        <v>16</v>
      </c>
      <c r="R118" s="32">
        <f t="shared" si="3"/>
        <v>13</v>
      </c>
      <c r="S118" s="21" t="s">
        <v>2915</v>
      </c>
    </row>
    <row r="119" spans="1:19" x14ac:dyDescent="0.25">
      <c r="A119" s="2">
        <v>117</v>
      </c>
      <c r="B119" s="3" t="s">
        <v>490</v>
      </c>
      <c r="C119" s="17" t="s">
        <v>614</v>
      </c>
      <c r="D119" s="17" t="s">
        <v>1011</v>
      </c>
      <c r="E119" s="17" t="s">
        <v>2970</v>
      </c>
      <c r="F119" s="17" t="s">
        <v>1424</v>
      </c>
      <c r="G119" s="17" t="s">
        <v>1425</v>
      </c>
      <c r="H119" s="17" t="s">
        <v>84</v>
      </c>
      <c r="I119" s="17" t="s">
        <v>26</v>
      </c>
      <c r="J119" s="18" t="s">
        <v>1426</v>
      </c>
      <c r="K119" s="17" t="s">
        <v>23</v>
      </c>
      <c r="L119" s="17" t="s">
        <v>1427</v>
      </c>
      <c r="M119" s="17" t="s">
        <v>1012</v>
      </c>
      <c r="N119" s="17" t="s">
        <v>1428</v>
      </c>
      <c r="O119" s="18" t="s">
        <v>1017</v>
      </c>
      <c r="P119" s="18" t="s">
        <v>25</v>
      </c>
      <c r="Q119" s="32">
        <f t="shared" si="2"/>
        <v>16</v>
      </c>
      <c r="R119" s="32">
        <f t="shared" si="3"/>
        <v>14</v>
      </c>
      <c r="S119" s="21" t="s">
        <v>2906</v>
      </c>
    </row>
    <row r="120" spans="1:19" x14ac:dyDescent="0.25">
      <c r="A120" s="3">
        <v>118</v>
      </c>
      <c r="B120" s="3" t="s">
        <v>490</v>
      </c>
      <c r="C120" s="17" t="s">
        <v>615</v>
      </c>
      <c r="D120" s="17" t="s">
        <v>1011</v>
      </c>
      <c r="E120" s="17" t="s">
        <v>2970</v>
      </c>
      <c r="F120" s="17" t="s">
        <v>103</v>
      </c>
      <c r="G120" s="17" t="s">
        <v>1425</v>
      </c>
      <c r="H120" s="17" t="s">
        <v>84</v>
      </c>
      <c r="I120" s="17" t="s">
        <v>28</v>
      </c>
      <c r="J120" s="18" t="s">
        <v>1429</v>
      </c>
      <c r="K120" s="17" t="s">
        <v>23</v>
      </c>
      <c r="L120" s="17" t="s">
        <v>1427</v>
      </c>
      <c r="M120" s="17" t="s">
        <v>1012</v>
      </c>
      <c r="N120" s="17" t="s">
        <v>1428</v>
      </c>
      <c r="O120" s="18" t="s">
        <v>1017</v>
      </c>
      <c r="P120" s="18" t="s">
        <v>25</v>
      </c>
      <c r="Q120" s="32">
        <f t="shared" si="2"/>
        <v>16</v>
      </c>
      <c r="R120" s="32">
        <f t="shared" si="3"/>
        <v>14</v>
      </c>
      <c r="S120" s="21" t="s">
        <v>2906</v>
      </c>
    </row>
    <row r="121" spans="1:19" x14ac:dyDescent="0.25">
      <c r="A121" s="2">
        <v>119</v>
      </c>
      <c r="B121" s="3" t="s">
        <v>490</v>
      </c>
      <c r="C121" s="17" t="s">
        <v>616</v>
      </c>
      <c r="D121" s="17" t="s">
        <v>1011</v>
      </c>
      <c r="E121" s="17" t="s">
        <v>2971</v>
      </c>
      <c r="F121" s="17" t="s">
        <v>1430</v>
      </c>
      <c r="G121" s="17" t="s">
        <v>1431</v>
      </c>
      <c r="H121" s="17" t="s">
        <v>1432</v>
      </c>
      <c r="I121" s="17" t="s">
        <v>26</v>
      </c>
      <c r="J121" s="18" t="s">
        <v>1433</v>
      </c>
      <c r="K121" s="17" t="s">
        <v>23</v>
      </c>
      <c r="L121" s="17" t="s">
        <v>1434</v>
      </c>
      <c r="M121" s="17" t="s">
        <v>1012</v>
      </c>
      <c r="N121" s="17" t="s">
        <v>1435</v>
      </c>
      <c r="O121" s="18" t="s">
        <v>1017</v>
      </c>
      <c r="P121" s="18" t="s">
        <v>25</v>
      </c>
      <c r="Q121" s="32">
        <f t="shared" si="2"/>
        <v>16</v>
      </c>
      <c r="R121" s="32">
        <f t="shared" si="3"/>
        <v>14</v>
      </c>
      <c r="S121" s="21" t="s">
        <v>2972</v>
      </c>
    </row>
    <row r="122" spans="1:19" x14ac:dyDescent="0.25">
      <c r="A122" s="3">
        <v>120</v>
      </c>
      <c r="B122" s="3" t="s">
        <v>490</v>
      </c>
      <c r="C122" s="17" t="s">
        <v>617</v>
      </c>
      <c r="D122" s="17" t="s">
        <v>1011</v>
      </c>
      <c r="E122" s="17" t="s">
        <v>2973</v>
      </c>
      <c r="F122" s="17" t="s">
        <v>1436</v>
      </c>
      <c r="G122" s="17" t="s">
        <v>1437</v>
      </c>
      <c r="H122" s="17" t="s">
        <v>22</v>
      </c>
      <c r="I122" s="17" t="s">
        <v>26</v>
      </c>
      <c r="J122" s="18" t="s">
        <v>1438</v>
      </c>
      <c r="K122" s="17" t="s">
        <v>23</v>
      </c>
      <c r="L122" s="17" t="s">
        <v>1439</v>
      </c>
      <c r="M122" s="17" t="s">
        <v>1012</v>
      </c>
      <c r="N122" s="17" t="s">
        <v>1440</v>
      </c>
      <c r="O122" s="18" t="s">
        <v>1017</v>
      </c>
      <c r="P122" s="18" t="s">
        <v>25</v>
      </c>
      <c r="Q122" s="32">
        <f t="shared" si="2"/>
        <v>16</v>
      </c>
      <c r="R122" s="32">
        <f t="shared" si="3"/>
        <v>13</v>
      </c>
      <c r="S122" s="21" t="s">
        <v>2906</v>
      </c>
    </row>
    <row r="123" spans="1:19" x14ac:dyDescent="0.25">
      <c r="A123" s="2">
        <v>121</v>
      </c>
      <c r="B123" s="3" t="s">
        <v>490</v>
      </c>
      <c r="C123" s="17" t="s">
        <v>618</v>
      </c>
      <c r="D123" s="17" t="s">
        <v>1011</v>
      </c>
      <c r="E123" s="17" t="s">
        <v>2973</v>
      </c>
      <c r="F123" s="17" t="s">
        <v>1441</v>
      </c>
      <c r="G123" s="17" t="s">
        <v>1437</v>
      </c>
      <c r="H123" s="17" t="s">
        <v>22</v>
      </c>
      <c r="I123" s="17" t="s">
        <v>22</v>
      </c>
      <c r="J123" s="18" t="s">
        <v>1442</v>
      </c>
      <c r="K123" s="17" t="s">
        <v>23</v>
      </c>
      <c r="L123" s="17" t="s">
        <v>1439</v>
      </c>
      <c r="M123" s="17" t="s">
        <v>1012</v>
      </c>
      <c r="N123" s="17" t="s">
        <v>1440</v>
      </c>
      <c r="O123" s="18" t="s">
        <v>1017</v>
      </c>
      <c r="P123" s="18" t="s">
        <v>25</v>
      </c>
      <c r="Q123" s="32">
        <f t="shared" si="2"/>
        <v>16</v>
      </c>
      <c r="R123" s="32">
        <f t="shared" si="3"/>
        <v>13</v>
      </c>
      <c r="S123" s="21" t="s">
        <v>2906</v>
      </c>
    </row>
    <row r="124" spans="1:19" x14ac:dyDescent="0.25">
      <c r="A124" s="3">
        <v>122</v>
      </c>
      <c r="B124" s="3" t="s">
        <v>494</v>
      </c>
      <c r="C124" s="17" t="s">
        <v>619</v>
      </c>
      <c r="D124" s="17" t="s">
        <v>1011</v>
      </c>
      <c r="E124" s="17"/>
      <c r="F124" s="17" t="s">
        <v>1443</v>
      </c>
      <c r="G124" s="17" t="s">
        <v>1444</v>
      </c>
      <c r="H124" s="17" t="s">
        <v>121</v>
      </c>
      <c r="I124" s="17" t="s">
        <v>26</v>
      </c>
      <c r="J124" s="18" t="s">
        <v>1445</v>
      </c>
      <c r="K124" s="17" t="s">
        <v>255</v>
      </c>
      <c r="L124" s="17" t="s">
        <v>1446</v>
      </c>
      <c r="M124" s="17" t="s">
        <v>1012</v>
      </c>
      <c r="N124" s="17" t="s">
        <v>1447</v>
      </c>
      <c r="O124" s="18" t="s">
        <v>257</v>
      </c>
      <c r="P124" s="18" t="s">
        <v>258</v>
      </c>
      <c r="Q124" s="18">
        <f t="shared" si="2"/>
        <v>10</v>
      </c>
      <c r="R124" s="18">
        <f t="shared" si="3"/>
        <v>11</v>
      </c>
    </row>
    <row r="125" spans="1:19" x14ac:dyDescent="0.25">
      <c r="A125" s="2">
        <v>123</v>
      </c>
      <c r="B125" s="3" t="s">
        <v>494</v>
      </c>
      <c r="C125" s="17" t="s">
        <v>620</v>
      </c>
      <c r="D125" s="17" t="s">
        <v>1011</v>
      </c>
      <c r="E125" s="17"/>
      <c r="F125" s="17" t="s">
        <v>1448</v>
      </c>
      <c r="G125" s="17" t="s">
        <v>1444</v>
      </c>
      <c r="H125" s="17" t="s">
        <v>1273</v>
      </c>
      <c r="I125" s="17" t="s">
        <v>26</v>
      </c>
      <c r="J125" s="18" t="s">
        <v>1449</v>
      </c>
      <c r="K125" s="17" t="s">
        <v>255</v>
      </c>
      <c r="L125" s="17" t="s">
        <v>1450</v>
      </c>
      <c r="M125" s="17" t="s">
        <v>1012</v>
      </c>
      <c r="N125" s="17" t="s">
        <v>1451</v>
      </c>
      <c r="O125" s="18" t="s">
        <v>257</v>
      </c>
      <c r="P125" s="18" t="s">
        <v>258</v>
      </c>
      <c r="Q125" s="18">
        <f t="shared" si="2"/>
        <v>10</v>
      </c>
      <c r="R125" s="18">
        <f t="shared" si="3"/>
        <v>11</v>
      </c>
    </row>
    <row r="126" spans="1:19" x14ac:dyDescent="0.25">
      <c r="A126" s="3">
        <v>124</v>
      </c>
      <c r="B126" s="3" t="s">
        <v>490</v>
      </c>
      <c r="C126" s="17" t="s">
        <v>621</v>
      </c>
      <c r="D126" s="17" t="s">
        <v>1011</v>
      </c>
      <c r="E126" s="17" t="s">
        <v>2974</v>
      </c>
      <c r="F126" s="17" t="s">
        <v>1452</v>
      </c>
      <c r="G126" s="17" t="s">
        <v>1453</v>
      </c>
      <c r="H126" s="17" t="s">
        <v>1034</v>
      </c>
      <c r="I126" s="17" t="s">
        <v>26</v>
      </c>
      <c r="J126" s="18" t="s">
        <v>1454</v>
      </c>
      <c r="K126" s="17" t="s">
        <v>23</v>
      </c>
      <c r="L126" s="17" t="s">
        <v>1455</v>
      </c>
      <c r="M126" s="17" t="s">
        <v>1012</v>
      </c>
      <c r="N126" s="17" t="s">
        <v>1456</v>
      </c>
      <c r="O126" s="18" t="s">
        <v>1017</v>
      </c>
      <c r="P126" s="18" t="s">
        <v>25</v>
      </c>
      <c r="Q126" s="32">
        <f t="shared" si="2"/>
        <v>16</v>
      </c>
      <c r="R126" s="32">
        <f t="shared" si="3"/>
        <v>11</v>
      </c>
      <c r="S126" s="21" t="s">
        <v>2975</v>
      </c>
    </row>
    <row r="127" spans="1:19" x14ac:dyDescent="0.25">
      <c r="A127" s="2">
        <v>125</v>
      </c>
      <c r="B127" s="3" t="s">
        <v>490</v>
      </c>
      <c r="C127" s="17" t="s">
        <v>622</v>
      </c>
      <c r="D127" s="17" t="s">
        <v>1011</v>
      </c>
      <c r="E127" s="17" t="s">
        <v>2976</v>
      </c>
      <c r="F127" s="17" t="s">
        <v>1457</v>
      </c>
      <c r="G127" s="17" t="s">
        <v>1458</v>
      </c>
      <c r="H127" s="17" t="s">
        <v>22</v>
      </c>
      <c r="I127" s="17" t="s">
        <v>26</v>
      </c>
      <c r="J127" s="18" t="s">
        <v>1459</v>
      </c>
      <c r="K127" s="17" t="s">
        <v>23</v>
      </c>
      <c r="L127" s="17" t="s">
        <v>1460</v>
      </c>
      <c r="M127" s="17" t="s">
        <v>1012</v>
      </c>
      <c r="N127" s="17" t="s">
        <v>1461</v>
      </c>
      <c r="O127" s="18" t="s">
        <v>1017</v>
      </c>
      <c r="P127" s="18" t="s">
        <v>25</v>
      </c>
      <c r="Q127" s="32">
        <f t="shared" si="2"/>
        <v>16</v>
      </c>
      <c r="R127" s="32">
        <f t="shared" si="3"/>
        <v>14</v>
      </c>
      <c r="S127" s="21" t="s">
        <v>2915</v>
      </c>
    </row>
    <row r="128" spans="1:19" x14ac:dyDescent="0.25">
      <c r="A128" s="3">
        <v>126</v>
      </c>
      <c r="B128" s="3" t="s">
        <v>490</v>
      </c>
      <c r="C128" s="17" t="s">
        <v>623</v>
      </c>
      <c r="D128" s="17" t="s">
        <v>1011</v>
      </c>
      <c r="E128" s="17" t="s">
        <v>2976</v>
      </c>
      <c r="F128" s="17" t="s">
        <v>1462</v>
      </c>
      <c r="G128" s="17" t="s">
        <v>1458</v>
      </c>
      <c r="H128" s="17" t="s">
        <v>22</v>
      </c>
      <c r="I128" s="17" t="s">
        <v>22</v>
      </c>
      <c r="J128" s="18" t="s">
        <v>1463</v>
      </c>
      <c r="K128" s="17" t="s">
        <v>23</v>
      </c>
      <c r="L128" s="17" t="s">
        <v>1460</v>
      </c>
      <c r="M128" s="17" t="s">
        <v>1012</v>
      </c>
      <c r="N128" s="17" t="s">
        <v>1461</v>
      </c>
      <c r="O128" s="18" t="s">
        <v>1017</v>
      </c>
      <c r="P128" s="18" t="s">
        <v>25</v>
      </c>
      <c r="Q128" s="32">
        <f t="shared" si="2"/>
        <v>16</v>
      </c>
      <c r="R128" s="32">
        <f t="shared" si="3"/>
        <v>14</v>
      </c>
      <c r="S128" s="21" t="s">
        <v>2915</v>
      </c>
    </row>
    <row r="129" spans="1:19" x14ac:dyDescent="0.25">
      <c r="A129" s="2">
        <v>127</v>
      </c>
      <c r="B129" s="3" t="s">
        <v>490</v>
      </c>
      <c r="C129" s="17" t="s">
        <v>624</v>
      </c>
      <c r="D129" s="17" t="s">
        <v>1011</v>
      </c>
      <c r="E129" s="17" t="s">
        <v>2976</v>
      </c>
      <c r="F129" s="17" t="s">
        <v>103</v>
      </c>
      <c r="G129" s="17" t="s">
        <v>1458</v>
      </c>
      <c r="H129" s="17" t="s">
        <v>22</v>
      </c>
      <c r="I129" s="17" t="s">
        <v>28</v>
      </c>
      <c r="J129" s="18" t="s">
        <v>1464</v>
      </c>
      <c r="K129" s="17" t="s">
        <v>23</v>
      </c>
      <c r="L129" s="17" t="s">
        <v>1460</v>
      </c>
      <c r="M129" s="17" t="s">
        <v>1012</v>
      </c>
      <c r="N129" s="17" t="s">
        <v>1461</v>
      </c>
      <c r="O129" s="18" t="s">
        <v>1017</v>
      </c>
      <c r="P129" s="18" t="s">
        <v>25</v>
      </c>
      <c r="Q129" s="32">
        <f t="shared" si="2"/>
        <v>16</v>
      </c>
      <c r="R129" s="32">
        <f t="shared" si="3"/>
        <v>14</v>
      </c>
      <c r="S129" s="21" t="s">
        <v>2915</v>
      </c>
    </row>
    <row r="130" spans="1:19" x14ac:dyDescent="0.25">
      <c r="A130" s="3">
        <v>128</v>
      </c>
      <c r="B130" s="3" t="s">
        <v>494</v>
      </c>
      <c r="C130" s="17" t="s">
        <v>625</v>
      </c>
      <c r="D130" s="17" t="s">
        <v>1011</v>
      </c>
      <c r="E130" s="17"/>
      <c r="F130" s="17" t="s">
        <v>392</v>
      </c>
      <c r="G130" s="17" t="s">
        <v>393</v>
      </c>
      <c r="H130" s="17" t="s">
        <v>42</v>
      </c>
      <c r="I130" s="17" t="s">
        <v>26</v>
      </c>
      <c r="J130" s="18" t="s">
        <v>394</v>
      </c>
      <c r="K130" s="17" t="s">
        <v>255</v>
      </c>
      <c r="L130" s="17" t="s">
        <v>395</v>
      </c>
      <c r="M130" s="17" t="s">
        <v>1012</v>
      </c>
      <c r="N130" s="17" t="s">
        <v>1465</v>
      </c>
      <c r="O130" s="18" t="s">
        <v>257</v>
      </c>
      <c r="P130" s="18" t="s">
        <v>258</v>
      </c>
      <c r="Q130" s="18">
        <f t="shared" si="2"/>
        <v>10</v>
      </c>
      <c r="R130" s="18">
        <f t="shared" si="3"/>
        <v>11</v>
      </c>
    </row>
    <row r="131" spans="1:19" x14ac:dyDescent="0.25">
      <c r="A131" s="2">
        <v>129</v>
      </c>
      <c r="B131" s="3" t="s">
        <v>494</v>
      </c>
      <c r="C131" s="17" t="s">
        <v>626</v>
      </c>
      <c r="D131" s="17" t="s">
        <v>1011</v>
      </c>
      <c r="E131" s="17"/>
      <c r="F131" s="17" t="s">
        <v>1466</v>
      </c>
      <c r="G131" s="17" t="s">
        <v>1467</v>
      </c>
      <c r="H131" s="17" t="s">
        <v>22</v>
      </c>
      <c r="I131" s="17" t="s">
        <v>26</v>
      </c>
      <c r="J131" s="18" t="s">
        <v>1468</v>
      </c>
      <c r="K131" s="17" t="s">
        <v>255</v>
      </c>
      <c r="L131" s="17" t="s">
        <v>26</v>
      </c>
      <c r="M131" s="17" t="s">
        <v>1012</v>
      </c>
      <c r="N131" s="17"/>
      <c r="O131" s="18" t="s">
        <v>257</v>
      </c>
      <c r="P131" s="18" t="s">
        <v>258</v>
      </c>
      <c r="Q131" s="18">
        <f t="shared" ref="Q131:Q194" si="4">LEN(L131)</f>
        <v>1</v>
      </c>
      <c r="R131" s="18">
        <f t="shared" ref="R131:R194" si="5">LEN(N131)</f>
        <v>0</v>
      </c>
    </row>
    <row r="132" spans="1:19" x14ac:dyDescent="0.25">
      <c r="A132" s="3">
        <v>130</v>
      </c>
      <c r="B132" s="3" t="s">
        <v>490</v>
      </c>
      <c r="C132" s="17" t="s">
        <v>627</v>
      </c>
      <c r="D132" s="17" t="s">
        <v>1011</v>
      </c>
      <c r="E132" s="17" t="s">
        <v>2977</v>
      </c>
      <c r="F132" s="17" t="s">
        <v>1469</v>
      </c>
      <c r="G132" s="17" t="s">
        <v>1470</v>
      </c>
      <c r="H132" s="17" t="s">
        <v>60</v>
      </c>
      <c r="I132" s="17" t="s">
        <v>26</v>
      </c>
      <c r="J132" s="18" t="s">
        <v>1471</v>
      </c>
      <c r="K132" s="17" t="s">
        <v>23</v>
      </c>
      <c r="L132" s="17" t="s">
        <v>1472</v>
      </c>
      <c r="M132" s="17" t="s">
        <v>1012</v>
      </c>
      <c r="N132" s="17" t="s">
        <v>1473</v>
      </c>
      <c r="O132" s="18" t="s">
        <v>1017</v>
      </c>
      <c r="P132" s="18" t="s">
        <v>25</v>
      </c>
      <c r="Q132" s="32">
        <f t="shared" si="4"/>
        <v>16</v>
      </c>
      <c r="R132" s="32">
        <f t="shared" si="5"/>
        <v>11</v>
      </c>
      <c r="S132" s="21" t="s">
        <v>2899</v>
      </c>
    </row>
    <row r="133" spans="1:19" x14ac:dyDescent="0.25">
      <c r="A133" s="2">
        <v>131</v>
      </c>
      <c r="B133" s="3" t="s">
        <v>490</v>
      </c>
      <c r="C133" s="17" t="s">
        <v>628</v>
      </c>
      <c r="D133" s="17" t="s">
        <v>1011</v>
      </c>
      <c r="E133" s="17" t="s">
        <v>2978</v>
      </c>
      <c r="F133" s="17" t="s">
        <v>1474</v>
      </c>
      <c r="G133" s="17" t="s">
        <v>1475</v>
      </c>
      <c r="H133" s="17" t="s">
        <v>82</v>
      </c>
      <c r="I133" s="17" t="s">
        <v>26</v>
      </c>
      <c r="J133" s="18" t="s">
        <v>1476</v>
      </c>
      <c r="K133" s="17" t="s">
        <v>23</v>
      </c>
      <c r="L133" s="17" t="s">
        <v>1477</v>
      </c>
      <c r="M133" s="17" t="s">
        <v>1012</v>
      </c>
      <c r="N133" s="17" t="s">
        <v>1478</v>
      </c>
      <c r="O133" s="18" t="s">
        <v>1017</v>
      </c>
      <c r="P133" s="18" t="s">
        <v>25</v>
      </c>
      <c r="Q133" s="32">
        <f t="shared" si="4"/>
        <v>16</v>
      </c>
      <c r="R133" s="32">
        <f t="shared" si="5"/>
        <v>14</v>
      </c>
      <c r="S133" s="21" t="s">
        <v>2979</v>
      </c>
    </row>
    <row r="134" spans="1:19" x14ac:dyDescent="0.25">
      <c r="A134" s="3">
        <v>132</v>
      </c>
      <c r="B134" s="3" t="s">
        <v>494</v>
      </c>
      <c r="C134" s="17" t="s">
        <v>629</v>
      </c>
      <c r="D134" s="17" t="s">
        <v>1011</v>
      </c>
      <c r="E134" s="17"/>
      <c r="F134" s="17" t="s">
        <v>1479</v>
      </c>
      <c r="G134" s="17" t="s">
        <v>1480</v>
      </c>
      <c r="H134" s="17" t="s">
        <v>28</v>
      </c>
      <c r="I134" s="17" t="s">
        <v>26</v>
      </c>
      <c r="J134" s="18" t="s">
        <v>1481</v>
      </c>
      <c r="K134" s="17" t="s">
        <v>255</v>
      </c>
      <c r="L134" s="17" t="s">
        <v>1482</v>
      </c>
      <c r="M134" s="17" t="s">
        <v>1012</v>
      </c>
      <c r="N134" s="17"/>
      <c r="O134" s="18" t="s">
        <v>257</v>
      </c>
      <c r="P134" s="18" t="s">
        <v>258</v>
      </c>
      <c r="Q134" s="18">
        <f t="shared" si="4"/>
        <v>5</v>
      </c>
      <c r="R134" s="18">
        <f t="shared" si="5"/>
        <v>0</v>
      </c>
    </row>
    <row r="135" spans="1:19" x14ac:dyDescent="0.25">
      <c r="A135" s="2">
        <v>133</v>
      </c>
      <c r="B135" s="3" t="s">
        <v>494</v>
      </c>
      <c r="C135" s="17" t="s">
        <v>630</v>
      </c>
      <c r="D135" s="17" t="s">
        <v>1011</v>
      </c>
      <c r="E135" s="17"/>
      <c r="F135" s="17" t="s">
        <v>1483</v>
      </c>
      <c r="G135" s="17" t="s">
        <v>1480</v>
      </c>
      <c r="H135" s="17" t="s">
        <v>53</v>
      </c>
      <c r="I135" s="17" t="s">
        <v>26</v>
      </c>
      <c r="J135" s="18" t="s">
        <v>1484</v>
      </c>
      <c r="K135" s="17" t="s">
        <v>255</v>
      </c>
      <c r="L135" s="17" t="s">
        <v>1485</v>
      </c>
      <c r="M135" s="17" t="s">
        <v>1012</v>
      </c>
      <c r="N135" s="17"/>
      <c r="O135" s="18" t="s">
        <v>257</v>
      </c>
      <c r="P135" s="18" t="s">
        <v>258</v>
      </c>
      <c r="Q135" s="18">
        <f t="shared" si="4"/>
        <v>4</v>
      </c>
      <c r="R135" s="18">
        <f t="shared" si="5"/>
        <v>0</v>
      </c>
    </row>
    <row r="136" spans="1:19" x14ac:dyDescent="0.25">
      <c r="A136" s="3">
        <v>134</v>
      </c>
      <c r="B136" s="3" t="s">
        <v>494</v>
      </c>
      <c r="C136" s="17" t="s">
        <v>631</v>
      </c>
      <c r="D136" s="17" t="s">
        <v>1011</v>
      </c>
      <c r="E136" s="17"/>
      <c r="F136" s="17" t="s">
        <v>1486</v>
      </c>
      <c r="G136" s="17" t="s">
        <v>1480</v>
      </c>
      <c r="H136" s="17" t="s">
        <v>37</v>
      </c>
      <c r="I136" s="17" t="s">
        <v>26</v>
      </c>
      <c r="J136" s="18" t="s">
        <v>1487</v>
      </c>
      <c r="K136" s="17" t="s">
        <v>255</v>
      </c>
      <c r="L136" s="17" t="s">
        <v>1488</v>
      </c>
      <c r="M136" s="17" t="s">
        <v>1012</v>
      </c>
      <c r="N136" s="17"/>
      <c r="O136" s="18" t="s">
        <v>257</v>
      </c>
      <c r="P136" s="18" t="s">
        <v>258</v>
      </c>
      <c r="Q136" s="18">
        <f t="shared" si="4"/>
        <v>3</v>
      </c>
      <c r="R136" s="18">
        <f t="shared" si="5"/>
        <v>0</v>
      </c>
    </row>
    <row r="137" spans="1:19" x14ac:dyDescent="0.25">
      <c r="A137" s="2">
        <v>135</v>
      </c>
      <c r="B137" s="3" t="s">
        <v>490</v>
      </c>
      <c r="C137" s="17" t="s">
        <v>632</v>
      </c>
      <c r="D137" s="17" t="s">
        <v>1011</v>
      </c>
      <c r="E137" s="17" t="s">
        <v>2980</v>
      </c>
      <c r="F137" s="17" t="s">
        <v>1489</v>
      </c>
      <c r="G137" s="17" t="s">
        <v>81</v>
      </c>
      <c r="H137" s="17" t="s">
        <v>37</v>
      </c>
      <c r="I137" s="17" t="s">
        <v>26</v>
      </c>
      <c r="J137" s="18" t="s">
        <v>1490</v>
      </c>
      <c r="K137" s="17" t="s">
        <v>23</v>
      </c>
      <c r="L137" s="17" t="s">
        <v>1491</v>
      </c>
      <c r="M137" s="17" t="s">
        <v>1012</v>
      </c>
      <c r="N137" s="17" t="s">
        <v>1492</v>
      </c>
      <c r="O137" s="18" t="s">
        <v>1017</v>
      </c>
      <c r="P137" s="18" t="s">
        <v>25</v>
      </c>
      <c r="Q137" s="32">
        <f t="shared" si="4"/>
        <v>16</v>
      </c>
      <c r="R137" s="32">
        <f t="shared" si="5"/>
        <v>11</v>
      </c>
      <c r="S137" s="21" t="s">
        <v>2981</v>
      </c>
    </row>
    <row r="138" spans="1:19" x14ac:dyDescent="0.25">
      <c r="A138" s="3">
        <v>136</v>
      </c>
      <c r="B138" s="3" t="s">
        <v>490</v>
      </c>
      <c r="C138" s="17" t="s">
        <v>633</v>
      </c>
      <c r="D138" s="17" t="s">
        <v>1011</v>
      </c>
      <c r="E138" s="17" t="s">
        <v>2982</v>
      </c>
      <c r="F138" s="17" t="s">
        <v>1493</v>
      </c>
      <c r="G138" s="17" t="s">
        <v>1494</v>
      </c>
      <c r="H138" s="17" t="s">
        <v>1495</v>
      </c>
      <c r="I138" s="17" t="s">
        <v>26</v>
      </c>
      <c r="J138" s="18" t="s">
        <v>1496</v>
      </c>
      <c r="K138" s="17" t="s">
        <v>23</v>
      </c>
      <c r="L138" s="17" t="s">
        <v>1497</v>
      </c>
      <c r="M138" s="17" t="s">
        <v>1012</v>
      </c>
      <c r="N138" s="17" t="s">
        <v>1498</v>
      </c>
      <c r="O138" s="18" t="s">
        <v>1017</v>
      </c>
      <c r="P138" s="18" t="s">
        <v>25</v>
      </c>
      <c r="Q138" s="32">
        <f t="shared" si="4"/>
        <v>16</v>
      </c>
      <c r="R138" s="32">
        <f t="shared" si="5"/>
        <v>7</v>
      </c>
      <c r="S138" s="21" t="s">
        <v>2983</v>
      </c>
    </row>
    <row r="139" spans="1:19" x14ac:dyDescent="0.25">
      <c r="A139" s="2">
        <v>137</v>
      </c>
      <c r="B139" s="3" t="s">
        <v>490</v>
      </c>
      <c r="C139" s="17" t="s">
        <v>634</v>
      </c>
      <c r="D139" s="17" t="s">
        <v>1011</v>
      </c>
      <c r="E139" s="17" t="s">
        <v>2982</v>
      </c>
      <c r="F139" s="17" t="s">
        <v>1499</v>
      </c>
      <c r="G139" s="17" t="s">
        <v>1494</v>
      </c>
      <c r="H139" s="17" t="s">
        <v>1495</v>
      </c>
      <c r="I139" s="17" t="s">
        <v>22</v>
      </c>
      <c r="J139" s="18" t="s">
        <v>1500</v>
      </c>
      <c r="K139" s="17" t="s">
        <v>23</v>
      </c>
      <c r="L139" s="17" t="s">
        <v>1497</v>
      </c>
      <c r="M139" s="17" t="s">
        <v>1012</v>
      </c>
      <c r="N139" s="17" t="s">
        <v>1498</v>
      </c>
      <c r="O139" s="18" t="s">
        <v>1017</v>
      </c>
      <c r="P139" s="18" t="s">
        <v>25</v>
      </c>
      <c r="Q139" s="32">
        <f t="shared" si="4"/>
        <v>16</v>
      </c>
      <c r="R139" s="32">
        <f t="shared" si="5"/>
        <v>7</v>
      </c>
      <c r="S139" s="21" t="s">
        <v>2915</v>
      </c>
    </row>
    <row r="140" spans="1:19" x14ac:dyDescent="0.25">
      <c r="A140" s="3">
        <v>138</v>
      </c>
      <c r="B140" s="3" t="s">
        <v>490</v>
      </c>
      <c r="C140" s="17" t="s">
        <v>635</v>
      </c>
      <c r="D140" s="17" t="s">
        <v>1011</v>
      </c>
      <c r="E140" s="17" t="s">
        <v>2982</v>
      </c>
      <c r="F140" s="17" t="s">
        <v>1501</v>
      </c>
      <c r="G140" s="17" t="s">
        <v>1494</v>
      </c>
      <c r="H140" s="17" t="s">
        <v>1495</v>
      </c>
      <c r="I140" s="17" t="s">
        <v>28</v>
      </c>
      <c r="J140" s="18" t="s">
        <v>1502</v>
      </c>
      <c r="K140" s="17" t="s">
        <v>23</v>
      </c>
      <c r="L140" s="17" t="s">
        <v>1497</v>
      </c>
      <c r="M140" s="17" t="s">
        <v>1012</v>
      </c>
      <c r="N140" s="17" t="s">
        <v>1498</v>
      </c>
      <c r="O140" s="18" t="s">
        <v>1017</v>
      </c>
      <c r="P140" s="18" t="s">
        <v>25</v>
      </c>
      <c r="Q140" s="32">
        <f t="shared" si="4"/>
        <v>16</v>
      </c>
      <c r="R140" s="32">
        <f t="shared" si="5"/>
        <v>7</v>
      </c>
      <c r="S140" s="21" t="s">
        <v>2915</v>
      </c>
    </row>
    <row r="141" spans="1:19" x14ac:dyDescent="0.25">
      <c r="A141" s="2">
        <v>139</v>
      </c>
      <c r="B141" s="3" t="s">
        <v>490</v>
      </c>
      <c r="C141" s="17" t="s">
        <v>636</v>
      </c>
      <c r="D141" s="17" t="s">
        <v>1011</v>
      </c>
      <c r="E141" s="17" t="s">
        <v>2982</v>
      </c>
      <c r="F141" s="17" t="s">
        <v>1503</v>
      </c>
      <c r="G141" s="17" t="s">
        <v>1494</v>
      </c>
      <c r="H141" s="17" t="s">
        <v>1504</v>
      </c>
      <c r="I141" s="17" t="s">
        <v>26</v>
      </c>
      <c r="J141" s="18" t="s">
        <v>1505</v>
      </c>
      <c r="K141" s="17" t="s">
        <v>23</v>
      </c>
      <c r="L141" s="17" t="s">
        <v>1506</v>
      </c>
      <c r="M141" s="17" t="s">
        <v>1012</v>
      </c>
      <c r="N141" s="17" t="s">
        <v>1507</v>
      </c>
      <c r="O141" s="18" t="s">
        <v>1017</v>
      </c>
      <c r="P141" s="18" t="s">
        <v>25</v>
      </c>
      <c r="Q141" s="32">
        <f t="shared" si="4"/>
        <v>16</v>
      </c>
      <c r="R141" s="32">
        <f t="shared" si="5"/>
        <v>11</v>
      </c>
      <c r="S141" s="21" t="s">
        <v>2984</v>
      </c>
    </row>
    <row r="142" spans="1:19" x14ac:dyDescent="0.25">
      <c r="A142" s="11">
        <v>140</v>
      </c>
      <c r="B142" s="3" t="s">
        <v>490</v>
      </c>
      <c r="C142" s="17" t="s">
        <v>637</v>
      </c>
      <c r="D142" s="17" t="s">
        <v>1011</v>
      </c>
      <c r="E142" s="17" t="s">
        <v>2985</v>
      </c>
      <c r="F142" s="17" t="s">
        <v>1508</v>
      </c>
      <c r="G142" s="17" t="s">
        <v>1509</v>
      </c>
      <c r="H142" s="17" t="s">
        <v>1510</v>
      </c>
      <c r="I142" s="17" t="s">
        <v>26</v>
      </c>
      <c r="J142" s="18" t="s">
        <v>1511</v>
      </c>
      <c r="K142" s="17" t="s">
        <v>23</v>
      </c>
      <c r="L142" s="17" t="s">
        <v>1512</v>
      </c>
      <c r="M142" s="17" t="s">
        <v>1012</v>
      </c>
      <c r="N142" s="17" t="s">
        <v>1513</v>
      </c>
      <c r="O142" s="18" t="s">
        <v>1017</v>
      </c>
      <c r="P142" s="18" t="s">
        <v>25</v>
      </c>
      <c r="Q142" s="32">
        <f t="shared" si="4"/>
        <v>16</v>
      </c>
      <c r="R142" s="32">
        <f t="shared" si="5"/>
        <v>9</v>
      </c>
      <c r="S142" s="21" t="s">
        <v>2986</v>
      </c>
    </row>
    <row r="143" spans="1:19" x14ac:dyDescent="0.25">
      <c r="A143" s="2">
        <v>141</v>
      </c>
      <c r="B143" s="3" t="s">
        <v>494</v>
      </c>
      <c r="C143" s="17" t="s">
        <v>638</v>
      </c>
      <c r="D143" s="17" t="s">
        <v>1011</v>
      </c>
      <c r="E143" s="17"/>
      <c r="F143" s="17" t="s">
        <v>103</v>
      </c>
      <c r="G143" s="17" t="s">
        <v>1514</v>
      </c>
      <c r="H143" s="17" t="s">
        <v>22</v>
      </c>
      <c r="I143" s="17" t="s">
        <v>28</v>
      </c>
      <c r="J143" s="18" t="s">
        <v>1515</v>
      </c>
      <c r="K143" s="17" t="s">
        <v>255</v>
      </c>
      <c r="L143" s="17" t="s">
        <v>402</v>
      </c>
      <c r="M143" s="17" t="s">
        <v>1012</v>
      </c>
      <c r="N143" s="17"/>
      <c r="O143" s="18" t="s">
        <v>257</v>
      </c>
      <c r="P143" s="18" t="s">
        <v>258</v>
      </c>
      <c r="Q143" s="18">
        <f t="shared" si="4"/>
        <v>10</v>
      </c>
      <c r="R143" s="18">
        <f t="shared" si="5"/>
        <v>0</v>
      </c>
    </row>
    <row r="144" spans="1:19" x14ac:dyDescent="0.25">
      <c r="A144" s="3">
        <v>142</v>
      </c>
      <c r="B144" s="3" t="s">
        <v>490</v>
      </c>
      <c r="C144" s="17" t="s">
        <v>639</v>
      </c>
      <c r="D144" s="17" t="s">
        <v>1011</v>
      </c>
      <c r="E144" s="17" t="s">
        <v>3087</v>
      </c>
      <c r="F144" s="17" t="s">
        <v>1516</v>
      </c>
      <c r="G144" s="17" t="s">
        <v>77</v>
      </c>
      <c r="H144" s="17" t="s">
        <v>78</v>
      </c>
      <c r="I144" s="17" t="s">
        <v>26</v>
      </c>
      <c r="J144" s="18" t="s">
        <v>1517</v>
      </c>
      <c r="K144" s="17" t="s">
        <v>23</v>
      </c>
      <c r="L144" s="17" t="s">
        <v>1518</v>
      </c>
      <c r="M144" s="17" t="s">
        <v>1012</v>
      </c>
      <c r="N144" s="17" t="s">
        <v>1519</v>
      </c>
      <c r="O144" s="18" t="s">
        <v>1017</v>
      </c>
      <c r="P144" s="18" t="s">
        <v>25</v>
      </c>
      <c r="Q144" s="32">
        <f t="shared" si="4"/>
        <v>16</v>
      </c>
      <c r="R144" s="32">
        <f t="shared" si="5"/>
        <v>12</v>
      </c>
      <c r="S144" s="21" t="s">
        <v>3088</v>
      </c>
    </row>
    <row r="145" spans="1:19" x14ac:dyDescent="0.25">
      <c r="A145" s="2">
        <v>143</v>
      </c>
      <c r="B145" s="3" t="s">
        <v>490</v>
      </c>
      <c r="C145" s="17" t="s">
        <v>640</v>
      </c>
      <c r="D145" s="17" t="s">
        <v>1011</v>
      </c>
      <c r="E145" s="17" t="s">
        <v>3087</v>
      </c>
      <c r="F145" s="17" t="s">
        <v>79</v>
      </c>
      <c r="G145" s="17" t="s">
        <v>77</v>
      </c>
      <c r="H145" s="17" t="s">
        <v>78</v>
      </c>
      <c r="I145" s="17" t="s">
        <v>22</v>
      </c>
      <c r="J145" s="18" t="s">
        <v>80</v>
      </c>
      <c r="K145" s="17" t="s">
        <v>23</v>
      </c>
      <c r="L145" s="17" t="s">
        <v>1518</v>
      </c>
      <c r="M145" s="17" t="s">
        <v>1012</v>
      </c>
      <c r="N145" s="17" t="s">
        <v>1519</v>
      </c>
      <c r="O145" s="18" t="s">
        <v>1017</v>
      </c>
      <c r="P145" s="18" t="s">
        <v>25</v>
      </c>
      <c r="Q145" s="32">
        <f t="shared" si="4"/>
        <v>16</v>
      </c>
      <c r="R145" s="32">
        <f t="shared" si="5"/>
        <v>12</v>
      </c>
      <c r="S145" s="21" t="s">
        <v>2915</v>
      </c>
    </row>
    <row r="146" spans="1:19" x14ac:dyDescent="0.25">
      <c r="A146" s="3">
        <v>144</v>
      </c>
      <c r="B146" s="3" t="s">
        <v>490</v>
      </c>
      <c r="C146" s="17" t="s">
        <v>641</v>
      </c>
      <c r="D146" s="17" t="s">
        <v>1011</v>
      </c>
      <c r="E146" s="17" t="s">
        <v>3087</v>
      </c>
      <c r="F146" s="17" t="s">
        <v>1520</v>
      </c>
      <c r="G146" s="17" t="s">
        <v>77</v>
      </c>
      <c r="H146" s="17" t="s">
        <v>78</v>
      </c>
      <c r="I146" s="17" t="s">
        <v>28</v>
      </c>
      <c r="J146" s="18" t="s">
        <v>1521</v>
      </c>
      <c r="K146" s="17" t="s">
        <v>23</v>
      </c>
      <c r="L146" s="17" t="s">
        <v>1518</v>
      </c>
      <c r="M146" s="17" t="s">
        <v>1012</v>
      </c>
      <c r="N146" s="17" t="s">
        <v>1519</v>
      </c>
      <c r="O146" s="18" t="s">
        <v>1017</v>
      </c>
      <c r="P146" s="18" t="s">
        <v>25</v>
      </c>
      <c r="Q146" s="32">
        <f t="shared" si="4"/>
        <v>16</v>
      </c>
      <c r="R146" s="32">
        <f t="shared" si="5"/>
        <v>12</v>
      </c>
      <c r="S146" s="21" t="s">
        <v>2915</v>
      </c>
    </row>
    <row r="147" spans="1:19" x14ac:dyDescent="0.25">
      <c r="A147" s="2">
        <v>145</v>
      </c>
      <c r="B147" s="3" t="s">
        <v>490</v>
      </c>
      <c r="C147" s="17" t="s">
        <v>642</v>
      </c>
      <c r="D147" s="17" t="s">
        <v>1011</v>
      </c>
      <c r="E147" s="17" t="s">
        <v>3087</v>
      </c>
      <c r="F147" s="17" t="s">
        <v>1522</v>
      </c>
      <c r="G147" s="17" t="s">
        <v>77</v>
      </c>
      <c r="H147" s="17" t="s">
        <v>78</v>
      </c>
      <c r="I147" s="17" t="s">
        <v>27</v>
      </c>
      <c r="J147" s="18" t="s">
        <v>1523</v>
      </c>
      <c r="K147" s="17" t="s">
        <v>23</v>
      </c>
      <c r="L147" s="17" t="s">
        <v>1518</v>
      </c>
      <c r="M147" s="17" t="s">
        <v>1012</v>
      </c>
      <c r="N147" s="17" t="s">
        <v>1519</v>
      </c>
      <c r="O147" s="18" t="s">
        <v>1017</v>
      </c>
      <c r="P147" s="18" t="s">
        <v>25</v>
      </c>
      <c r="Q147" s="32">
        <f t="shared" si="4"/>
        <v>16</v>
      </c>
      <c r="R147" s="32">
        <f t="shared" si="5"/>
        <v>12</v>
      </c>
      <c r="S147" s="21" t="s">
        <v>2915</v>
      </c>
    </row>
    <row r="148" spans="1:19" x14ac:dyDescent="0.25">
      <c r="A148" s="3">
        <v>146</v>
      </c>
      <c r="B148" s="3" t="s">
        <v>490</v>
      </c>
      <c r="C148" s="17" t="s">
        <v>643</v>
      </c>
      <c r="D148" s="17" t="s">
        <v>1011</v>
      </c>
      <c r="E148" s="17" t="s">
        <v>3089</v>
      </c>
      <c r="F148" s="17" t="s">
        <v>1524</v>
      </c>
      <c r="G148" s="17" t="s">
        <v>1525</v>
      </c>
      <c r="H148" s="17" t="s">
        <v>21</v>
      </c>
      <c r="I148" s="17" t="s">
        <v>26</v>
      </c>
      <c r="J148" s="18" t="s">
        <v>1526</v>
      </c>
      <c r="K148" s="17" t="s">
        <v>23</v>
      </c>
      <c r="L148" s="17" t="s">
        <v>1527</v>
      </c>
      <c r="M148" s="17" t="s">
        <v>1012</v>
      </c>
      <c r="N148" s="17" t="s">
        <v>1528</v>
      </c>
      <c r="O148" s="18" t="s">
        <v>1017</v>
      </c>
      <c r="P148" s="18" t="s">
        <v>25</v>
      </c>
      <c r="Q148" s="32">
        <f t="shared" si="4"/>
        <v>16</v>
      </c>
      <c r="R148" s="32">
        <f t="shared" si="5"/>
        <v>11</v>
      </c>
      <c r="S148" s="21" t="s">
        <v>3090</v>
      </c>
    </row>
    <row r="149" spans="1:19" x14ac:dyDescent="0.25">
      <c r="A149" s="2">
        <v>147</v>
      </c>
      <c r="B149" s="3" t="s">
        <v>490</v>
      </c>
      <c r="C149" s="17" t="s">
        <v>644</v>
      </c>
      <c r="D149" s="17" t="s">
        <v>1011</v>
      </c>
      <c r="E149" s="17" t="s">
        <v>3091</v>
      </c>
      <c r="F149" s="17" t="s">
        <v>1529</v>
      </c>
      <c r="G149" s="17" t="s">
        <v>1530</v>
      </c>
      <c r="H149" s="17" t="s">
        <v>28</v>
      </c>
      <c r="I149" s="17" t="s">
        <v>22</v>
      </c>
      <c r="J149" s="18" t="s">
        <v>1531</v>
      </c>
      <c r="K149" s="17" t="s">
        <v>23</v>
      </c>
      <c r="L149" s="17" t="s">
        <v>1532</v>
      </c>
      <c r="M149" s="17" t="s">
        <v>1012</v>
      </c>
      <c r="N149" s="17" t="s">
        <v>1533</v>
      </c>
      <c r="O149" s="18" t="s">
        <v>1017</v>
      </c>
      <c r="P149" s="18" t="s">
        <v>25</v>
      </c>
      <c r="Q149" s="32">
        <f t="shared" si="4"/>
        <v>16</v>
      </c>
      <c r="R149" s="32">
        <f t="shared" si="5"/>
        <v>11</v>
      </c>
      <c r="S149" s="21" t="s">
        <v>2906</v>
      </c>
    </row>
    <row r="150" spans="1:19" x14ac:dyDescent="0.25">
      <c r="A150" s="3">
        <v>148</v>
      </c>
      <c r="B150" s="3" t="s">
        <v>490</v>
      </c>
      <c r="C150" s="17" t="s">
        <v>645</v>
      </c>
      <c r="D150" s="17" t="s">
        <v>1011</v>
      </c>
      <c r="E150" s="17" t="s">
        <v>3092</v>
      </c>
      <c r="F150" s="17" t="s">
        <v>1534</v>
      </c>
      <c r="G150" s="17" t="s">
        <v>1535</v>
      </c>
      <c r="H150" s="17" t="s">
        <v>22</v>
      </c>
      <c r="I150" s="17" t="s">
        <v>26</v>
      </c>
      <c r="J150" s="18" t="s">
        <v>1536</v>
      </c>
      <c r="K150" s="17" t="s">
        <v>23</v>
      </c>
      <c r="L150" s="17" t="s">
        <v>1537</v>
      </c>
      <c r="M150" s="17" t="s">
        <v>1012</v>
      </c>
      <c r="N150" s="17" t="s">
        <v>1538</v>
      </c>
      <c r="O150" s="18" t="s">
        <v>1017</v>
      </c>
      <c r="P150" s="18" t="s">
        <v>25</v>
      </c>
      <c r="Q150" s="32">
        <f t="shared" si="4"/>
        <v>16</v>
      </c>
      <c r="R150" s="32">
        <f t="shared" si="5"/>
        <v>12</v>
      </c>
      <c r="S150" s="21" t="s">
        <v>2906</v>
      </c>
    </row>
    <row r="151" spans="1:19" x14ac:dyDescent="0.25">
      <c r="A151" s="2">
        <v>149</v>
      </c>
      <c r="B151" s="3" t="s">
        <v>490</v>
      </c>
      <c r="C151" s="17" t="s">
        <v>646</v>
      </c>
      <c r="D151" s="17" t="s">
        <v>1011</v>
      </c>
      <c r="E151" s="17" t="s">
        <v>3092</v>
      </c>
      <c r="F151" s="17" t="s">
        <v>1539</v>
      </c>
      <c r="G151" s="17" t="s">
        <v>1535</v>
      </c>
      <c r="H151" s="17" t="s">
        <v>22</v>
      </c>
      <c r="I151" s="17" t="s">
        <v>22</v>
      </c>
      <c r="J151" s="18" t="s">
        <v>1540</v>
      </c>
      <c r="K151" s="17" t="s">
        <v>23</v>
      </c>
      <c r="L151" s="17" t="s">
        <v>1537</v>
      </c>
      <c r="M151" s="17" t="s">
        <v>1012</v>
      </c>
      <c r="N151" s="17" t="s">
        <v>1538</v>
      </c>
      <c r="O151" s="18" t="s">
        <v>1017</v>
      </c>
      <c r="P151" s="18" t="s">
        <v>25</v>
      </c>
      <c r="Q151" s="32">
        <f t="shared" si="4"/>
        <v>16</v>
      </c>
      <c r="R151" s="32">
        <f t="shared" si="5"/>
        <v>12</v>
      </c>
      <c r="S151" s="21" t="s">
        <v>2914</v>
      </c>
    </row>
    <row r="152" spans="1:19" x14ac:dyDescent="0.25">
      <c r="A152" s="3">
        <v>150</v>
      </c>
      <c r="B152" s="3" t="s">
        <v>490</v>
      </c>
      <c r="C152" s="17" t="s">
        <v>647</v>
      </c>
      <c r="D152" s="17" t="s">
        <v>1011</v>
      </c>
      <c r="E152" s="17" t="s">
        <v>3093</v>
      </c>
      <c r="F152" s="17" t="s">
        <v>1541</v>
      </c>
      <c r="G152" s="17" t="s">
        <v>1542</v>
      </c>
      <c r="H152" s="17" t="s">
        <v>22</v>
      </c>
      <c r="I152" s="17" t="s">
        <v>22</v>
      </c>
      <c r="J152" s="18" t="s">
        <v>1543</v>
      </c>
      <c r="K152" s="17" t="s">
        <v>23</v>
      </c>
      <c r="L152" s="17" t="s">
        <v>1544</v>
      </c>
      <c r="M152" s="17" t="s">
        <v>1012</v>
      </c>
      <c r="N152" s="17" t="s">
        <v>1545</v>
      </c>
      <c r="O152" s="18" t="s">
        <v>1017</v>
      </c>
      <c r="P152" s="18" t="s">
        <v>25</v>
      </c>
      <c r="Q152" s="32">
        <f t="shared" si="4"/>
        <v>16</v>
      </c>
      <c r="R152" s="32">
        <f t="shared" si="5"/>
        <v>15</v>
      </c>
      <c r="S152" s="21" t="s">
        <v>2906</v>
      </c>
    </row>
    <row r="153" spans="1:19" x14ac:dyDescent="0.25">
      <c r="A153" s="2">
        <v>151</v>
      </c>
      <c r="B153" s="3" t="s">
        <v>490</v>
      </c>
      <c r="C153" s="17" t="s">
        <v>648</v>
      </c>
      <c r="D153" s="17" t="s">
        <v>1011</v>
      </c>
      <c r="E153" s="17" t="s">
        <v>3093</v>
      </c>
      <c r="F153" s="17" t="s">
        <v>1546</v>
      </c>
      <c r="G153" s="17" t="s">
        <v>1542</v>
      </c>
      <c r="H153" s="17" t="s">
        <v>1547</v>
      </c>
      <c r="I153" s="17" t="s">
        <v>26</v>
      </c>
      <c r="J153" s="18" t="s">
        <v>1548</v>
      </c>
      <c r="K153" s="17" t="s">
        <v>23</v>
      </c>
      <c r="L153" s="17" t="s">
        <v>1549</v>
      </c>
      <c r="M153" s="17" t="s">
        <v>1012</v>
      </c>
      <c r="N153" s="17" t="s">
        <v>1550</v>
      </c>
      <c r="O153" s="18" t="s">
        <v>1017</v>
      </c>
      <c r="P153" s="18" t="s">
        <v>25</v>
      </c>
      <c r="Q153" s="32">
        <f t="shared" si="4"/>
        <v>16</v>
      </c>
      <c r="R153" s="32">
        <f t="shared" si="5"/>
        <v>11</v>
      </c>
      <c r="S153" s="21" t="s">
        <v>3094</v>
      </c>
    </row>
    <row r="154" spans="1:19" x14ac:dyDescent="0.25">
      <c r="A154" s="3">
        <v>152</v>
      </c>
      <c r="B154" s="3" t="s">
        <v>494</v>
      </c>
      <c r="C154" s="17" t="s">
        <v>649</v>
      </c>
      <c r="D154" s="17" t="s">
        <v>1011</v>
      </c>
      <c r="E154" s="17"/>
      <c r="F154" s="17" t="s">
        <v>368</v>
      </c>
      <c r="G154" s="17" t="s">
        <v>75</v>
      </c>
      <c r="H154" s="17" t="s">
        <v>369</v>
      </c>
      <c r="I154" s="17" t="s">
        <v>26</v>
      </c>
      <c r="J154" s="18" t="s">
        <v>370</v>
      </c>
      <c r="K154" s="17" t="s">
        <v>255</v>
      </c>
      <c r="L154" s="17" t="s">
        <v>371</v>
      </c>
      <c r="M154" s="17" t="s">
        <v>1012</v>
      </c>
      <c r="N154" s="17" t="s">
        <v>1551</v>
      </c>
      <c r="O154" s="18" t="s">
        <v>257</v>
      </c>
      <c r="P154" s="18" t="s">
        <v>258</v>
      </c>
      <c r="Q154" s="18">
        <f t="shared" si="4"/>
        <v>10</v>
      </c>
      <c r="R154" s="18">
        <f t="shared" si="5"/>
        <v>11</v>
      </c>
    </row>
    <row r="155" spans="1:19" x14ac:dyDescent="0.25">
      <c r="A155" s="2">
        <v>153</v>
      </c>
      <c r="B155" s="3" t="s">
        <v>490</v>
      </c>
      <c r="C155" s="17" t="s">
        <v>650</v>
      </c>
      <c r="D155" s="17" t="s">
        <v>1011</v>
      </c>
      <c r="E155" s="17" t="s">
        <v>2993</v>
      </c>
      <c r="F155" s="17" t="s">
        <v>1552</v>
      </c>
      <c r="G155" s="17" t="s">
        <v>75</v>
      </c>
      <c r="H155" s="17" t="s">
        <v>1553</v>
      </c>
      <c r="I155" s="17" t="s">
        <v>26</v>
      </c>
      <c r="J155" s="18" t="s">
        <v>1554</v>
      </c>
      <c r="K155" s="17" t="s">
        <v>23</v>
      </c>
      <c r="L155" s="17" t="s">
        <v>1555</v>
      </c>
      <c r="M155" s="17" t="s">
        <v>1012</v>
      </c>
      <c r="N155" s="17" t="s">
        <v>1556</v>
      </c>
      <c r="O155" s="18" t="s">
        <v>1017</v>
      </c>
      <c r="P155" s="18" t="s">
        <v>25</v>
      </c>
      <c r="Q155" s="32">
        <f t="shared" si="4"/>
        <v>16</v>
      </c>
      <c r="R155" s="32">
        <f t="shared" si="5"/>
        <v>11</v>
      </c>
      <c r="S155" s="21" t="s">
        <v>2915</v>
      </c>
    </row>
    <row r="156" spans="1:19" x14ac:dyDescent="0.25">
      <c r="A156" s="3">
        <v>154</v>
      </c>
      <c r="B156" s="3" t="s">
        <v>490</v>
      </c>
      <c r="C156" s="17" t="s">
        <v>651</v>
      </c>
      <c r="D156" s="17" t="s">
        <v>1011</v>
      </c>
      <c r="E156" s="17" t="s">
        <v>3095</v>
      </c>
      <c r="F156" s="17" t="s">
        <v>1557</v>
      </c>
      <c r="G156" s="17" t="s">
        <v>75</v>
      </c>
      <c r="H156" s="17" t="s">
        <v>76</v>
      </c>
      <c r="I156" s="17" t="s">
        <v>26</v>
      </c>
      <c r="J156" s="18" t="s">
        <v>1558</v>
      </c>
      <c r="K156" s="17" t="s">
        <v>23</v>
      </c>
      <c r="L156" s="17" t="s">
        <v>1559</v>
      </c>
      <c r="M156" s="17" t="s">
        <v>1012</v>
      </c>
      <c r="N156" s="17" t="s">
        <v>1560</v>
      </c>
      <c r="O156" s="18" t="s">
        <v>1017</v>
      </c>
      <c r="P156" s="18" t="s">
        <v>25</v>
      </c>
      <c r="Q156" s="32">
        <f t="shared" si="4"/>
        <v>16</v>
      </c>
      <c r="R156" s="32">
        <f t="shared" si="5"/>
        <v>14</v>
      </c>
      <c r="S156" s="21" t="s">
        <v>2900</v>
      </c>
    </row>
    <row r="157" spans="1:19" x14ac:dyDescent="0.25">
      <c r="A157" s="2">
        <v>155</v>
      </c>
      <c r="B157" s="3" t="s">
        <v>494</v>
      </c>
      <c r="C157" s="17" t="s">
        <v>652</v>
      </c>
      <c r="D157" s="17" t="s">
        <v>1011</v>
      </c>
      <c r="E157" s="17"/>
      <c r="F157" s="17" t="s">
        <v>363</v>
      </c>
      <c r="G157" s="17" t="s">
        <v>75</v>
      </c>
      <c r="H157" s="17" t="s">
        <v>364</v>
      </c>
      <c r="I157" s="17" t="s">
        <v>26</v>
      </c>
      <c r="J157" s="18" t="s">
        <v>365</v>
      </c>
      <c r="K157" s="17" t="s">
        <v>255</v>
      </c>
      <c r="L157" s="17" t="s">
        <v>366</v>
      </c>
      <c r="M157" s="17" t="s">
        <v>1012</v>
      </c>
      <c r="N157" s="17" t="s">
        <v>1561</v>
      </c>
      <c r="O157" s="18" t="s">
        <v>257</v>
      </c>
      <c r="P157" s="18" t="s">
        <v>258</v>
      </c>
      <c r="Q157" s="18">
        <f t="shared" si="4"/>
        <v>5</v>
      </c>
      <c r="R157" s="18">
        <f t="shared" si="5"/>
        <v>11</v>
      </c>
    </row>
    <row r="158" spans="1:19" x14ac:dyDescent="0.25">
      <c r="A158" s="3">
        <v>156</v>
      </c>
      <c r="B158" s="3" t="s">
        <v>490</v>
      </c>
      <c r="C158" s="17" t="s">
        <v>653</v>
      </c>
      <c r="D158" s="17" t="s">
        <v>1011</v>
      </c>
      <c r="E158" s="17" t="s">
        <v>3095</v>
      </c>
      <c r="F158" s="17" t="s">
        <v>1562</v>
      </c>
      <c r="G158" s="17" t="s">
        <v>75</v>
      </c>
      <c r="H158" s="17" t="s">
        <v>1563</v>
      </c>
      <c r="I158" s="17" t="s">
        <v>26</v>
      </c>
      <c r="J158" s="18" t="s">
        <v>1564</v>
      </c>
      <c r="K158" s="17" t="s">
        <v>23</v>
      </c>
      <c r="L158" s="17" t="s">
        <v>1565</v>
      </c>
      <c r="M158" s="17" t="s">
        <v>1012</v>
      </c>
      <c r="N158" s="17" t="s">
        <v>1566</v>
      </c>
      <c r="O158" s="18" t="s">
        <v>1017</v>
      </c>
      <c r="P158" s="18" t="s">
        <v>25</v>
      </c>
      <c r="Q158" s="32">
        <f t="shared" si="4"/>
        <v>16</v>
      </c>
      <c r="R158" s="32">
        <f t="shared" si="5"/>
        <v>14</v>
      </c>
      <c r="S158" s="21" t="s">
        <v>3096</v>
      </c>
    </row>
    <row r="159" spans="1:19" x14ac:dyDescent="0.25">
      <c r="A159" s="2">
        <v>157</v>
      </c>
      <c r="B159" s="3" t="s">
        <v>490</v>
      </c>
      <c r="C159" s="17" t="s">
        <v>654</v>
      </c>
      <c r="D159" s="17" t="s">
        <v>1011</v>
      </c>
      <c r="E159" s="17" t="s">
        <v>3095</v>
      </c>
      <c r="F159" s="17" t="s">
        <v>1567</v>
      </c>
      <c r="G159" s="17" t="s">
        <v>75</v>
      </c>
      <c r="H159" s="17" t="s">
        <v>1568</v>
      </c>
      <c r="I159" s="17" t="s">
        <v>26</v>
      </c>
      <c r="J159" s="18" t="s">
        <v>1569</v>
      </c>
      <c r="K159" s="17" t="s">
        <v>23</v>
      </c>
      <c r="L159" s="17" t="s">
        <v>1570</v>
      </c>
      <c r="M159" s="17" t="s">
        <v>1012</v>
      </c>
      <c r="N159" s="17" t="s">
        <v>1571</v>
      </c>
      <c r="O159" s="18" t="s">
        <v>1017</v>
      </c>
      <c r="P159" s="18" t="s">
        <v>25</v>
      </c>
      <c r="Q159" s="32">
        <f t="shared" si="4"/>
        <v>16</v>
      </c>
      <c r="R159" s="32">
        <f t="shared" si="5"/>
        <v>11</v>
      </c>
      <c r="S159" s="21" t="s">
        <v>3096</v>
      </c>
    </row>
    <row r="160" spans="1:19" x14ac:dyDescent="0.25">
      <c r="A160" s="3">
        <v>158</v>
      </c>
      <c r="B160" s="3" t="s">
        <v>490</v>
      </c>
      <c r="C160" s="17" t="s">
        <v>655</v>
      </c>
      <c r="D160" s="17" t="s">
        <v>1011</v>
      </c>
      <c r="E160" s="17" t="s">
        <v>3097</v>
      </c>
      <c r="F160" s="17" t="s">
        <v>1572</v>
      </c>
      <c r="G160" s="17" t="s">
        <v>74</v>
      </c>
      <c r="H160" s="17" t="s">
        <v>63</v>
      </c>
      <c r="I160" s="17" t="s">
        <v>26</v>
      </c>
      <c r="J160" s="18" t="s">
        <v>1573</v>
      </c>
      <c r="K160" s="17" t="s">
        <v>23</v>
      </c>
      <c r="L160" s="17" t="s">
        <v>1574</v>
      </c>
      <c r="M160" s="17" t="s">
        <v>1012</v>
      </c>
      <c r="N160" s="17" t="s">
        <v>1575</v>
      </c>
      <c r="O160" s="18" t="s">
        <v>1017</v>
      </c>
      <c r="P160" s="18" t="s">
        <v>25</v>
      </c>
      <c r="Q160" s="32">
        <f t="shared" si="4"/>
        <v>16</v>
      </c>
      <c r="R160" s="32">
        <f t="shared" si="5"/>
        <v>14</v>
      </c>
      <c r="S160" s="21" t="s">
        <v>2906</v>
      </c>
    </row>
    <row r="161" spans="1:19" x14ac:dyDescent="0.25">
      <c r="A161" s="2">
        <v>159</v>
      </c>
      <c r="B161" s="3" t="s">
        <v>490</v>
      </c>
      <c r="C161" s="17" t="s">
        <v>656</v>
      </c>
      <c r="D161" s="17" t="s">
        <v>1011</v>
      </c>
      <c r="E161" s="17" t="s">
        <v>3098</v>
      </c>
      <c r="F161" s="17" t="s">
        <v>1576</v>
      </c>
      <c r="G161" s="17" t="s">
        <v>1577</v>
      </c>
      <c r="H161" s="17" t="s">
        <v>28</v>
      </c>
      <c r="I161" s="17" t="s">
        <v>27</v>
      </c>
      <c r="J161" s="18" t="s">
        <v>1578</v>
      </c>
      <c r="K161" s="17" t="s">
        <v>23</v>
      </c>
      <c r="L161" s="17" t="s">
        <v>1579</v>
      </c>
      <c r="M161" s="17" t="s">
        <v>1012</v>
      </c>
      <c r="N161" s="17" t="s">
        <v>1580</v>
      </c>
      <c r="O161" s="18" t="s">
        <v>1017</v>
      </c>
      <c r="P161" s="18" t="s">
        <v>25</v>
      </c>
      <c r="Q161" s="32">
        <f t="shared" si="4"/>
        <v>16</v>
      </c>
      <c r="R161" s="32">
        <f t="shared" si="5"/>
        <v>15</v>
      </c>
      <c r="S161" s="21" t="s">
        <v>2906</v>
      </c>
    </row>
    <row r="162" spans="1:19" x14ac:dyDescent="0.25">
      <c r="A162" s="3">
        <v>160</v>
      </c>
      <c r="B162" s="3" t="s">
        <v>494</v>
      </c>
      <c r="C162" s="17" t="s">
        <v>657</v>
      </c>
      <c r="D162" s="17" t="s">
        <v>1011</v>
      </c>
      <c r="E162" s="17"/>
      <c r="F162" s="17" t="s">
        <v>347</v>
      </c>
      <c r="G162" s="17" t="s">
        <v>348</v>
      </c>
      <c r="H162" s="17" t="s">
        <v>115</v>
      </c>
      <c r="I162" s="17" t="s">
        <v>26</v>
      </c>
      <c r="J162" s="18" t="s">
        <v>349</v>
      </c>
      <c r="K162" s="17" t="s">
        <v>255</v>
      </c>
      <c r="L162" s="17" t="s">
        <v>350</v>
      </c>
      <c r="M162" s="17" t="s">
        <v>1012</v>
      </c>
      <c r="N162" s="17" t="s">
        <v>1581</v>
      </c>
      <c r="O162" s="18" t="s">
        <v>257</v>
      </c>
      <c r="P162" s="18" t="s">
        <v>258</v>
      </c>
      <c r="Q162" s="18">
        <f t="shared" si="4"/>
        <v>10</v>
      </c>
      <c r="R162" s="18">
        <f t="shared" si="5"/>
        <v>11</v>
      </c>
    </row>
    <row r="163" spans="1:19" x14ac:dyDescent="0.25">
      <c r="A163" s="2">
        <v>161</v>
      </c>
      <c r="B163" s="3" t="s">
        <v>490</v>
      </c>
      <c r="C163" s="17" t="s">
        <v>658</v>
      </c>
      <c r="D163" s="17" t="s">
        <v>1011</v>
      </c>
      <c r="E163" s="17" t="s">
        <v>3099</v>
      </c>
      <c r="F163" s="17" t="s">
        <v>1582</v>
      </c>
      <c r="G163" s="17" t="s">
        <v>1583</v>
      </c>
      <c r="H163" s="17" t="s">
        <v>26</v>
      </c>
      <c r="I163" s="17" t="s">
        <v>26</v>
      </c>
      <c r="J163" s="18" t="s">
        <v>1584</v>
      </c>
      <c r="K163" s="17" t="s">
        <v>23</v>
      </c>
      <c r="L163" s="17" t="s">
        <v>1585</v>
      </c>
      <c r="M163" s="17" t="s">
        <v>1012</v>
      </c>
      <c r="N163" s="17" t="s">
        <v>1586</v>
      </c>
      <c r="O163" s="18" t="s">
        <v>1017</v>
      </c>
      <c r="P163" s="18" t="s">
        <v>25</v>
      </c>
      <c r="Q163" s="32">
        <f t="shared" si="4"/>
        <v>16</v>
      </c>
      <c r="R163" s="32">
        <f t="shared" si="5"/>
        <v>13</v>
      </c>
      <c r="S163" s="21" t="s">
        <v>2906</v>
      </c>
    </row>
    <row r="164" spans="1:19" x14ac:dyDescent="0.25">
      <c r="A164" s="3">
        <v>162</v>
      </c>
      <c r="B164" s="3" t="s">
        <v>490</v>
      </c>
      <c r="C164" s="17" t="s">
        <v>659</v>
      </c>
      <c r="D164" s="17" t="s">
        <v>1011</v>
      </c>
      <c r="E164" s="17" t="s">
        <v>3099</v>
      </c>
      <c r="F164" s="17" t="s">
        <v>103</v>
      </c>
      <c r="G164" s="17" t="s">
        <v>1583</v>
      </c>
      <c r="H164" s="17" t="s">
        <v>26</v>
      </c>
      <c r="I164" s="17" t="s">
        <v>28</v>
      </c>
      <c r="J164" s="18" t="s">
        <v>1587</v>
      </c>
      <c r="K164" s="17" t="s">
        <v>23</v>
      </c>
      <c r="L164" s="17" t="s">
        <v>1585</v>
      </c>
      <c r="M164" s="17" t="s">
        <v>1012</v>
      </c>
      <c r="N164" s="17" t="s">
        <v>1586</v>
      </c>
      <c r="O164" s="18" t="s">
        <v>1017</v>
      </c>
      <c r="P164" s="18" t="s">
        <v>25</v>
      </c>
      <c r="Q164" s="32">
        <f t="shared" si="4"/>
        <v>16</v>
      </c>
      <c r="R164" s="32">
        <f t="shared" si="5"/>
        <v>13</v>
      </c>
      <c r="S164" s="21" t="s">
        <v>2906</v>
      </c>
    </row>
    <row r="165" spans="1:19" x14ac:dyDescent="0.25">
      <c r="A165" s="2">
        <v>163</v>
      </c>
      <c r="B165" s="3" t="s">
        <v>490</v>
      </c>
      <c r="C165" s="17" t="s">
        <v>660</v>
      </c>
      <c r="D165" s="17" t="s">
        <v>1011</v>
      </c>
      <c r="E165" s="17" t="s">
        <v>3100</v>
      </c>
      <c r="F165" s="17" t="s">
        <v>1588</v>
      </c>
      <c r="G165" s="17" t="s">
        <v>1589</v>
      </c>
      <c r="H165" s="17" t="s">
        <v>28</v>
      </c>
      <c r="I165" s="17" t="s">
        <v>27</v>
      </c>
      <c r="J165" s="18" t="s">
        <v>1590</v>
      </c>
      <c r="K165" s="17" t="s">
        <v>23</v>
      </c>
      <c r="L165" s="17" t="s">
        <v>1591</v>
      </c>
      <c r="M165" s="17" t="s">
        <v>1012</v>
      </c>
      <c r="N165" s="17" t="s">
        <v>1592</v>
      </c>
      <c r="O165" s="18" t="s">
        <v>1017</v>
      </c>
      <c r="P165" s="18" t="s">
        <v>25</v>
      </c>
      <c r="Q165" s="32">
        <f t="shared" si="4"/>
        <v>16</v>
      </c>
      <c r="R165" s="32">
        <f t="shared" si="5"/>
        <v>11</v>
      </c>
      <c r="S165" s="21" t="s">
        <v>2906</v>
      </c>
    </row>
    <row r="166" spans="1:19" x14ac:dyDescent="0.25">
      <c r="A166" s="3">
        <v>164</v>
      </c>
      <c r="B166" s="3" t="s">
        <v>490</v>
      </c>
      <c r="C166" s="17" t="s">
        <v>661</v>
      </c>
      <c r="D166" s="17" t="s">
        <v>1011</v>
      </c>
      <c r="E166" s="17" t="s">
        <v>3101</v>
      </c>
      <c r="F166" s="17" t="s">
        <v>1593</v>
      </c>
      <c r="G166" s="17" t="s">
        <v>1594</v>
      </c>
      <c r="H166" s="17" t="s">
        <v>64</v>
      </c>
      <c r="I166" s="17" t="s">
        <v>26</v>
      </c>
      <c r="J166" s="18" t="s">
        <v>1595</v>
      </c>
      <c r="K166" s="17" t="s">
        <v>23</v>
      </c>
      <c r="L166" s="17" t="s">
        <v>1596</v>
      </c>
      <c r="M166" s="17" t="s">
        <v>1012</v>
      </c>
      <c r="N166" s="17" t="s">
        <v>1597</v>
      </c>
      <c r="O166" s="18" t="s">
        <v>1017</v>
      </c>
      <c r="P166" s="18" t="s">
        <v>25</v>
      </c>
      <c r="Q166" s="32">
        <f t="shared" si="4"/>
        <v>16</v>
      </c>
      <c r="R166" s="32">
        <f t="shared" si="5"/>
        <v>15</v>
      </c>
      <c r="S166" s="21" t="s">
        <v>2906</v>
      </c>
    </row>
    <row r="167" spans="1:19" x14ac:dyDescent="0.25">
      <c r="A167" s="2">
        <v>165</v>
      </c>
      <c r="B167" s="3" t="s">
        <v>490</v>
      </c>
      <c r="C167" s="17" t="s">
        <v>662</v>
      </c>
      <c r="D167" s="17" t="s">
        <v>1011</v>
      </c>
      <c r="E167" s="17" t="s">
        <v>3101</v>
      </c>
      <c r="F167" s="17" t="s">
        <v>1598</v>
      </c>
      <c r="G167" s="17" t="s">
        <v>1594</v>
      </c>
      <c r="H167" s="17" t="s">
        <v>64</v>
      </c>
      <c r="I167" s="17" t="s">
        <v>22</v>
      </c>
      <c r="J167" s="18" t="s">
        <v>1599</v>
      </c>
      <c r="K167" s="17" t="s">
        <v>23</v>
      </c>
      <c r="L167" s="17" t="s">
        <v>1596</v>
      </c>
      <c r="M167" s="17" t="s">
        <v>1012</v>
      </c>
      <c r="N167" s="17" t="s">
        <v>1597</v>
      </c>
      <c r="O167" s="18" t="s">
        <v>1017</v>
      </c>
      <c r="P167" s="18" t="s">
        <v>25</v>
      </c>
      <c r="Q167" s="32">
        <f t="shared" si="4"/>
        <v>16</v>
      </c>
      <c r="R167" s="32">
        <f t="shared" si="5"/>
        <v>15</v>
      </c>
      <c r="S167" s="21" t="s">
        <v>2906</v>
      </c>
    </row>
    <row r="168" spans="1:19" x14ac:dyDescent="0.25">
      <c r="A168" s="3">
        <v>166</v>
      </c>
      <c r="B168" s="3" t="s">
        <v>490</v>
      </c>
      <c r="C168" s="17" t="s">
        <v>663</v>
      </c>
      <c r="D168" s="17" t="s">
        <v>1011</v>
      </c>
      <c r="E168" s="17" t="s">
        <v>3101</v>
      </c>
      <c r="F168" s="17" t="s">
        <v>103</v>
      </c>
      <c r="G168" s="17" t="s">
        <v>1594</v>
      </c>
      <c r="H168" s="17" t="s">
        <v>64</v>
      </c>
      <c r="I168" s="17" t="s">
        <v>28</v>
      </c>
      <c r="J168" s="18" t="s">
        <v>1600</v>
      </c>
      <c r="K168" s="17" t="s">
        <v>23</v>
      </c>
      <c r="L168" s="17" t="s">
        <v>1596</v>
      </c>
      <c r="M168" s="17" t="s">
        <v>1012</v>
      </c>
      <c r="N168" s="17" t="s">
        <v>1597</v>
      </c>
      <c r="O168" s="18" t="s">
        <v>1017</v>
      </c>
      <c r="P168" s="18" t="s">
        <v>25</v>
      </c>
      <c r="Q168" s="32">
        <f t="shared" si="4"/>
        <v>16</v>
      </c>
      <c r="R168" s="32">
        <f t="shared" si="5"/>
        <v>15</v>
      </c>
      <c r="S168" s="21" t="s">
        <v>2906</v>
      </c>
    </row>
    <row r="169" spans="1:19" x14ac:dyDescent="0.25">
      <c r="A169" s="2">
        <v>167</v>
      </c>
      <c r="B169" s="3" t="s">
        <v>490</v>
      </c>
      <c r="C169" s="17" t="s">
        <v>664</v>
      </c>
      <c r="D169" s="17" t="s">
        <v>1011</v>
      </c>
      <c r="E169" s="17" t="s">
        <v>3102</v>
      </c>
      <c r="F169" s="17" t="s">
        <v>1601</v>
      </c>
      <c r="G169" s="17" t="s">
        <v>1602</v>
      </c>
      <c r="H169" s="17" t="s">
        <v>48</v>
      </c>
      <c r="I169" s="17" t="s">
        <v>28</v>
      </c>
      <c r="J169" s="18" t="s">
        <v>1603</v>
      </c>
      <c r="K169" s="17" t="s">
        <v>23</v>
      </c>
      <c r="L169" s="17" t="s">
        <v>1604</v>
      </c>
      <c r="M169" s="17" t="s">
        <v>1012</v>
      </c>
      <c r="N169" s="17" t="s">
        <v>1605</v>
      </c>
      <c r="O169" s="18" t="s">
        <v>1017</v>
      </c>
      <c r="P169" s="18" t="s">
        <v>25</v>
      </c>
      <c r="Q169" s="32">
        <f t="shared" si="4"/>
        <v>16</v>
      </c>
      <c r="R169" s="32">
        <f t="shared" si="5"/>
        <v>12</v>
      </c>
      <c r="S169" s="21" t="s">
        <v>3103</v>
      </c>
    </row>
    <row r="170" spans="1:19" x14ac:dyDescent="0.25">
      <c r="A170" s="3">
        <v>168</v>
      </c>
      <c r="B170" s="3" t="s">
        <v>490</v>
      </c>
      <c r="C170" s="17" t="s">
        <v>665</v>
      </c>
      <c r="D170" s="17" t="s">
        <v>1011</v>
      </c>
      <c r="E170" s="17" t="s">
        <v>2987</v>
      </c>
      <c r="F170" s="17" t="s">
        <v>1606</v>
      </c>
      <c r="G170" s="17" t="s">
        <v>68</v>
      </c>
      <c r="H170" s="17" t="s">
        <v>1563</v>
      </c>
      <c r="I170" s="17" t="s">
        <v>22</v>
      </c>
      <c r="J170" s="18" t="s">
        <v>1607</v>
      </c>
      <c r="K170" s="17" t="s">
        <v>23</v>
      </c>
      <c r="L170" s="17" t="s">
        <v>1608</v>
      </c>
      <c r="M170" s="17" t="s">
        <v>1012</v>
      </c>
      <c r="N170" s="17" t="s">
        <v>1609</v>
      </c>
      <c r="O170" s="18" t="s">
        <v>1017</v>
      </c>
      <c r="P170" s="18" t="s">
        <v>25</v>
      </c>
      <c r="Q170" s="32">
        <f t="shared" si="4"/>
        <v>16</v>
      </c>
      <c r="R170" s="32">
        <f t="shared" si="5"/>
        <v>15</v>
      </c>
      <c r="S170" s="21" t="s">
        <v>2915</v>
      </c>
    </row>
    <row r="171" spans="1:19" x14ac:dyDescent="0.25">
      <c r="A171" s="2">
        <v>169</v>
      </c>
      <c r="B171" s="3" t="s">
        <v>490</v>
      </c>
      <c r="C171" s="17" t="s">
        <v>666</v>
      </c>
      <c r="D171" s="17" t="s">
        <v>1011</v>
      </c>
      <c r="E171" s="17" t="s">
        <v>2987</v>
      </c>
      <c r="F171" s="17" t="s">
        <v>103</v>
      </c>
      <c r="G171" s="17" t="s">
        <v>68</v>
      </c>
      <c r="H171" s="17" t="s">
        <v>1205</v>
      </c>
      <c r="I171" s="17" t="s">
        <v>28</v>
      </c>
      <c r="J171" s="18" t="s">
        <v>1610</v>
      </c>
      <c r="K171" s="17" t="s">
        <v>23</v>
      </c>
      <c r="L171" s="17" t="s">
        <v>1611</v>
      </c>
      <c r="M171" s="17" t="s">
        <v>1012</v>
      </c>
      <c r="N171" s="17" t="s">
        <v>1612</v>
      </c>
      <c r="O171" s="18" t="s">
        <v>1017</v>
      </c>
      <c r="P171" s="18" t="s">
        <v>25</v>
      </c>
      <c r="Q171" s="32">
        <f t="shared" si="4"/>
        <v>16</v>
      </c>
      <c r="R171" s="32">
        <f t="shared" si="5"/>
        <v>13</v>
      </c>
      <c r="S171" s="21" t="s">
        <v>2915</v>
      </c>
    </row>
    <row r="172" spans="1:19" x14ac:dyDescent="0.25">
      <c r="A172" s="3">
        <v>170</v>
      </c>
      <c r="B172" s="3" t="s">
        <v>490</v>
      </c>
      <c r="C172" s="17" t="s">
        <v>667</v>
      </c>
      <c r="D172" s="17" t="s">
        <v>1011</v>
      </c>
      <c r="E172" s="17" t="s">
        <v>2987</v>
      </c>
      <c r="F172" s="17" t="s">
        <v>103</v>
      </c>
      <c r="G172" s="17" t="s">
        <v>68</v>
      </c>
      <c r="H172" s="17" t="s">
        <v>1205</v>
      </c>
      <c r="I172" s="17" t="s">
        <v>27</v>
      </c>
      <c r="J172" s="18" t="s">
        <v>1613</v>
      </c>
      <c r="K172" s="17" t="s">
        <v>23</v>
      </c>
      <c r="L172" s="17" t="s">
        <v>1611</v>
      </c>
      <c r="M172" s="17" t="s">
        <v>1012</v>
      </c>
      <c r="N172" s="17" t="s">
        <v>1612</v>
      </c>
      <c r="O172" s="18" t="s">
        <v>1017</v>
      </c>
      <c r="P172" s="18" t="s">
        <v>25</v>
      </c>
      <c r="Q172" s="32">
        <f t="shared" si="4"/>
        <v>16</v>
      </c>
      <c r="R172" s="32">
        <f t="shared" si="5"/>
        <v>13</v>
      </c>
      <c r="S172" s="21" t="s">
        <v>2915</v>
      </c>
    </row>
    <row r="173" spans="1:19" x14ac:dyDescent="0.25">
      <c r="A173" s="2">
        <v>171</v>
      </c>
      <c r="B173" s="3" t="s">
        <v>490</v>
      </c>
      <c r="C173" s="17" t="s">
        <v>668</v>
      </c>
      <c r="D173" s="17" t="s">
        <v>1011</v>
      </c>
      <c r="E173" s="17" t="s">
        <v>2987</v>
      </c>
      <c r="F173" s="17" t="s">
        <v>1614</v>
      </c>
      <c r="G173" s="17" t="s">
        <v>68</v>
      </c>
      <c r="H173" s="17" t="s">
        <v>1615</v>
      </c>
      <c r="I173" s="17" t="s">
        <v>22</v>
      </c>
      <c r="J173" s="18" t="s">
        <v>1616</v>
      </c>
      <c r="K173" s="17" t="s">
        <v>23</v>
      </c>
      <c r="L173" s="17" t="s">
        <v>1617</v>
      </c>
      <c r="M173" s="17" t="s">
        <v>1012</v>
      </c>
      <c r="N173" s="17" t="s">
        <v>1618</v>
      </c>
      <c r="O173" s="18" t="s">
        <v>1017</v>
      </c>
      <c r="P173" s="18" t="s">
        <v>25</v>
      </c>
      <c r="Q173" s="32">
        <f t="shared" si="4"/>
        <v>16</v>
      </c>
      <c r="R173" s="32">
        <f t="shared" si="5"/>
        <v>13</v>
      </c>
      <c r="S173" s="21" t="s">
        <v>2899</v>
      </c>
    </row>
    <row r="174" spans="1:19" x14ac:dyDescent="0.25">
      <c r="A174" s="3">
        <v>172</v>
      </c>
      <c r="B174" s="3" t="s">
        <v>490</v>
      </c>
      <c r="C174" s="17" t="s">
        <v>669</v>
      </c>
      <c r="D174" s="17" t="s">
        <v>1011</v>
      </c>
      <c r="E174" s="17" t="s">
        <v>2987</v>
      </c>
      <c r="F174" s="17" t="s">
        <v>103</v>
      </c>
      <c r="G174" s="17" t="s">
        <v>68</v>
      </c>
      <c r="H174" s="17" t="s">
        <v>1615</v>
      </c>
      <c r="I174" s="17" t="s">
        <v>27</v>
      </c>
      <c r="J174" s="18" t="s">
        <v>1619</v>
      </c>
      <c r="K174" s="17" t="s">
        <v>23</v>
      </c>
      <c r="L174" s="17" t="s">
        <v>1617</v>
      </c>
      <c r="M174" s="17" t="s">
        <v>1012</v>
      </c>
      <c r="N174" s="17" t="s">
        <v>1618</v>
      </c>
      <c r="O174" s="18" t="s">
        <v>1017</v>
      </c>
      <c r="P174" s="18" t="s">
        <v>25</v>
      </c>
      <c r="Q174" s="32">
        <f t="shared" si="4"/>
        <v>16</v>
      </c>
      <c r="R174" s="32">
        <f t="shared" si="5"/>
        <v>13</v>
      </c>
      <c r="S174" s="21" t="s">
        <v>2899</v>
      </c>
    </row>
    <row r="175" spans="1:19" x14ac:dyDescent="0.25">
      <c r="A175" s="2">
        <v>173</v>
      </c>
      <c r="B175" s="3" t="s">
        <v>490</v>
      </c>
      <c r="C175" s="17" t="s">
        <v>670</v>
      </c>
      <c r="D175" s="17" t="s">
        <v>1011</v>
      </c>
      <c r="E175" s="17" t="s">
        <v>2987</v>
      </c>
      <c r="F175" s="17" t="s">
        <v>1620</v>
      </c>
      <c r="G175" s="17" t="s">
        <v>68</v>
      </c>
      <c r="H175" s="17" t="s">
        <v>1621</v>
      </c>
      <c r="I175" s="17" t="s">
        <v>26</v>
      </c>
      <c r="J175" s="18" t="s">
        <v>1622</v>
      </c>
      <c r="K175" s="17" t="s">
        <v>23</v>
      </c>
      <c r="L175" s="17" t="s">
        <v>1623</v>
      </c>
      <c r="M175" s="17" t="s">
        <v>1012</v>
      </c>
      <c r="N175" s="17" t="s">
        <v>1624</v>
      </c>
      <c r="O175" s="18" t="s">
        <v>1017</v>
      </c>
      <c r="P175" s="18" t="s">
        <v>25</v>
      </c>
      <c r="Q175" s="32">
        <f t="shared" si="4"/>
        <v>16</v>
      </c>
      <c r="R175" s="32">
        <f t="shared" si="5"/>
        <v>14</v>
      </c>
      <c r="S175" s="21" t="s">
        <v>2899</v>
      </c>
    </row>
    <row r="176" spans="1:19" x14ac:dyDescent="0.25">
      <c r="A176" s="3">
        <v>174</v>
      </c>
      <c r="B176" s="3" t="s">
        <v>490</v>
      </c>
      <c r="C176" s="17" t="s">
        <v>671</v>
      </c>
      <c r="D176" s="17" t="s">
        <v>1011</v>
      </c>
      <c r="E176" s="17" t="s">
        <v>2987</v>
      </c>
      <c r="F176" s="17" t="s">
        <v>1625</v>
      </c>
      <c r="G176" s="17" t="s">
        <v>68</v>
      </c>
      <c r="H176" s="17" t="s">
        <v>1621</v>
      </c>
      <c r="I176" s="17" t="s">
        <v>28</v>
      </c>
      <c r="J176" s="18" t="s">
        <v>1626</v>
      </c>
      <c r="K176" s="17" t="s">
        <v>23</v>
      </c>
      <c r="L176" s="17" t="s">
        <v>1623</v>
      </c>
      <c r="M176" s="17" t="s">
        <v>1012</v>
      </c>
      <c r="N176" s="17" t="s">
        <v>1624</v>
      </c>
      <c r="O176" s="18" t="s">
        <v>1017</v>
      </c>
      <c r="P176" s="18" t="s">
        <v>25</v>
      </c>
      <c r="Q176" s="32">
        <f t="shared" si="4"/>
        <v>16</v>
      </c>
      <c r="R176" s="32">
        <f t="shared" si="5"/>
        <v>14</v>
      </c>
      <c r="S176" s="21" t="s">
        <v>2899</v>
      </c>
    </row>
    <row r="177" spans="1:19" x14ac:dyDescent="0.25">
      <c r="A177" s="2">
        <v>175</v>
      </c>
      <c r="B177" s="3" t="s">
        <v>490</v>
      </c>
      <c r="C177" s="17" t="s">
        <v>672</v>
      </c>
      <c r="D177" s="17" t="s">
        <v>1011</v>
      </c>
      <c r="E177" s="17" t="s">
        <v>2987</v>
      </c>
      <c r="F177" s="17" t="s">
        <v>103</v>
      </c>
      <c r="G177" s="17" t="s">
        <v>68</v>
      </c>
      <c r="H177" s="17" t="s">
        <v>1621</v>
      </c>
      <c r="I177" s="17" t="s">
        <v>27</v>
      </c>
      <c r="J177" s="18" t="s">
        <v>1627</v>
      </c>
      <c r="K177" s="17" t="s">
        <v>23</v>
      </c>
      <c r="L177" s="17" t="s">
        <v>1623</v>
      </c>
      <c r="M177" s="17" t="s">
        <v>1012</v>
      </c>
      <c r="N177" s="17" t="s">
        <v>1624</v>
      </c>
      <c r="O177" s="18" t="s">
        <v>1017</v>
      </c>
      <c r="P177" s="18" t="s">
        <v>25</v>
      </c>
      <c r="Q177" s="32">
        <f t="shared" si="4"/>
        <v>16</v>
      </c>
      <c r="R177" s="32">
        <f t="shared" si="5"/>
        <v>14</v>
      </c>
      <c r="S177" s="21" t="s">
        <v>2899</v>
      </c>
    </row>
    <row r="178" spans="1:19" x14ac:dyDescent="0.25">
      <c r="A178" s="3">
        <v>176</v>
      </c>
      <c r="B178" s="3" t="s">
        <v>490</v>
      </c>
      <c r="C178" s="17" t="s">
        <v>673</v>
      </c>
      <c r="D178" s="17" t="s">
        <v>1011</v>
      </c>
      <c r="E178" s="17" t="s">
        <v>2987</v>
      </c>
      <c r="F178" s="17" t="s">
        <v>1628</v>
      </c>
      <c r="G178" s="17" t="s">
        <v>68</v>
      </c>
      <c r="H178" s="17" t="s">
        <v>1629</v>
      </c>
      <c r="I178" s="17" t="s">
        <v>26</v>
      </c>
      <c r="J178" s="18" t="s">
        <v>1630</v>
      </c>
      <c r="K178" s="17" t="s">
        <v>23</v>
      </c>
      <c r="L178" s="17" t="s">
        <v>1631</v>
      </c>
      <c r="M178" s="17" t="s">
        <v>1012</v>
      </c>
      <c r="N178" s="17" t="s">
        <v>1632</v>
      </c>
      <c r="O178" s="18" t="s">
        <v>1017</v>
      </c>
      <c r="P178" s="18" t="s">
        <v>25</v>
      </c>
      <c r="Q178" s="32">
        <f t="shared" si="4"/>
        <v>16</v>
      </c>
      <c r="R178" s="32">
        <f t="shared" si="5"/>
        <v>15</v>
      </c>
      <c r="S178" s="21" t="s">
        <v>2915</v>
      </c>
    </row>
    <row r="179" spans="1:19" x14ac:dyDescent="0.25">
      <c r="A179" s="2">
        <v>177</v>
      </c>
      <c r="B179" s="3" t="s">
        <v>490</v>
      </c>
      <c r="C179" s="17" t="s">
        <v>674</v>
      </c>
      <c r="D179" s="17" t="s">
        <v>1011</v>
      </c>
      <c r="E179" s="17" t="s">
        <v>2987</v>
      </c>
      <c r="F179" s="17" t="s">
        <v>103</v>
      </c>
      <c r="G179" s="17" t="s">
        <v>68</v>
      </c>
      <c r="H179" s="17" t="s">
        <v>1629</v>
      </c>
      <c r="I179" s="17" t="s">
        <v>28</v>
      </c>
      <c r="J179" s="18" t="s">
        <v>1633</v>
      </c>
      <c r="K179" s="17" t="s">
        <v>23</v>
      </c>
      <c r="L179" s="17" t="s">
        <v>1631</v>
      </c>
      <c r="M179" s="17" t="s">
        <v>1012</v>
      </c>
      <c r="N179" s="17" t="s">
        <v>1632</v>
      </c>
      <c r="O179" s="18" t="s">
        <v>1017</v>
      </c>
      <c r="P179" s="18" t="s">
        <v>25</v>
      </c>
      <c r="Q179" s="32">
        <f t="shared" si="4"/>
        <v>16</v>
      </c>
      <c r="R179" s="32">
        <f t="shared" si="5"/>
        <v>15</v>
      </c>
      <c r="S179" s="21" t="s">
        <v>2915</v>
      </c>
    </row>
    <row r="180" spans="1:19" x14ac:dyDescent="0.25">
      <c r="A180" s="3">
        <v>178</v>
      </c>
      <c r="B180" s="3" t="s">
        <v>490</v>
      </c>
      <c r="C180" s="17" t="s">
        <v>675</v>
      </c>
      <c r="D180" s="17" t="s">
        <v>1011</v>
      </c>
      <c r="E180" s="17" t="s">
        <v>2987</v>
      </c>
      <c r="F180" s="17" t="s">
        <v>103</v>
      </c>
      <c r="G180" s="17" t="s">
        <v>68</v>
      </c>
      <c r="H180" s="17" t="s">
        <v>1629</v>
      </c>
      <c r="I180" s="17" t="s">
        <v>27</v>
      </c>
      <c r="J180" s="18" t="s">
        <v>1634</v>
      </c>
      <c r="K180" s="17" t="s">
        <v>23</v>
      </c>
      <c r="L180" s="17" t="s">
        <v>1631</v>
      </c>
      <c r="M180" s="17" t="s">
        <v>1012</v>
      </c>
      <c r="N180" s="17" t="s">
        <v>1632</v>
      </c>
      <c r="O180" s="18" t="s">
        <v>1017</v>
      </c>
      <c r="P180" s="18" t="s">
        <v>25</v>
      </c>
      <c r="Q180" s="32">
        <f t="shared" si="4"/>
        <v>16</v>
      </c>
      <c r="R180" s="32">
        <f t="shared" si="5"/>
        <v>15</v>
      </c>
      <c r="S180" s="21" t="s">
        <v>2915</v>
      </c>
    </row>
    <row r="181" spans="1:19" x14ac:dyDescent="0.25">
      <c r="A181" s="2">
        <v>179</v>
      </c>
      <c r="B181" s="3" t="s">
        <v>490</v>
      </c>
      <c r="C181" s="17" t="s">
        <v>676</v>
      </c>
      <c r="D181" s="17" t="s">
        <v>1011</v>
      </c>
      <c r="E181" s="17" t="s">
        <v>2987</v>
      </c>
      <c r="F181" s="17" t="s">
        <v>1635</v>
      </c>
      <c r="G181" s="17" t="s">
        <v>68</v>
      </c>
      <c r="H181" s="17" t="s">
        <v>1636</v>
      </c>
      <c r="I181" s="17" t="s">
        <v>26</v>
      </c>
      <c r="J181" s="18" t="s">
        <v>1637</v>
      </c>
      <c r="K181" s="17" t="s">
        <v>23</v>
      </c>
      <c r="L181" s="17" t="s">
        <v>1638</v>
      </c>
      <c r="M181" s="17" t="s">
        <v>1012</v>
      </c>
      <c r="N181" s="17" t="s">
        <v>1639</v>
      </c>
      <c r="O181" s="18" t="s">
        <v>1017</v>
      </c>
      <c r="P181" s="18" t="s">
        <v>25</v>
      </c>
      <c r="Q181" s="32">
        <f t="shared" si="4"/>
        <v>16</v>
      </c>
      <c r="R181" s="32">
        <f t="shared" si="5"/>
        <v>11</v>
      </c>
      <c r="S181" s="21" t="s">
        <v>2988</v>
      </c>
    </row>
    <row r="182" spans="1:19" x14ac:dyDescent="0.25">
      <c r="A182" s="3">
        <v>180</v>
      </c>
      <c r="B182" s="3" t="s">
        <v>490</v>
      </c>
      <c r="C182" s="17" t="s">
        <v>677</v>
      </c>
      <c r="D182" s="17" t="s">
        <v>1011</v>
      </c>
      <c r="E182" s="17" t="s">
        <v>2987</v>
      </c>
      <c r="F182" s="17" t="s">
        <v>1640</v>
      </c>
      <c r="G182" s="17" t="s">
        <v>68</v>
      </c>
      <c r="H182" s="17" t="s">
        <v>1641</v>
      </c>
      <c r="I182" s="17" t="s">
        <v>26</v>
      </c>
      <c r="J182" s="18" t="s">
        <v>1642</v>
      </c>
      <c r="K182" s="17" t="s">
        <v>23</v>
      </c>
      <c r="L182" s="17" t="s">
        <v>1643</v>
      </c>
      <c r="M182" s="17" t="s">
        <v>1012</v>
      </c>
      <c r="N182" s="17" t="s">
        <v>1644</v>
      </c>
      <c r="O182" s="18" t="s">
        <v>1017</v>
      </c>
      <c r="P182" s="18" t="s">
        <v>25</v>
      </c>
      <c r="Q182" s="32">
        <f t="shared" si="4"/>
        <v>16</v>
      </c>
      <c r="R182" s="32">
        <f t="shared" si="5"/>
        <v>11</v>
      </c>
      <c r="S182" s="21" t="s">
        <v>2989</v>
      </c>
    </row>
    <row r="183" spans="1:19" x14ac:dyDescent="0.25">
      <c r="A183" s="2">
        <v>181</v>
      </c>
      <c r="B183" s="3" t="s">
        <v>490</v>
      </c>
      <c r="C183" s="17" t="s">
        <v>678</v>
      </c>
      <c r="D183" s="17" t="s">
        <v>1011</v>
      </c>
      <c r="E183" s="17" t="s">
        <v>2987</v>
      </c>
      <c r="F183" s="17" t="s">
        <v>1645</v>
      </c>
      <c r="G183" s="17" t="s">
        <v>68</v>
      </c>
      <c r="H183" s="17" t="s">
        <v>1641</v>
      </c>
      <c r="I183" s="17" t="s">
        <v>22</v>
      </c>
      <c r="J183" s="18" t="s">
        <v>1646</v>
      </c>
      <c r="K183" s="17" t="s">
        <v>23</v>
      </c>
      <c r="L183" s="17" t="s">
        <v>1643</v>
      </c>
      <c r="M183" s="17" t="s">
        <v>1012</v>
      </c>
      <c r="N183" s="17" t="s">
        <v>1644</v>
      </c>
      <c r="O183" s="18" t="s">
        <v>1017</v>
      </c>
      <c r="P183" s="18" t="s">
        <v>25</v>
      </c>
      <c r="Q183" s="32">
        <f t="shared" si="4"/>
        <v>16</v>
      </c>
      <c r="R183" s="32">
        <f t="shared" si="5"/>
        <v>11</v>
      </c>
      <c r="S183" s="21" t="s">
        <v>2915</v>
      </c>
    </row>
    <row r="184" spans="1:19" x14ac:dyDescent="0.25">
      <c r="A184" s="3">
        <v>182</v>
      </c>
      <c r="B184" s="3" t="s">
        <v>490</v>
      </c>
      <c r="C184" s="17" t="s">
        <v>679</v>
      </c>
      <c r="D184" s="17" t="s">
        <v>1011</v>
      </c>
      <c r="E184" s="17" t="s">
        <v>2987</v>
      </c>
      <c r="F184" s="17" t="s">
        <v>103</v>
      </c>
      <c r="G184" s="17" t="s">
        <v>68</v>
      </c>
      <c r="H184" s="17" t="s">
        <v>1641</v>
      </c>
      <c r="I184" s="17" t="s">
        <v>28</v>
      </c>
      <c r="J184" s="18" t="s">
        <v>1647</v>
      </c>
      <c r="K184" s="17" t="s">
        <v>23</v>
      </c>
      <c r="L184" s="17" t="s">
        <v>1643</v>
      </c>
      <c r="M184" s="17" t="s">
        <v>1012</v>
      </c>
      <c r="N184" s="17" t="s">
        <v>1644</v>
      </c>
      <c r="O184" s="18" t="s">
        <v>1017</v>
      </c>
      <c r="P184" s="18" t="s">
        <v>25</v>
      </c>
      <c r="Q184" s="32">
        <f t="shared" si="4"/>
        <v>16</v>
      </c>
      <c r="R184" s="32">
        <f t="shared" si="5"/>
        <v>11</v>
      </c>
      <c r="S184" s="21" t="s">
        <v>2915</v>
      </c>
    </row>
    <row r="185" spans="1:19" x14ac:dyDescent="0.25">
      <c r="A185" s="2">
        <v>183</v>
      </c>
      <c r="B185" s="3" t="s">
        <v>490</v>
      </c>
      <c r="C185" s="17" t="s">
        <v>680</v>
      </c>
      <c r="D185" s="17" t="s">
        <v>1011</v>
      </c>
      <c r="E185" s="17" t="s">
        <v>2987</v>
      </c>
      <c r="F185" s="17" t="s">
        <v>103</v>
      </c>
      <c r="G185" s="17" t="s">
        <v>68</v>
      </c>
      <c r="H185" s="17" t="s">
        <v>1641</v>
      </c>
      <c r="I185" s="17" t="s">
        <v>27</v>
      </c>
      <c r="J185" s="18" t="s">
        <v>1648</v>
      </c>
      <c r="K185" s="17" t="s">
        <v>23</v>
      </c>
      <c r="L185" s="17" t="s">
        <v>1643</v>
      </c>
      <c r="M185" s="17" t="s">
        <v>1012</v>
      </c>
      <c r="N185" s="17" t="s">
        <v>1644</v>
      </c>
      <c r="O185" s="18" t="s">
        <v>1017</v>
      </c>
      <c r="P185" s="18" t="s">
        <v>25</v>
      </c>
      <c r="Q185" s="32">
        <f t="shared" si="4"/>
        <v>16</v>
      </c>
      <c r="R185" s="32">
        <f t="shared" si="5"/>
        <v>11</v>
      </c>
      <c r="S185" s="21" t="s">
        <v>2915</v>
      </c>
    </row>
    <row r="186" spans="1:19" x14ac:dyDescent="0.25">
      <c r="A186" s="3">
        <v>184</v>
      </c>
      <c r="B186" s="3" t="s">
        <v>490</v>
      </c>
      <c r="C186" s="17" t="s">
        <v>681</v>
      </c>
      <c r="D186" s="17" t="s">
        <v>1011</v>
      </c>
      <c r="E186" s="17" t="s">
        <v>2987</v>
      </c>
      <c r="F186" s="17" t="s">
        <v>103</v>
      </c>
      <c r="G186" s="17" t="s">
        <v>68</v>
      </c>
      <c r="H186" s="17" t="s">
        <v>1649</v>
      </c>
      <c r="I186" s="17" t="s">
        <v>28</v>
      </c>
      <c r="J186" s="18" t="s">
        <v>1650</v>
      </c>
      <c r="K186" s="17" t="s">
        <v>23</v>
      </c>
      <c r="L186" s="17" t="s">
        <v>1651</v>
      </c>
      <c r="M186" s="17" t="s">
        <v>1012</v>
      </c>
      <c r="N186" s="17" t="s">
        <v>1652</v>
      </c>
      <c r="O186" s="18" t="s">
        <v>1017</v>
      </c>
      <c r="P186" s="18" t="s">
        <v>25</v>
      </c>
      <c r="Q186" s="32">
        <f t="shared" si="4"/>
        <v>16</v>
      </c>
      <c r="R186" s="32">
        <f t="shared" si="5"/>
        <v>11</v>
      </c>
      <c r="S186" s="21" t="s">
        <v>2899</v>
      </c>
    </row>
    <row r="187" spans="1:19" x14ac:dyDescent="0.25">
      <c r="A187" s="2">
        <v>185</v>
      </c>
      <c r="B187" s="3" t="s">
        <v>490</v>
      </c>
      <c r="C187" s="17" t="s">
        <v>682</v>
      </c>
      <c r="D187" s="17" t="s">
        <v>1011</v>
      </c>
      <c r="E187" s="17" t="s">
        <v>2987</v>
      </c>
      <c r="F187" s="17" t="s">
        <v>1653</v>
      </c>
      <c r="G187" s="17" t="s">
        <v>68</v>
      </c>
      <c r="H187" s="17" t="s">
        <v>1654</v>
      </c>
      <c r="I187" s="17" t="s">
        <v>26</v>
      </c>
      <c r="J187" s="18" t="s">
        <v>1655</v>
      </c>
      <c r="K187" s="17" t="s">
        <v>23</v>
      </c>
      <c r="L187" s="17" t="s">
        <v>1656</v>
      </c>
      <c r="M187" s="17" t="s">
        <v>1012</v>
      </c>
      <c r="N187" s="17" t="s">
        <v>1657</v>
      </c>
      <c r="O187" s="18" t="s">
        <v>1017</v>
      </c>
      <c r="P187" s="18" t="s">
        <v>25</v>
      </c>
      <c r="Q187" s="32">
        <f t="shared" si="4"/>
        <v>16</v>
      </c>
      <c r="R187" s="32">
        <f t="shared" si="5"/>
        <v>7</v>
      </c>
      <c r="S187" s="21" t="s">
        <v>2915</v>
      </c>
    </row>
    <row r="188" spans="1:19" x14ac:dyDescent="0.25">
      <c r="A188" s="3">
        <v>186</v>
      </c>
      <c r="B188" s="3" t="s">
        <v>490</v>
      </c>
      <c r="C188" s="17" t="s">
        <v>683</v>
      </c>
      <c r="D188" s="17" t="s">
        <v>1011</v>
      </c>
      <c r="E188" s="17" t="s">
        <v>2987</v>
      </c>
      <c r="F188" s="17" t="s">
        <v>1658</v>
      </c>
      <c r="G188" s="17" t="s">
        <v>68</v>
      </c>
      <c r="H188" s="17" t="s">
        <v>1654</v>
      </c>
      <c r="I188" s="17" t="s">
        <v>22</v>
      </c>
      <c r="J188" s="18" t="s">
        <v>1659</v>
      </c>
      <c r="K188" s="17" t="s">
        <v>23</v>
      </c>
      <c r="L188" s="17" t="s">
        <v>1656</v>
      </c>
      <c r="M188" s="17" t="s">
        <v>1012</v>
      </c>
      <c r="N188" s="17" t="s">
        <v>1657</v>
      </c>
      <c r="O188" s="18" t="s">
        <v>1017</v>
      </c>
      <c r="P188" s="18" t="s">
        <v>25</v>
      </c>
      <c r="Q188" s="32">
        <f t="shared" si="4"/>
        <v>16</v>
      </c>
      <c r="R188" s="32">
        <f t="shared" si="5"/>
        <v>7</v>
      </c>
      <c r="S188" s="21" t="s">
        <v>2915</v>
      </c>
    </row>
    <row r="189" spans="1:19" x14ac:dyDescent="0.25">
      <c r="A189" s="2">
        <v>187</v>
      </c>
      <c r="B189" s="3" t="s">
        <v>490</v>
      </c>
      <c r="C189" s="17" t="s">
        <v>684</v>
      </c>
      <c r="D189" s="17" t="s">
        <v>1011</v>
      </c>
      <c r="E189" s="17" t="s">
        <v>2987</v>
      </c>
      <c r="F189" s="17" t="s">
        <v>103</v>
      </c>
      <c r="G189" s="17" t="s">
        <v>68</v>
      </c>
      <c r="H189" s="17" t="s">
        <v>1654</v>
      </c>
      <c r="I189" s="17" t="s">
        <v>28</v>
      </c>
      <c r="J189" s="18" t="s">
        <v>1660</v>
      </c>
      <c r="K189" s="17" t="s">
        <v>23</v>
      </c>
      <c r="L189" s="17" t="s">
        <v>1656</v>
      </c>
      <c r="M189" s="17" t="s">
        <v>1012</v>
      </c>
      <c r="N189" s="17" t="s">
        <v>1657</v>
      </c>
      <c r="O189" s="18" t="s">
        <v>1017</v>
      </c>
      <c r="P189" s="18" t="s">
        <v>25</v>
      </c>
      <c r="Q189" s="32">
        <f t="shared" si="4"/>
        <v>16</v>
      </c>
      <c r="R189" s="32">
        <f t="shared" si="5"/>
        <v>7</v>
      </c>
      <c r="S189" s="21" t="s">
        <v>2915</v>
      </c>
    </row>
    <row r="190" spans="1:19" x14ac:dyDescent="0.25">
      <c r="A190" s="3">
        <v>188</v>
      </c>
      <c r="B190" s="3" t="s">
        <v>490</v>
      </c>
      <c r="C190" s="17" t="s">
        <v>685</v>
      </c>
      <c r="D190" s="17" t="s">
        <v>1011</v>
      </c>
      <c r="E190" s="17" t="s">
        <v>2987</v>
      </c>
      <c r="F190" s="17" t="s">
        <v>1661</v>
      </c>
      <c r="G190" s="17" t="s">
        <v>68</v>
      </c>
      <c r="H190" s="17" t="s">
        <v>1662</v>
      </c>
      <c r="I190" s="17" t="s">
        <v>26</v>
      </c>
      <c r="J190" s="18" t="s">
        <v>1663</v>
      </c>
      <c r="K190" s="17" t="s">
        <v>23</v>
      </c>
      <c r="L190" s="17" t="s">
        <v>1664</v>
      </c>
      <c r="M190" s="17" t="s">
        <v>1012</v>
      </c>
      <c r="N190" s="17" t="s">
        <v>1665</v>
      </c>
      <c r="O190" s="18" t="s">
        <v>1017</v>
      </c>
      <c r="P190" s="18" t="s">
        <v>25</v>
      </c>
      <c r="Q190" s="32">
        <f t="shared" si="4"/>
        <v>16</v>
      </c>
      <c r="R190" s="32">
        <f t="shared" si="5"/>
        <v>11</v>
      </c>
      <c r="S190" s="21" t="s">
        <v>2990</v>
      </c>
    </row>
    <row r="191" spans="1:19" x14ac:dyDescent="0.25">
      <c r="A191" s="2">
        <v>189</v>
      </c>
      <c r="B191" s="3" t="s">
        <v>490</v>
      </c>
      <c r="C191" s="17" t="s">
        <v>686</v>
      </c>
      <c r="D191" s="17" t="s">
        <v>1011</v>
      </c>
      <c r="E191" s="17" t="s">
        <v>2987</v>
      </c>
      <c r="F191" s="17" t="s">
        <v>1666</v>
      </c>
      <c r="G191" s="17" t="s">
        <v>68</v>
      </c>
      <c r="H191" s="17" t="s">
        <v>1667</v>
      </c>
      <c r="I191" s="17" t="s">
        <v>26</v>
      </c>
      <c r="J191" s="18" t="s">
        <v>1668</v>
      </c>
      <c r="K191" s="17" t="s">
        <v>23</v>
      </c>
      <c r="L191" s="17" t="s">
        <v>1669</v>
      </c>
      <c r="M191" s="17" t="s">
        <v>1012</v>
      </c>
      <c r="N191" s="17" t="s">
        <v>1670</v>
      </c>
      <c r="O191" s="18" t="s">
        <v>1017</v>
      </c>
      <c r="P191" s="18" t="s">
        <v>25</v>
      </c>
      <c r="Q191" s="32">
        <f t="shared" si="4"/>
        <v>16</v>
      </c>
      <c r="R191" s="32">
        <f t="shared" si="5"/>
        <v>7</v>
      </c>
      <c r="S191" s="21" t="s">
        <v>2991</v>
      </c>
    </row>
    <row r="192" spans="1:19" x14ac:dyDescent="0.25">
      <c r="A192" s="3">
        <v>190</v>
      </c>
      <c r="B192" s="3" t="s">
        <v>490</v>
      </c>
      <c r="C192" s="17" t="s">
        <v>687</v>
      </c>
      <c r="D192" s="17" t="s">
        <v>1011</v>
      </c>
      <c r="E192" s="17" t="s">
        <v>2987</v>
      </c>
      <c r="F192" s="17" t="s">
        <v>1671</v>
      </c>
      <c r="G192" s="17" t="s">
        <v>68</v>
      </c>
      <c r="H192" s="17" t="s">
        <v>1667</v>
      </c>
      <c r="I192" s="17" t="s">
        <v>22</v>
      </c>
      <c r="J192" s="18" t="s">
        <v>1672</v>
      </c>
      <c r="K192" s="17" t="s">
        <v>23</v>
      </c>
      <c r="L192" s="17" t="s">
        <v>1673</v>
      </c>
      <c r="M192" s="17" t="s">
        <v>1012</v>
      </c>
      <c r="N192" s="17" t="s">
        <v>1674</v>
      </c>
      <c r="O192" s="18" t="s">
        <v>1017</v>
      </c>
      <c r="P192" s="18" t="s">
        <v>25</v>
      </c>
      <c r="Q192" s="32">
        <f t="shared" si="4"/>
        <v>16</v>
      </c>
      <c r="R192" s="32">
        <f t="shared" si="5"/>
        <v>7</v>
      </c>
      <c r="S192" s="21" t="s">
        <v>2915</v>
      </c>
    </row>
    <row r="193" spans="1:19" x14ac:dyDescent="0.25">
      <c r="A193" s="2">
        <v>191</v>
      </c>
      <c r="B193" s="3" t="s">
        <v>490</v>
      </c>
      <c r="C193" s="17" t="s">
        <v>688</v>
      </c>
      <c r="D193" s="17" t="s">
        <v>1011</v>
      </c>
      <c r="E193" s="17" t="s">
        <v>2987</v>
      </c>
      <c r="F193" s="17" t="s">
        <v>1675</v>
      </c>
      <c r="G193" s="17" t="s">
        <v>68</v>
      </c>
      <c r="H193" s="17" t="s">
        <v>1667</v>
      </c>
      <c r="I193" s="17" t="s">
        <v>28</v>
      </c>
      <c r="J193" s="18" t="s">
        <v>1676</v>
      </c>
      <c r="K193" s="17" t="s">
        <v>23</v>
      </c>
      <c r="L193" s="17" t="s">
        <v>1669</v>
      </c>
      <c r="M193" s="17" t="s">
        <v>1012</v>
      </c>
      <c r="N193" s="17" t="s">
        <v>1670</v>
      </c>
      <c r="O193" s="18" t="s">
        <v>1017</v>
      </c>
      <c r="P193" s="18" t="s">
        <v>25</v>
      </c>
      <c r="Q193" s="32">
        <f t="shared" si="4"/>
        <v>16</v>
      </c>
      <c r="R193" s="32">
        <f t="shared" si="5"/>
        <v>7</v>
      </c>
      <c r="S193" s="21" t="s">
        <v>2915</v>
      </c>
    </row>
    <row r="194" spans="1:19" x14ac:dyDescent="0.25">
      <c r="A194" s="3">
        <v>192</v>
      </c>
      <c r="B194" s="3" t="s">
        <v>490</v>
      </c>
      <c r="C194" s="17" t="s">
        <v>689</v>
      </c>
      <c r="D194" s="17" t="s">
        <v>1011</v>
      </c>
      <c r="E194" s="17" t="s">
        <v>2987</v>
      </c>
      <c r="F194" s="17" t="s">
        <v>1677</v>
      </c>
      <c r="G194" s="17" t="s">
        <v>68</v>
      </c>
      <c r="H194" s="17" t="s">
        <v>1678</v>
      </c>
      <c r="I194" s="17" t="s">
        <v>22</v>
      </c>
      <c r="J194" s="18" t="s">
        <v>1679</v>
      </c>
      <c r="K194" s="17" t="s">
        <v>23</v>
      </c>
      <c r="L194" s="17" t="s">
        <v>1680</v>
      </c>
      <c r="M194" s="17" t="s">
        <v>1012</v>
      </c>
      <c r="N194" s="17" t="s">
        <v>1681</v>
      </c>
      <c r="O194" s="18" t="s">
        <v>1017</v>
      </c>
      <c r="P194" s="18" t="s">
        <v>25</v>
      </c>
      <c r="Q194" s="32">
        <f t="shared" si="4"/>
        <v>16</v>
      </c>
      <c r="R194" s="32">
        <f t="shared" si="5"/>
        <v>11</v>
      </c>
      <c r="S194" s="21" t="s">
        <v>2992</v>
      </c>
    </row>
    <row r="195" spans="1:19" x14ac:dyDescent="0.25">
      <c r="A195" s="2">
        <v>193</v>
      </c>
      <c r="B195" s="3" t="s">
        <v>490</v>
      </c>
      <c r="C195" s="17" t="s">
        <v>690</v>
      </c>
      <c r="D195" s="17" t="s">
        <v>1011</v>
      </c>
      <c r="E195" s="17" t="s">
        <v>2987</v>
      </c>
      <c r="F195" s="17" t="s">
        <v>103</v>
      </c>
      <c r="G195" s="17" t="s">
        <v>68</v>
      </c>
      <c r="H195" s="17" t="s">
        <v>1678</v>
      </c>
      <c r="I195" s="17" t="s">
        <v>28</v>
      </c>
      <c r="J195" s="18" t="s">
        <v>1682</v>
      </c>
      <c r="K195" s="17" t="s">
        <v>23</v>
      </c>
      <c r="L195" s="17" t="s">
        <v>1680</v>
      </c>
      <c r="M195" s="17" t="s">
        <v>1012</v>
      </c>
      <c r="N195" s="17" t="s">
        <v>1681</v>
      </c>
      <c r="O195" s="18" t="s">
        <v>1017</v>
      </c>
      <c r="P195" s="18" t="s">
        <v>25</v>
      </c>
      <c r="Q195" s="32">
        <f t="shared" ref="Q195:Q258" si="6">LEN(L195)</f>
        <v>16</v>
      </c>
      <c r="R195" s="32">
        <f t="shared" ref="R195:R258" si="7">LEN(N195)</f>
        <v>11</v>
      </c>
      <c r="S195" s="21" t="s">
        <v>2915</v>
      </c>
    </row>
    <row r="196" spans="1:19" x14ac:dyDescent="0.25">
      <c r="A196" s="3">
        <v>194</v>
      </c>
      <c r="B196" s="3" t="s">
        <v>490</v>
      </c>
      <c r="C196" s="17" t="s">
        <v>691</v>
      </c>
      <c r="D196" s="17" t="s">
        <v>1011</v>
      </c>
      <c r="E196" s="17" t="s">
        <v>2987</v>
      </c>
      <c r="F196" s="17" t="s">
        <v>1683</v>
      </c>
      <c r="G196" s="17" t="s">
        <v>68</v>
      </c>
      <c r="H196" s="17" t="s">
        <v>1684</v>
      </c>
      <c r="I196" s="17" t="s">
        <v>26</v>
      </c>
      <c r="J196" s="18" t="s">
        <v>1685</v>
      </c>
      <c r="K196" s="17" t="s">
        <v>23</v>
      </c>
      <c r="L196" s="17" t="s">
        <v>1686</v>
      </c>
      <c r="M196" s="17" t="s">
        <v>1012</v>
      </c>
      <c r="N196" s="17" t="s">
        <v>1687</v>
      </c>
      <c r="O196" s="18" t="s">
        <v>1017</v>
      </c>
      <c r="P196" s="18" t="s">
        <v>25</v>
      </c>
      <c r="Q196" s="32">
        <f t="shared" si="6"/>
        <v>16</v>
      </c>
      <c r="R196" s="32">
        <f t="shared" si="7"/>
        <v>13</v>
      </c>
      <c r="S196" s="21" t="s">
        <v>2915</v>
      </c>
    </row>
    <row r="197" spans="1:19" x14ac:dyDescent="0.25">
      <c r="A197" s="2">
        <v>195</v>
      </c>
      <c r="B197" s="3" t="s">
        <v>490</v>
      </c>
      <c r="C197" s="17" t="s">
        <v>692</v>
      </c>
      <c r="D197" s="17" t="s">
        <v>1011</v>
      </c>
      <c r="E197" s="17" t="s">
        <v>2987</v>
      </c>
      <c r="F197" s="17" t="s">
        <v>1688</v>
      </c>
      <c r="G197" s="17" t="s">
        <v>68</v>
      </c>
      <c r="H197" s="17" t="s">
        <v>1689</v>
      </c>
      <c r="I197" s="17" t="s">
        <v>22</v>
      </c>
      <c r="J197" s="18" t="s">
        <v>1690</v>
      </c>
      <c r="K197" s="17" t="s">
        <v>23</v>
      </c>
      <c r="L197" s="17" t="s">
        <v>1691</v>
      </c>
      <c r="M197" s="17" t="s">
        <v>1012</v>
      </c>
      <c r="N197" s="17" t="s">
        <v>1692</v>
      </c>
      <c r="O197" s="18" t="s">
        <v>1017</v>
      </c>
      <c r="P197" s="18" t="s">
        <v>25</v>
      </c>
      <c r="Q197" s="32">
        <f t="shared" si="6"/>
        <v>16</v>
      </c>
      <c r="R197" s="32">
        <f t="shared" si="7"/>
        <v>15</v>
      </c>
      <c r="S197" s="21" t="s">
        <v>2915</v>
      </c>
    </row>
    <row r="198" spans="1:19" x14ac:dyDescent="0.25">
      <c r="A198" s="3">
        <v>196</v>
      </c>
      <c r="B198" s="3" t="s">
        <v>490</v>
      </c>
      <c r="C198" s="17" t="s">
        <v>693</v>
      </c>
      <c r="D198" s="17" t="s">
        <v>1011</v>
      </c>
      <c r="E198" s="17" t="s">
        <v>2987</v>
      </c>
      <c r="F198" s="17" t="s">
        <v>1693</v>
      </c>
      <c r="G198" s="17" t="s">
        <v>68</v>
      </c>
      <c r="H198" s="17" t="s">
        <v>1694</v>
      </c>
      <c r="I198" s="17" t="s">
        <v>26</v>
      </c>
      <c r="J198" s="18" t="s">
        <v>1695</v>
      </c>
      <c r="K198" s="17" t="s">
        <v>23</v>
      </c>
      <c r="L198" s="17" t="s">
        <v>1696</v>
      </c>
      <c r="M198" s="17" t="s">
        <v>1012</v>
      </c>
      <c r="N198" s="17" t="s">
        <v>1697</v>
      </c>
      <c r="O198" s="18" t="s">
        <v>1017</v>
      </c>
      <c r="P198" s="18" t="s">
        <v>25</v>
      </c>
      <c r="Q198" s="32">
        <f t="shared" si="6"/>
        <v>16</v>
      </c>
      <c r="R198" s="32">
        <f t="shared" si="7"/>
        <v>11</v>
      </c>
      <c r="S198" s="21" t="s">
        <v>2915</v>
      </c>
    </row>
    <row r="199" spans="1:19" x14ac:dyDescent="0.25">
      <c r="A199" s="2">
        <v>197</v>
      </c>
      <c r="B199" s="3" t="s">
        <v>490</v>
      </c>
      <c r="C199" s="17" t="s">
        <v>694</v>
      </c>
      <c r="D199" s="17" t="s">
        <v>1011</v>
      </c>
      <c r="E199" s="17" t="s">
        <v>2987</v>
      </c>
      <c r="F199" s="17" t="s">
        <v>1698</v>
      </c>
      <c r="G199" s="17" t="s">
        <v>68</v>
      </c>
      <c r="H199" s="17" t="s">
        <v>1694</v>
      </c>
      <c r="I199" s="17" t="s">
        <v>22</v>
      </c>
      <c r="J199" s="18" t="s">
        <v>1699</v>
      </c>
      <c r="K199" s="17" t="s">
        <v>23</v>
      </c>
      <c r="L199" s="17" t="s">
        <v>1696</v>
      </c>
      <c r="M199" s="17" t="s">
        <v>1012</v>
      </c>
      <c r="N199" s="17" t="s">
        <v>1697</v>
      </c>
      <c r="O199" s="18" t="s">
        <v>1017</v>
      </c>
      <c r="P199" s="18" t="s">
        <v>25</v>
      </c>
      <c r="Q199" s="32">
        <f t="shared" si="6"/>
        <v>16</v>
      </c>
      <c r="R199" s="32">
        <f t="shared" si="7"/>
        <v>11</v>
      </c>
      <c r="S199" s="21" t="s">
        <v>2915</v>
      </c>
    </row>
    <row r="200" spans="1:19" x14ac:dyDescent="0.25">
      <c r="A200" s="3">
        <v>198</v>
      </c>
      <c r="B200" s="3" t="s">
        <v>490</v>
      </c>
      <c r="C200" s="17" t="s">
        <v>695</v>
      </c>
      <c r="D200" s="17" t="s">
        <v>1011</v>
      </c>
      <c r="E200" s="17" t="s">
        <v>2987</v>
      </c>
      <c r="F200" s="17" t="s">
        <v>1700</v>
      </c>
      <c r="G200" s="17" t="s">
        <v>68</v>
      </c>
      <c r="H200" s="17" t="s">
        <v>1694</v>
      </c>
      <c r="I200" s="17" t="s">
        <v>28</v>
      </c>
      <c r="J200" s="18" t="s">
        <v>1701</v>
      </c>
      <c r="K200" s="17" t="s">
        <v>23</v>
      </c>
      <c r="L200" s="17" t="s">
        <v>1696</v>
      </c>
      <c r="M200" s="17" t="s">
        <v>1012</v>
      </c>
      <c r="N200" s="17" t="s">
        <v>1697</v>
      </c>
      <c r="O200" s="18" t="s">
        <v>1017</v>
      </c>
      <c r="P200" s="18" t="s">
        <v>25</v>
      </c>
      <c r="Q200" s="32">
        <f t="shared" si="6"/>
        <v>16</v>
      </c>
      <c r="R200" s="32">
        <f t="shared" si="7"/>
        <v>11</v>
      </c>
      <c r="S200" s="21" t="s">
        <v>2915</v>
      </c>
    </row>
    <row r="201" spans="1:19" x14ac:dyDescent="0.25">
      <c r="A201" s="2">
        <v>199</v>
      </c>
      <c r="B201" s="3" t="s">
        <v>490</v>
      </c>
      <c r="C201" s="17" t="s">
        <v>696</v>
      </c>
      <c r="D201" s="17" t="s">
        <v>1011</v>
      </c>
      <c r="E201" s="17" t="s">
        <v>2987</v>
      </c>
      <c r="F201" s="17" t="s">
        <v>1702</v>
      </c>
      <c r="G201" s="17" t="s">
        <v>68</v>
      </c>
      <c r="H201" s="17" t="s">
        <v>1703</v>
      </c>
      <c r="I201" s="17" t="s">
        <v>26</v>
      </c>
      <c r="J201" s="18" t="s">
        <v>1704</v>
      </c>
      <c r="K201" s="17" t="s">
        <v>23</v>
      </c>
      <c r="L201" s="17" t="s">
        <v>1705</v>
      </c>
      <c r="M201" s="17" t="s">
        <v>1012</v>
      </c>
      <c r="N201" s="17" t="s">
        <v>1706</v>
      </c>
      <c r="O201" s="18" t="s">
        <v>1017</v>
      </c>
      <c r="P201" s="18" t="s">
        <v>25</v>
      </c>
      <c r="Q201" s="32">
        <f t="shared" si="6"/>
        <v>16</v>
      </c>
      <c r="R201" s="32">
        <f t="shared" si="7"/>
        <v>11</v>
      </c>
      <c r="S201" s="21" t="s">
        <v>2915</v>
      </c>
    </row>
    <row r="202" spans="1:19" x14ac:dyDescent="0.25">
      <c r="A202" s="3">
        <v>200</v>
      </c>
      <c r="B202" s="3" t="s">
        <v>490</v>
      </c>
      <c r="C202" s="17" t="s">
        <v>697</v>
      </c>
      <c r="D202" s="17" t="s">
        <v>1011</v>
      </c>
      <c r="E202" s="17" t="s">
        <v>2987</v>
      </c>
      <c r="F202" s="17" t="s">
        <v>1707</v>
      </c>
      <c r="G202" s="17" t="s">
        <v>68</v>
      </c>
      <c r="H202" s="17" t="s">
        <v>1703</v>
      </c>
      <c r="I202" s="17" t="s">
        <v>22</v>
      </c>
      <c r="J202" s="18" t="s">
        <v>1708</v>
      </c>
      <c r="K202" s="17" t="s">
        <v>23</v>
      </c>
      <c r="L202" s="17" t="s">
        <v>1705</v>
      </c>
      <c r="M202" s="17" t="s">
        <v>1012</v>
      </c>
      <c r="N202" s="17" t="s">
        <v>1706</v>
      </c>
      <c r="O202" s="18" t="s">
        <v>1017</v>
      </c>
      <c r="P202" s="18" t="s">
        <v>25</v>
      </c>
      <c r="Q202" s="32">
        <f t="shared" si="6"/>
        <v>16</v>
      </c>
      <c r="R202" s="32">
        <f t="shared" si="7"/>
        <v>11</v>
      </c>
      <c r="S202" s="21" t="s">
        <v>2915</v>
      </c>
    </row>
    <row r="203" spans="1:19" x14ac:dyDescent="0.25">
      <c r="A203" s="2">
        <v>201</v>
      </c>
      <c r="B203" s="3" t="s">
        <v>490</v>
      </c>
      <c r="C203" s="17" t="s">
        <v>698</v>
      </c>
      <c r="D203" s="17" t="s">
        <v>1011</v>
      </c>
      <c r="E203" s="17" t="s">
        <v>2987</v>
      </c>
      <c r="F203" s="17" t="s">
        <v>103</v>
      </c>
      <c r="G203" s="17" t="s">
        <v>68</v>
      </c>
      <c r="H203" s="17" t="s">
        <v>1703</v>
      </c>
      <c r="I203" s="17" t="s">
        <v>28</v>
      </c>
      <c r="J203" s="18" t="s">
        <v>1709</v>
      </c>
      <c r="K203" s="17" t="s">
        <v>23</v>
      </c>
      <c r="L203" s="17" t="s">
        <v>1705</v>
      </c>
      <c r="M203" s="17" t="s">
        <v>1012</v>
      </c>
      <c r="N203" s="17" t="s">
        <v>1706</v>
      </c>
      <c r="O203" s="18" t="s">
        <v>1017</v>
      </c>
      <c r="P203" s="18" t="s">
        <v>25</v>
      </c>
      <c r="Q203" s="32">
        <f t="shared" si="6"/>
        <v>16</v>
      </c>
      <c r="R203" s="32">
        <f t="shared" si="7"/>
        <v>11</v>
      </c>
      <c r="S203" s="21" t="s">
        <v>2915</v>
      </c>
    </row>
    <row r="204" spans="1:19" x14ac:dyDescent="0.25">
      <c r="A204" s="3">
        <v>202</v>
      </c>
      <c r="B204" s="3" t="s">
        <v>490</v>
      </c>
      <c r="C204" s="17" t="s">
        <v>699</v>
      </c>
      <c r="D204" s="17" t="s">
        <v>1011</v>
      </c>
      <c r="E204" s="17" t="s">
        <v>2987</v>
      </c>
      <c r="F204" s="17" t="s">
        <v>1710</v>
      </c>
      <c r="G204" s="17" t="s">
        <v>68</v>
      </c>
      <c r="H204" s="17" t="s">
        <v>1711</v>
      </c>
      <c r="I204" s="17" t="s">
        <v>26</v>
      </c>
      <c r="J204" s="18" t="s">
        <v>1712</v>
      </c>
      <c r="K204" s="17" t="s">
        <v>23</v>
      </c>
      <c r="L204" s="17" t="s">
        <v>1713</v>
      </c>
      <c r="M204" s="17" t="s">
        <v>1012</v>
      </c>
      <c r="N204" s="17" t="s">
        <v>1714</v>
      </c>
      <c r="O204" s="18" t="s">
        <v>1017</v>
      </c>
      <c r="P204" s="18" t="s">
        <v>25</v>
      </c>
      <c r="Q204" s="32">
        <f t="shared" si="6"/>
        <v>16</v>
      </c>
      <c r="R204" s="32">
        <f t="shared" si="7"/>
        <v>14</v>
      </c>
      <c r="S204" s="21" t="s">
        <v>2915</v>
      </c>
    </row>
    <row r="205" spans="1:19" x14ac:dyDescent="0.25">
      <c r="A205" s="2">
        <v>203</v>
      </c>
      <c r="B205" s="3" t="s">
        <v>490</v>
      </c>
      <c r="C205" s="17" t="s">
        <v>700</v>
      </c>
      <c r="D205" s="17" t="s">
        <v>1011</v>
      </c>
      <c r="E205" s="17" t="s">
        <v>2987</v>
      </c>
      <c r="F205" s="17" t="s">
        <v>1715</v>
      </c>
      <c r="G205" s="17" t="s">
        <v>68</v>
      </c>
      <c r="H205" s="17" t="s">
        <v>1711</v>
      </c>
      <c r="I205" s="17" t="s">
        <v>22</v>
      </c>
      <c r="J205" s="18" t="s">
        <v>1716</v>
      </c>
      <c r="K205" s="17" t="s">
        <v>23</v>
      </c>
      <c r="L205" s="17" t="s">
        <v>1713</v>
      </c>
      <c r="M205" s="17" t="s">
        <v>1012</v>
      </c>
      <c r="N205" s="17" t="s">
        <v>1714</v>
      </c>
      <c r="O205" s="18" t="s">
        <v>1017</v>
      </c>
      <c r="P205" s="18" t="s">
        <v>25</v>
      </c>
      <c r="Q205" s="32">
        <f t="shared" si="6"/>
        <v>16</v>
      </c>
      <c r="R205" s="32">
        <f t="shared" si="7"/>
        <v>14</v>
      </c>
      <c r="S205" s="21" t="s">
        <v>2915</v>
      </c>
    </row>
    <row r="206" spans="1:19" x14ac:dyDescent="0.25">
      <c r="A206" s="3">
        <v>204</v>
      </c>
      <c r="B206" s="3" t="s">
        <v>490</v>
      </c>
      <c r="C206" s="17" t="s">
        <v>701</v>
      </c>
      <c r="D206" s="17" t="s">
        <v>1011</v>
      </c>
      <c r="E206" s="17" t="s">
        <v>2987</v>
      </c>
      <c r="F206" s="17" t="s">
        <v>103</v>
      </c>
      <c r="G206" s="17" t="s">
        <v>68</v>
      </c>
      <c r="H206" s="17" t="s">
        <v>1711</v>
      </c>
      <c r="I206" s="17" t="s">
        <v>28</v>
      </c>
      <c r="J206" s="18" t="s">
        <v>1717</v>
      </c>
      <c r="K206" s="17" t="s">
        <v>23</v>
      </c>
      <c r="L206" s="17" t="s">
        <v>1713</v>
      </c>
      <c r="M206" s="17" t="s">
        <v>1012</v>
      </c>
      <c r="N206" s="17" t="s">
        <v>1714</v>
      </c>
      <c r="O206" s="18" t="s">
        <v>1017</v>
      </c>
      <c r="P206" s="18" t="s">
        <v>25</v>
      </c>
      <c r="Q206" s="32">
        <f t="shared" si="6"/>
        <v>16</v>
      </c>
      <c r="R206" s="32">
        <f t="shared" si="7"/>
        <v>14</v>
      </c>
      <c r="S206" s="21" t="s">
        <v>2915</v>
      </c>
    </row>
    <row r="207" spans="1:19" x14ac:dyDescent="0.25">
      <c r="A207" s="2">
        <v>205</v>
      </c>
      <c r="B207" s="3" t="s">
        <v>490</v>
      </c>
      <c r="C207" s="17" t="s">
        <v>702</v>
      </c>
      <c r="D207" s="17" t="s">
        <v>1011</v>
      </c>
      <c r="E207" s="17" t="s">
        <v>2987</v>
      </c>
      <c r="F207" s="17" t="s">
        <v>103</v>
      </c>
      <c r="G207" s="17" t="s">
        <v>68</v>
      </c>
      <c r="H207" s="17" t="s">
        <v>1711</v>
      </c>
      <c r="I207" s="17" t="s">
        <v>27</v>
      </c>
      <c r="J207" s="18" t="s">
        <v>1718</v>
      </c>
      <c r="K207" s="17" t="s">
        <v>23</v>
      </c>
      <c r="L207" s="17" t="s">
        <v>1713</v>
      </c>
      <c r="M207" s="17" t="s">
        <v>1012</v>
      </c>
      <c r="N207" s="17" t="s">
        <v>1714</v>
      </c>
      <c r="O207" s="18" t="s">
        <v>1017</v>
      </c>
      <c r="P207" s="18" t="s">
        <v>25</v>
      </c>
      <c r="Q207" s="32">
        <f t="shared" si="6"/>
        <v>16</v>
      </c>
      <c r="R207" s="32">
        <f t="shared" si="7"/>
        <v>14</v>
      </c>
      <c r="S207" s="21" t="s">
        <v>2915</v>
      </c>
    </row>
    <row r="208" spans="1:19" x14ac:dyDescent="0.25">
      <c r="A208" s="3">
        <v>206</v>
      </c>
      <c r="B208" s="3" t="s">
        <v>490</v>
      </c>
      <c r="C208" s="17" t="s">
        <v>703</v>
      </c>
      <c r="D208" s="17" t="s">
        <v>1011</v>
      </c>
      <c r="E208" s="17" t="s">
        <v>2987</v>
      </c>
      <c r="F208" s="17" t="s">
        <v>1719</v>
      </c>
      <c r="G208" s="17" t="s">
        <v>68</v>
      </c>
      <c r="H208" s="17" t="s">
        <v>1720</v>
      </c>
      <c r="I208" s="17" t="s">
        <v>26</v>
      </c>
      <c r="J208" s="18" t="s">
        <v>1721</v>
      </c>
      <c r="K208" s="17" t="s">
        <v>23</v>
      </c>
      <c r="L208" s="17" t="s">
        <v>1722</v>
      </c>
      <c r="M208" s="17" t="s">
        <v>1012</v>
      </c>
      <c r="N208" s="17" t="s">
        <v>1723</v>
      </c>
      <c r="O208" s="18" t="s">
        <v>1017</v>
      </c>
      <c r="P208" s="18" t="s">
        <v>25</v>
      </c>
      <c r="Q208" s="32">
        <f t="shared" si="6"/>
        <v>16</v>
      </c>
      <c r="R208" s="32">
        <f t="shared" si="7"/>
        <v>14</v>
      </c>
      <c r="S208" s="21" t="s">
        <v>2915</v>
      </c>
    </row>
    <row r="209" spans="1:19" x14ac:dyDescent="0.25">
      <c r="A209" s="2">
        <v>207</v>
      </c>
      <c r="B209" s="3" t="s">
        <v>490</v>
      </c>
      <c r="C209" s="17" t="s">
        <v>704</v>
      </c>
      <c r="D209" s="17" t="s">
        <v>1011</v>
      </c>
      <c r="E209" s="17" t="s">
        <v>2987</v>
      </c>
      <c r="F209" s="17" t="s">
        <v>1724</v>
      </c>
      <c r="G209" s="17" t="s">
        <v>68</v>
      </c>
      <c r="H209" s="17" t="s">
        <v>1720</v>
      </c>
      <c r="I209" s="17" t="s">
        <v>22</v>
      </c>
      <c r="J209" s="18" t="s">
        <v>1725</v>
      </c>
      <c r="K209" s="17" t="s">
        <v>23</v>
      </c>
      <c r="L209" s="17" t="s">
        <v>1722</v>
      </c>
      <c r="M209" s="17" t="s">
        <v>1012</v>
      </c>
      <c r="N209" s="17" t="s">
        <v>1723</v>
      </c>
      <c r="O209" s="18" t="s">
        <v>1017</v>
      </c>
      <c r="P209" s="18" t="s">
        <v>25</v>
      </c>
      <c r="Q209" s="32">
        <f t="shared" si="6"/>
        <v>16</v>
      </c>
      <c r="R209" s="32">
        <f t="shared" si="7"/>
        <v>14</v>
      </c>
      <c r="S209" s="21" t="s">
        <v>2915</v>
      </c>
    </row>
    <row r="210" spans="1:19" x14ac:dyDescent="0.25">
      <c r="A210" s="3">
        <v>208</v>
      </c>
      <c r="B210" s="3" t="s">
        <v>490</v>
      </c>
      <c r="C210" s="17" t="s">
        <v>705</v>
      </c>
      <c r="D210" s="17" t="s">
        <v>1011</v>
      </c>
      <c r="E210" s="17" t="s">
        <v>2987</v>
      </c>
      <c r="F210" s="17" t="s">
        <v>103</v>
      </c>
      <c r="G210" s="17" t="s">
        <v>68</v>
      </c>
      <c r="H210" s="17" t="s">
        <v>1720</v>
      </c>
      <c r="I210" s="17" t="s">
        <v>28</v>
      </c>
      <c r="J210" s="18" t="s">
        <v>1726</v>
      </c>
      <c r="K210" s="17" t="s">
        <v>23</v>
      </c>
      <c r="L210" s="17" t="s">
        <v>1722</v>
      </c>
      <c r="M210" s="17" t="s">
        <v>1012</v>
      </c>
      <c r="N210" s="17" t="s">
        <v>1723</v>
      </c>
      <c r="O210" s="18" t="s">
        <v>1017</v>
      </c>
      <c r="P210" s="18" t="s">
        <v>25</v>
      </c>
      <c r="Q210" s="32">
        <f t="shared" si="6"/>
        <v>16</v>
      </c>
      <c r="R210" s="32">
        <f t="shared" si="7"/>
        <v>14</v>
      </c>
      <c r="S210" s="21" t="s">
        <v>2915</v>
      </c>
    </row>
    <row r="211" spans="1:19" x14ac:dyDescent="0.25">
      <c r="A211" s="2">
        <v>209</v>
      </c>
      <c r="B211" s="3" t="s">
        <v>490</v>
      </c>
      <c r="C211" s="17" t="s">
        <v>706</v>
      </c>
      <c r="D211" s="17" t="s">
        <v>1011</v>
      </c>
      <c r="E211" s="17" t="s">
        <v>2987</v>
      </c>
      <c r="F211" s="17" t="s">
        <v>103</v>
      </c>
      <c r="G211" s="17" t="s">
        <v>68</v>
      </c>
      <c r="H211" s="17" t="s">
        <v>1720</v>
      </c>
      <c r="I211" s="17" t="s">
        <v>27</v>
      </c>
      <c r="J211" s="18" t="s">
        <v>1727</v>
      </c>
      <c r="K211" s="17" t="s">
        <v>23</v>
      </c>
      <c r="L211" s="17" t="s">
        <v>1722</v>
      </c>
      <c r="M211" s="17" t="s">
        <v>1012</v>
      </c>
      <c r="N211" s="17" t="s">
        <v>1723</v>
      </c>
      <c r="O211" s="18" t="s">
        <v>1017</v>
      </c>
      <c r="P211" s="18" t="s">
        <v>25</v>
      </c>
      <c r="Q211" s="32">
        <f t="shared" si="6"/>
        <v>16</v>
      </c>
      <c r="R211" s="32">
        <f t="shared" si="7"/>
        <v>14</v>
      </c>
      <c r="S211" s="21" t="s">
        <v>2915</v>
      </c>
    </row>
    <row r="212" spans="1:19" x14ac:dyDescent="0.25">
      <c r="A212" s="3">
        <v>210</v>
      </c>
      <c r="B212" s="3" t="s">
        <v>490</v>
      </c>
      <c r="C212" s="17" t="s">
        <v>707</v>
      </c>
      <c r="D212" s="17" t="s">
        <v>1011</v>
      </c>
      <c r="E212" s="17" t="s">
        <v>2987</v>
      </c>
      <c r="F212" s="17" t="s">
        <v>1728</v>
      </c>
      <c r="G212" s="17" t="s">
        <v>68</v>
      </c>
      <c r="H212" s="17" t="s">
        <v>1729</v>
      </c>
      <c r="I212" s="17" t="s">
        <v>22</v>
      </c>
      <c r="J212" s="18" t="s">
        <v>1730</v>
      </c>
      <c r="K212" s="17" t="s">
        <v>23</v>
      </c>
      <c r="L212" s="17" t="s">
        <v>1731</v>
      </c>
      <c r="M212" s="17" t="s">
        <v>1012</v>
      </c>
      <c r="N212" s="17" t="s">
        <v>1732</v>
      </c>
      <c r="O212" s="18" t="s">
        <v>1017</v>
      </c>
      <c r="P212" s="18" t="s">
        <v>25</v>
      </c>
      <c r="Q212" s="32">
        <f t="shared" si="6"/>
        <v>16</v>
      </c>
      <c r="R212" s="32">
        <f t="shared" si="7"/>
        <v>15</v>
      </c>
      <c r="S212" s="21" t="s">
        <v>2915</v>
      </c>
    </row>
    <row r="213" spans="1:19" x14ac:dyDescent="0.25">
      <c r="A213" s="2">
        <v>211</v>
      </c>
      <c r="B213" s="3" t="s">
        <v>490</v>
      </c>
      <c r="C213" s="17" t="s">
        <v>708</v>
      </c>
      <c r="D213" s="17" t="s">
        <v>1011</v>
      </c>
      <c r="E213" s="17" t="s">
        <v>2987</v>
      </c>
      <c r="F213" s="17" t="s">
        <v>1733</v>
      </c>
      <c r="G213" s="17" t="s">
        <v>68</v>
      </c>
      <c r="H213" s="17" t="s">
        <v>1734</v>
      </c>
      <c r="I213" s="17" t="s">
        <v>22</v>
      </c>
      <c r="J213" s="18" t="s">
        <v>1735</v>
      </c>
      <c r="K213" s="17" t="s">
        <v>23</v>
      </c>
      <c r="L213" s="17" t="s">
        <v>1736</v>
      </c>
      <c r="M213" s="17" t="s">
        <v>1012</v>
      </c>
      <c r="N213" s="17" t="s">
        <v>1737</v>
      </c>
      <c r="O213" s="18" t="s">
        <v>1017</v>
      </c>
      <c r="P213" s="18" t="s">
        <v>25</v>
      </c>
      <c r="Q213" s="32">
        <f t="shared" si="6"/>
        <v>16</v>
      </c>
      <c r="R213" s="32">
        <f t="shared" si="7"/>
        <v>7</v>
      </c>
      <c r="S213" s="21" t="s">
        <v>2915</v>
      </c>
    </row>
    <row r="214" spans="1:19" x14ac:dyDescent="0.25">
      <c r="A214" s="3">
        <v>212</v>
      </c>
      <c r="B214" s="3" t="s">
        <v>490</v>
      </c>
      <c r="C214" s="17" t="s">
        <v>709</v>
      </c>
      <c r="D214" s="17" t="s">
        <v>1011</v>
      </c>
      <c r="E214" s="17" t="s">
        <v>2987</v>
      </c>
      <c r="F214" s="17" t="s">
        <v>1738</v>
      </c>
      <c r="G214" s="17" t="s">
        <v>68</v>
      </c>
      <c r="H214" s="17" t="s">
        <v>1739</v>
      </c>
      <c r="I214" s="17" t="s">
        <v>22</v>
      </c>
      <c r="J214" s="18" t="s">
        <v>1740</v>
      </c>
      <c r="K214" s="17" t="s">
        <v>23</v>
      </c>
      <c r="L214" s="17" t="s">
        <v>1741</v>
      </c>
      <c r="M214" s="17" t="s">
        <v>1012</v>
      </c>
      <c r="N214" s="17" t="s">
        <v>1742</v>
      </c>
      <c r="O214" s="18" t="s">
        <v>1017</v>
      </c>
      <c r="P214" s="18" t="s">
        <v>25</v>
      </c>
      <c r="Q214" s="32">
        <f t="shared" si="6"/>
        <v>16</v>
      </c>
      <c r="R214" s="32">
        <f t="shared" si="7"/>
        <v>13</v>
      </c>
      <c r="S214" s="21" t="s">
        <v>2915</v>
      </c>
    </row>
    <row r="215" spans="1:19" x14ac:dyDescent="0.25">
      <c r="A215" s="2">
        <v>213</v>
      </c>
      <c r="B215" s="3" t="s">
        <v>490</v>
      </c>
      <c r="C215" s="17" t="s">
        <v>710</v>
      </c>
      <c r="D215" s="17" t="s">
        <v>1011</v>
      </c>
      <c r="E215" s="17" t="s">
        <v>2987</v>
      </c>
      <c r="F215" s="17" t="s">
        <v>103</v>
      </c>
      <c r="G215" s="17" t="s">
        <v>68</v>
      </c>
      <c r="H215" s="17" t="s">
        <v>1739</v>
      </c>
      <c r="I215" s="17" t="s">
        <v>28</v>
      </c>
      <c r="J215" s="18" t="s">
        <v>1743</v>
      </c>
      <c r="K215" s="17" t="s">
        <v>23</v>
      </c>
      <c r="L215" s="17" t="s">
        <v>1741</v>
      </c>
      <c r="M215" s="17" t="s">
        <v>1012</v>
      </c>
      <c r="N215" s="17" t="s">
        <v>1742</v>
      </c>
      <c r="O215" s="18" t="s">
        <v>1017</v>
      </c>
      <c r="P215" s="18" t="s">
        <v>25</v>
      </c>
      <c r="Q215" s="32">
        <f t="shared" si="6"/>
        <v>16</v>
      </c>
      <c r="R215" s="32">
        <f t="shared" si="7"/>
        <v>13</v>
      </c>
      <c r="S215" s="21" t="s">
        <v>2915</v>
      </c>
    </row>
    <row r="216" spans="1:19" x14ac:dyDescent="0.25">
      <c r="A216" s="3">
        <v>214</v>
      </c>
      <c r="B216" s="3" t="s">
        <v>490</v>
      </c>
      <c r="C216" s="17" t="s">
        <v>711</v>
      </c>
      <c r="D216" s="17" t="s">
        <v>1011</v>
      </c>
      <c r="E216" s="17" t="s">
        <v>2987</v>
      </c>
      <c r="F216" s="17" t="s">
        <v>1744</v>
      </c>
      <c r="G216" s="17" t="s">
        <v>68</v>
      </c>
      <c r="H216" s="17" t="s">
        <v>1745</v>
      </c>
      <c r="I216" s="17" t="s">
        <v>26</v>
      </c>
      <c r="J216" s="18" t="s">
        <v>1746</v>
      </c>
      <c r="K216" s="17" t="s">
        <v>23</v>
      </c>
      <c r="L216" s="17" t="s">
        <v>1747</v>
      </c>
      <c r="M216" s="17" t="s">
        <v>1012</v>
      </c>
      <c r="N216" s="17" t="s">
        <v>1748</v>
      </c>
      <c r="O216" s="18" t="s">
        <v>1017</v>
      </c>
      <c r="P216" s="18" t="s">
        <v>25</v>
      </c>
      <c r="Q216" s="32">
        <f t="shared" si="6"/>
        <v>16</v>
      </c>
      <c r="R216" s="32">
        <f t="shared" si="7"/>
        <v>15</v>
      </c>
      <c r="S216" s="21" t="s">
        <v>2915</v>
      </c>
    </row>
    <row r="217" spans="1:19" x14ac:dyDescent="0.25">
      <c r="A217" s="2">
        <v>215</v>
      </c>
      <c r="B217" s="3" t="s">
        <v>490</v>
      </c>
      <c r="C217" s="17" t="s">
        <v>712</v>
      </c>
      <c r="D217" s="17" t="s">
        <v>1011</v>
      </c>
      <c r="E217" s="17" t="s">
        <v>2987</v>
      </c>
      <c r="F217" s="17" t="s">
        <v>103</v>
      </c>
      <c r="G217" s="17" t="s">
        <v>68</v>
      </c>
      <c r="H217" s="17" t="s">
        <v>1745</v>
      </c>
      <c r="I217" s="17" t="s">
        <v>22</v>
      </c>
      <c r="J217" s="18" t="s">
        <v>1749</v>
      </c>
      <c r="K217" s="17" t="s">
        <v>23</v>
      </c>
      <c r="L217" s="17" t="s">
        <v>1747</v>
      </c>
      <c r="M217" s="17" t="s">
        <v>1012</v>
      </c>
      <c r="N217" s="17" t="s">
        <v>1748</v>
      </c>
      <c r="O217" s="18" t="s">
        <v>1017</v>
      </c>
      <c r="P217" s="18" t="s">
        <v>25</v>
      </c>
      <c r="Q217" s="32">
        <f t="shared" si="6"/>
        <v>16</v>
      </c>
      <c r="R217" s="32">
        <f t="shared" si="7"/>
        <v>15</v>
      </c>
      <c r="S217" s="21" t="s">
        <v>2915</v>
      </c>
    </row>
    <row r="218" spans="1:19" x14ac:dyDescent="0.25">
      <c r="A218" s="3">
        <v>216</v>
      </c>
      <c r="B218" s="3" t="s">
        <v>490</v>
      </c>
      <c r="C218" s="17" t="s">
        <v>713</v>
      </c>
      <c r="D218" s="17" t="s">
        <v>1011</v>
      </c>
      <c r="E218" s="17" t="s">
        <v>2987</v>
      </c>
      <c r="F218" s="17" t="s">
        <v>103</v>
      </c>
      <c r="G218" s="17" t="s">
        <v>68</v>
      </c>
      <c r="H218" s="17" t="s">
        <v>1750</v>
      </c>
      <c r="I218" s="17" t="s">
        <v>22</v>
      </c>
      <c r="J218" s="18" t="s">
        <v>1751</v>
      </c>
      <c r="K218" s="17" t="s">
        <v>23</v>
      </c>
      <c r="L218" s="17" t="s">
        <v>1752</v>
      </c>
      <c r="M218" s="17" t="s">
        <v>1012</v>
      </c>
      <c r="N218" s="17" t="s">
        <v>1753</v>
      </c>
      <c r="O218" s="18" t="s">
        <v>1017</v>
      </c>
      <c r="P218" s="18" t="s">
        <v>25</v>
      </c>
      <c r="Q218" s="32">
        <f t="shared" si="6"/>
        <v>16</v>
      </c>
      <c r="R218" s="32">
        <f t="shared" si="7"/>
        <v>14</v>
      </c>
      <c r="S218" s="21" t="s">
        <v>2915</v>
      </c>
    </row>
    <row r="219" spans="1:19" x14ac:dyDescent="0.25">
      <c r="A219" s="2">
        <v>217</v>
      </c>
      <c r="B219" s="3" t="s">
        <v>490</v>
      </c>
      <c r="C219" s="17" t="s">
        <v>714</v>
      </c>
      <c r="D219" s="17" t="s">
        <v>1011</v>
      </c>
      <c r="E219" s="17" t="s">
        <v>2987</v>
      </c>
      <c r="F219" s="17" t="s">
        <v>1754</v>
      </c>
      <c r="G219" s="17" t="s">
        <v>68</v>
      </c>
      <c r="H219" s="17" t="s">
        <v>1755</v>
      </c>
      <c r="I219" s="17" t="s">
        <v>22</v>
      </c>
      <c r="J219" s="18" t="s">
        <v>1756</v>
      </c>
      <c r="K219" s="17" t="s">
        <v>23</v>
      </c>
      <c r="L219" s="17" t="s">
        <v>1757</v>
      </c>
      <c r="M219" s="17" t="s">
        <v>1012</v>
      </c>
      <c r="N219" s="17" t="s">
        <v>1758</v>
      </c>
      <c r="O219" s="18" t="s">
        <v>1017</v>
      </c>
      <c r="P219" s="18" t="s">
        <v>25</v>
      </c>
      <c r="Q219" s="32">
        <f t="shared" si="6"/>
        <v>16</v>
      </c>
      <c r="R219" s="32">
        <f t="shared" si="7"/>
        <v>11</v>
      </c>
      <c r="S219" s="21" t="s">
        <v>2915</v>
      </c>
    </row>
    <row r="220" spans="1:19" x14ac:dyDescent="0.25">
      <c r="A220" s="3">
        <v>218</v>
      </c>
      <c r="B220" s="3" t="s">
        <v>490</v>
      </c>
      <c r="C220" s="17" t="s">
        <v>715</v>
      </c>
      <c r="D220" s="17" t="s">
        <v>1011</v>
      </c>
      <c r="E220" s="17" t="s">
        <v>2987</v>
      </c>
      <c r="F220" s="17" t="s">
        <v>1759</v>
      </c>
      <c r="G220" s="17" t="s">
        <v>68</v>
      </c>
      <c r="H220" s="17" t="s">
        <v>1760</v>
      </c>
      <c r="I220" s="17" t="s">
        <v>26</v>
      </c>
      <c r="J220" s="18" t="s">
        <v>1761</v>
      </c>
      <c r="K220" s="17" t="s">
        <v>23</v>
      </c>
      <c r="L220" s="17" t="s">
        <v>1527</v>
      </c>
      <c r="M220" s="17" t="s">
        <v>1012</v>
      </c>
      <c r="N220" s="17" t="s">
        <v>1528</v>
      </c>
      <c r="O220" s="18" t="s">
        <v>1017</v>
      </c>
      <c r="P220" s="18" t="s">
        <v>25</v>
      </c>
      <c r="Q220" s="32">
        <f t="shared" si="6"/>
        <v>16</v>
      </c>
      <c r="R220" s="32">
        <f t="shared" si="7"/>
        <v>11</v>
      </c>
      <c r="S220" s="21" t="s">
        <v>2915</v>
      </c>
    </row>
    <row r="221" spans="1:19" x14ac:dyDescent="0.25">
      <c r="A221" s="2">
        <v>219</v>
      </c>
      <c r="B221" s="3" t="s">
        <v>490</v>
      </c>
      <c r="C221" s="17" t="s">
        <v>716</v>
      </c>
      <c r="D221" s="17" t="s">
        <v>1011</v>
      </c>
      <c r="E221" s="17" t="s">
        <v>2987</v>
      </c>
      <c r="F221" s="17" t="s">
        <v>1762</v>
      </c>
      <c r="G221" s="17" t="s">
        <v>68</v>
      </c>
      <c r="H221" s="17" t="s">
        <v>1763</v>
      </c>
      <c r="I221" s="17" t="s">
        <v>26</v>
      </c>
      <c r="J221" s="18" t="s">
        <v>1764</v>
      </c>
      <c r="K221" s="17" t="s">
        <v>23</v>
      </c>
      <c r="L221" s="17" t="s">
        <v>1765</v>
      </c>
      <c r="M221" s="17" t="s">
        <v>1012</v>
      </c>
      <c r="N221" s="17" t="s">
        <v>1766</v>
      </c>
      <c r="O221" s="18" t="s">
        <v>1017</v>
      </c>
      <c r="P221" s="18" t="s">
        <v>25</v>
      </c>
      <c r="Q221" s="32">
        <f t="shared" si="6"/>
        <v>16</v>
      </c>
      <c r="R221" s="32">
        <f t="shared" si="7"/>
        <v>13</v>
      </c>
      <c r="S221" s="21" t="s">
        <v>2915</v>
      </c>
    </row>
    <row r="222" spans="1:19" x14ac:dyDescent="0.25">
      <c r="A222" s="3">
        <v>220</v>
      </c>
      <c r="B222" s="3" t="s">
        <v>490</v>
      </c>
      <c r="C222" s="17" t="s">
        <v>717</v>
      </c>
      <c r="D222" s="17" t="s">
        <v>1011</v>
      </c>
      <c r="E222" s="17" t="s">
        <v>2987</v>
      </c>
      <c r="F222" s="17" t="s">
        <v>1767</v>
      </c>
      <c r="G222" s="17" t="s">
        <v>68</v>
      </c>
      <c r="H222" s="17" t="s">
        <v>1763</v>
      </c>
      <c r="I222" s="17" t="s">
        <v>22</v>
      </c>
      <c r="J222" s="18" t="s">
        <v>1768</v>
      </c>
      <c r="K222" s="17" t="s">
        <v>23</v>
      </c>
      <c r="L222" s="17" t="s">
        <v>1769</v>
      </c>
      <c r="M222" s="17" t="s">
        <v>1012</v>
      </c>
      <c r="N222" s="17" t="s">
        <v>1770</v>
      </c>
      <c r="O222" s="18" t="s">
        <v>1017</v>
      </c>
      <c r="P222" s="18" t="s">
        <v>25</v>
      </c>
      <c r="Q222" s="32">
        <f t="shared" si="6"/>
        <v>16</v>
      </c>
      <c r="R222" s="32">
        <f t="shared" si="7"/>
        <v>13</v>
      </c>
      <c r="S222" s="21" t="s">
        <v>2915</v>
      </c>
    </row>
    <row r="223" spans="1:19" x14ac:dyDescent="0.25">
      <c r="A223" s="2">
        <v>221</v>
      </c>
      <c r="B223" s="3" t="s">
        <v>490</v>
      </c>
      <c r="C223" s="17" t="s">
        <v>718</v>
      </c>
      <c r="D223" s="17" t="s">
        <v>1011</v>
      </c>
      <c r="E223" s="17" t="s">
        <v>2987</v>
      </c>
      <c r="F223" s="17" t="s">
        <v>103</v>
      </c>
      <c r="G223" s="17" t="s">
        <v>68</v>
      </c>
      <c r="H223" s="17" t="s">
        <v>1763</v>
      </c>
      <c r="I223" s="17" t="s">
        <v>28</v>
      </c>
      <c r="J223" s="18" t="s">
        <v>1771</v>
      </c>
      <c r="K223" s="17" t="s">
        <v>23</v>
      </c>
      <c r="L223" s="17" t="s">
        <v>1769</v>
      </c>
      <c r="M223" s="17" t="s">
        <v>1012</v>
      </c>
      <c r="N223" s="17" t="s">
        <v>1770</v>
      </c>
      <c r="O223" s="18" t="s">
        <v>1017</v>
      </c>
      <c r="P223" s="18" t="s">
        <v>25</v>
      </c>
      <c r="Q223" s="32">
        <f t="shared" si="6"/>
        <v>16</v>
      </c>
      <c r="R223" s="32">
        <f t="shared" si="7"/>
        <v>13</v>
      </c>
      <c r="S223" s="21" t="s">
        <v>2915</v>
      </c>
    </row>
    <row r="224" spans="1:19" x14ac:dyDescent="0.25">
      <c r="A224" s="3">
        <v>222</v>
      </c>
      <c r="B224" s="3" t="s">
        <v>490</v>
      </c>
      <c r="C224" s="17" t="s">
        <v>719</v>
      </c>
      <c r="D224" s="17" t="s">
        <v>1011</v>
      </c>
      <c r="E224" s="17" t="s">
        <v>2987</v>
      </c>
      <c r="F224" s="17" t="s">
        <v>1772</v>
      </c>
      <c r="G224" s="17" t="s">
        <v>68</v>
      </c>
      <c r="H224" s="17" t="s">
        <v>1763</v>
      </c>
      <c r="I224" s="17" t="s">
        <v>27</v>
      </c>
      <c r="J224" s="18" t="s">
        <v>1773</v>
      </c>
      <c r="K224" s="17" t="s">
        <v>23</v>
      </c>
      <c r="L224" s="17" t="s">
        <v>1769</v>
      </c>
      <c r="M224" s="17" t="s">
        <v>1012</v>
      </c>
      <c r="N224" s="17" t="s">
        <v>1770</v>
      </c>
      <c r="O224" s="18" t="s">
        <v>1017</v>
      </c>
      <c r="P224" s="18" t="s">
        <v>25</v>
      </c>
      <c r="Q224" s="32">
        <f t="shared" si="6"/>
        <v>16</v>
      </c>
      <c r="R224" s="32">
        <f t="shared" si="7"/>
        <v>13</v>
      </c>
      <c r="S224" s="21" t="s">
        <v>2915</v>
      </c>
    </row>
    <row r="225" spans="1:19" x14ac:dyDescent="0.25">
      <c r="A225" s="2">
        <v>223</v>
      </c>
      <c r="B225" s="3" t="s">
        <v>490</v>
      </c>
      <c r="C225" s="17" t="s">
        <v>720</v>
      </c>
      <c r="D225" s="17" t="s">
        <v>1011</v>
      </c>
      <c r="E225" s="17" t="s">
        <v>2987</v>
      </c>
      <c r="F225" s="17" t="s">
        <v>1774</v>
      </c>
      <c r="G225" s="17" t="s">
        <v>68</v>
      </c>
      <c r="H225" s="17" t="s">
        <v>1775</v>
      </c>
      <c r="I225" s="17" t="s">
        <v>26</v>
      </c>
      <c r="J225" s="18" t="s">
        <v>1776</v>
      </c>
      <c r="K225" s="17" t="s">
        <v>23</v>
      </c>
      <c r="L225" s="17" t="s">
        <v>1777</v>
      </c>
      <c r="M225" s="17" t="s">
        <v>1012</v>
      </c>
      <c r="N225" s="17" t="s">
        <v>1778</v>
      </c>
      <c r="O225" s="18" t="s">
        <v>1017</v>
      </c>
      <c r="P225" s="18" t="s">
        <v>25</v>
      </c>
      <c r="Q225" s="32">
        <f t="shared" si="6"/>
        <v>16</v>
      </c>
      <c r="R225" s="32">
        <f t="shared" si="7"/>
        <v>11</v>
      </c>
      <c r="S225" s="21" t="s">
        <v>2915</v>
      </c>
    </row>
    <row r="226" spans="1:19" x14ac:dyDescent="0.25">
      <c r="A226" s="3">
        <v>224</v>
      </c>
      <c r="B226" s="3" t="s">
        <v>490</v>
      </c>
      <c r="C226" s="17" t="s">
        <v>721</v>
      </c>
      <c r="D226" s="17" t="s">
        <v>1011</v>
      </c>
      <c r="E226" s="17" t="s">
        <v>2987</v>
      </c>
      <c r="F226" s="17" t="s">
        <v>1779</v>
      </c>
      <c r="G226" s="17" t="s">
        <v>68</v>
      </c>
      <c r="H226" s="17" t="s">
        <v>1775</v>
      </c>
      <c r="I226" s="17" t="s">
        <v>22</v>
      </c>
      <c r="J226" s="18" t="s">
        <v>1780</v>
      </c>
      <c r="K226" s="17" t="s">
        <v>23</v>
      </c>
      <c r="L226" s="17" t="s">
        <v>1777</v>
      </c>
      <c r="M226" s="17" t="s">
        <v>1012</v>
      </c>
      <c r="N226" s="17" t="s">
        <v>1778</v>
      </c>
      <c r="O226" s="18" t="s">
        <v>1017</v>
      </c>
      <c r="P226" s="18" t="s">
        <v>25</v>
      </c>
      <c r="Q226" s="32">
        <f t="shared" si="6"/>
        <v>16</v>
      </c>
      <c r="R226" s="32">
        <f t="shared" si="7"/>
        <v>11</v>
      </c>
      <c r="S226" s="21" t="s">
        <v>2915</v>
      </c>
    </row>
    <row r="227" spans="1:19" x14ac:dyDescent="0.25">
      <c r="A227" s="2">
        <v>225</v>
      </c>
      <c r="B227" s="3" t="s">
        <v>490</v>
      </c>
      <c r="C227" s="17" t="s">
        <v>722</v>
      </c>
      <c r="D227" s="17" t="s">
        <v>1011</v>
      </c>
      <c r="E227" s="17" t="s">
        <v>2987</v>
      </c>
      <c r="F227" s="17" t="s">
        <v>103</v>
      </c>
      <c r="G227" s="17" t="s">
        <v>68</v>
      </c>
      <c r="H227" s="17" t="s">
        <v>1781</v>
      </c>
      <c r="I227" s="17" t="s">
        <v>28</v>
      </c>
      <c r="J227" s="18" t="s">
        <v>1782</v>
      </c>
      <c r="K227" s="17" t="s">
        <v>23</v>
      </c>
      <c r="L227" s="17" t="s">
        <v>1783</v>
      </c>
      <c r="M227" s="17" t="s">
        <v>1012</v>
      </c>
      <c r="N227" s="17" t="s">
        <v>1784</v>
      </c>
      <c r="O227" s="18" t="s">
        <v>1017</v>
      </c>
      <c r="P227" s="18" t="s">
        <v>25</v>
      </c>
      <c r="Q227" s="32">
        <f t="shared" si="6"/>
        <v>16</v>
      </c>
      <c r="R227" s="32">
        <f t="shared" si="7"/>
        <v>7</v>
      </c>
      <c r="S227" s="21" t="s">
        <v>2915</v>
      </c>
    </row>
    <row r="228" spans="1:19" x14ac:dyDescent="0.25">
      <c r="A228" s="3">
        <v>226</v>
      </c>
      <c r="B228" s="3" t="s">
        <v>490</v>
      </c>
      <c r="C228" s="17" t="s">
        <v>723</v>
      </c>
      <c r="D228" s="17" t="s">
        <v>1011</v>
      </c>
      <c r="E228" s="17" t="s">
        <v>2987</v>
      </c>
      <c r="F228" s="17" t="s">
        <v>1785</v>
      </c>
      <c r="G228" s="17" t="s">
        <v>68</v>
      </c>
      <c r="H228" s="17" t="s">
        <v>1786</v>
      </c>
      <c r="I228" s="17" t="s">
        <v>22</v>
      </c>
      <c r="J228" s="18" t="s">
        <v>1787</v>
      </c>
      <c r="K228" s="17" t="s">
        <v>23</v>
      </c>
      <c r="L228" s="17" t="s">
        <v>1788</v>
      </c>
      <c r="M228" s="17" t="s">
        <v>1012</v>
      </c>
      <c r="N228" s="17" t="s">
        <v>1789</v>
      </c>
      <c r="O228" s="18" t="s">
        <v>1017</v>
      </c>
      <c r="P228" s="18" t="s">
        <v>25</v>
      </c>
      <c r="Q228" s="32">
        <f t="shared" si="6"/>
        <v>16</v>
      </c>
      <c r="R228" s="32">
        <f t="shared" si="7"/>
        <v>11</v>
      </c>
      <c r="S228" s="21" t="s">
        <v>2915</v>
      </c>
    </row>
    <row r="229" spans="1:19" x14ac:dyDescent="0.25">
      <c r="A229" s="2">
        <v>227</v>
      </c>
      <c r="B229" s="3" t="s">
        <v>490</v>
      </c>
      <c r="C229" s="17" t="s">
        <v>724</v>
      </c>
      <c r="D229" s="17" t="s">
        <v>1011</v>
      </c>
      <c r="E229" s="17" t="s">
        <v>2987</v>
      </c>
      <c r="F229" s="17" t="s">
        <v>1790</v>
      </c>
      <c r="G229" s="17" t="s">
        <v>68</v>
      </c>
      <c r="H229" s="17" t="s">
        <v>1791</v>
      </c>
      <c r="I229" s="17" t="s">
        <v>26</v>
      </c>
      <c r="J229" s="18" t="s">
        <v>1792</v>
      </c>
      <c r="K229" s="17" t="s">
        <v>23</v>
      </c>
      <c r="L229" s="17" t="s">
        <v>1793</v>
      </c>
      <c r="M229" s="17" t="s">
        <v>1012</v>
      </c>
      <c r="N229" s="17" t="s">
        <v>1794</v>
      </c>
      <c r="O229" s="18" t="s">
        <v>1017</v>
      </c>
      <c r="P229" s="18" t="s">
        <v>25</v>
      </c>
      <c r="Q229" s="32">
        <f t="shared" si="6"/>
        <v>16</v>
      </c>
      <c r="R229" s="32">
        <f t="shared" si="7"/>
        <v>15</v>
      </c>
      <c r="S229" s="21" t="s">
        <v>2915</v>
      </c>
    </row>
    <row r="230" spans="1:19" x14ac:dyDescent="0.25">
      <c r="A230" s="3">
        <v>228</v>
      </c>
      <c r="B230" s="3" t="s">
        <v>490</v>
      </c>
      <c r="C230" s="17" t="s">
        <v>725</v>
      </c>
      <c r="D230" s="17" t="s">
        <v>1011</v>
      </c>
      <c r="E230" s="17" t="s">
        <v>2987</v>
      </c>
      <c r="F230" s="17" t="s">
        <v>1795</v>
      </c>
      <c r="G230" s="17" t="s">
        <v>68</v>
      </c>
      <c r="H230" s="17" t="s">
        <v>1791</v>
      </c>
      <c r="I230" s="17" t="s">
        <v>22</v>
      </c>
      <c r="J230" s="18" t="s">
        <v>1796</v>
      </c>
      <c r="K230" s="17" t="s">
        <v>23</v>
      </c>
      <c r="L230" s="17" t="s">
        <v>1797</v>
      </c>
      <c r="M230" s="17" t="s">
        <v>1012</v>
      </c>
      <c r="N230" s="17" t="s">
        <v>1794</v>
      </c>
      <c r="O230" s="18" t="s">
        <v>1017</v>
      </c>
      <c r="P230" s="18" t="s">
        <v>25</v>
      </c>
      <c r="Q230" s="32">
        <f t="shared" si="6"/>
        <v>16</v>
      </c>
      <c r="R230" s="32">
        <f t="shared" si="7"/>
        <v>15</v>
      </c>
      <c r="S230" s="21" t="s">
        <v>2915</v>
      </c>
    </row>
    <row r="231" spans="1:19" x14ac:dyDescent="0.25">
      <c r="A231" s="2">
        <v>229</v>
      </c>
      <c r="B231" s="3" t="s">
        <v>490</v>
      </c>
      <c r="C231" s="17" t="s">
        <v>726</v>
      </c>
      <c r="D231" s="17" t="s">
        <v>1011</v>
      </c>
      <c r="E231" s="17" t="s">
        <v>2987</v>
      </c>
      <c r="F231" s="17" t="s">
        <v>1798</v>
      </c>
      <c r="G231" s="17" t="s">
        <v>68</v>
      </c>
      <c r="H231" s="17" t="s">
        <v>1799</v>
      </c>
      <c r="I231" s="17" t="s">
        <v>26</v>
      </c>
      <c r="J231" s="18" t="s">
        <v>1800</v>
      </c>
      <c r="K231" s="17" t="s">
        <v>23</v>
      </c>
      <c r="L231" s="17" t="s">
        <v>1801</v>
      </c>
      <c r="M231" s="17" t="s">
        <v>1012</v>
      </c>
      <c r="N231" s="17" t="s">
        <v>1802</v>
      </c>
      <c r="O231" s="18" t="s">
        <v>1017</v>
      </c>
      <c r="P231" s="18" t="s">
        <v>25</v>
      </c>
      <c r="Q231" s="32">
        <f t="shared" si="6"/>
        <v>16</v>
      </c>
      <c r="R231" s="32">
        <f t="shared" si="7"/>
        <v>15</v>
      </c>
      <c r="S231" s="21" t="s">
        <v>2915</v>
      </c>
    </row>
    <row r="232" spans="1:19" x14ac:dyDescent="0.25">
      <c r="A232" s="3">
        <v>230</v>
      </c>
      <c r="B232" s="3" t="s">
        <v>490</v>
      </c>
      <c r="C232" s="17" t="s">
        <v>727</v>
      </c>
      <c r="D232" s="17" t="s">
        <v>1011</v>
      </c>
      <c r="E232" s="17" t="s">
        <v>2987</v>
      </c>
      <c r="F232" s="17" t="s">
        <v>1803</v>
      </c>
      <c r="G232" s="17" t="s">
        <v>68</v>
      </c>
      <c r="H232" s="17" t="s">
        <v>1799</v>
      </c>
      <c r="I232" s="17" t="s">
        <v>22</v>
      </c>
      <c r="J232" s="18" t="s">
        <v>1804</v>
      </c>
      <c r="K232" s="17" t="s">
        <v>23</v>
      </c>
      <c r="L232" s="17" t="s">
        <v>1801</v>
      </c>
      <c r="M232" s="17" t="s">
        <v>1012</v>
      </c>
      <c r="N232" s="17" t="s">
        <v>1802</v>
      </c>
      <c r="O232" s="18" t="s">
        <v>1017</v>
      </c>
      <c r="P232" s="18" t="s">
        <v>25</v>
      </c>
      <c r="Q232" s="32">
        <f t="shared" si="6"/>
        <v>16</v>
      </c>
      <c r="R232" s="32">
        <f t="shared" si="7"/>
        <v>15</v>
      </c>
      <c r="S232" s="21" t="s">
        <v>2915</v>
      </c>
    </row>
    <row r="233" spans="1:19" x14ac:dyDescent="0.25">
      <c r="A233" s="2">
        <v>231</v>
      </c>
      <c r="B233" s="3" t="s">
        <v>490</v>
      </c>
      <c r="C233" s="17" t="s">
        <v>728</v>
      </c>
      <c r="D233" s="17" t="s">
        <v>1011</v>
      </c>
      <c r="E233" s="17" t="s">
        <v>2987</v>
      </c>
      <c r="F233" s="17" t="s">
        <v>1805</v>
      </c>
      <c r="G233" s="17" t="s">
        <v>68</v>
      </c>
      <c r="H233" s="17" t="s">
        <v>1806</v>
      </c>
      <c r="I233" s="17" t="s">
        <v>26</v>
      </c>
      <c r="J233" s="18" t="s">
        <v>1807</v>
      </c>
      <c r="K233" s="17" t="s">
        <v>23</v>
      </c>
      <c r="L233" s="17" t="s">
        <v>1808</v>
      </c>
      <c r="M233" s="17" t="s">
        <v>1012</v>
      </c>
      <c r="N233" s="17" t="s">
        <v>1809</v>
      </c>
      <c r="O233" s="18" t="s">
        <v>1017</v>
      </c>
      <c r="P233" s="18" t="s">
        <v>25</v>
      </c>
      <c r="Q233" s="32">
        <f t="shared" si="6"/>
        <v>16</v>
      </c>
      <c r="R233" s="32">
        <f t="shared" si="7"/>
        <v>11</v>
      </c>
      <c r="S233" s="21" t="s">
        <v>2915</v>
      </c>
    </row>
    <row r="234" spans="1:19" x14ac:dyDescent="0.25">
      <c r="A234" s="3">
        <v>232</v>
      </c>
      <c r="B234" s="3" t="s">
        <v>490</v>
      </c>
      <c r="C234" s="17" t="s">
        <v>729</v>
      </c>
      <c r="D234" s="17" t="s">
        <v>1011</v>
      </c>
      <c r="E234" s="17" t="s">
        <v>2987</v>
      </c>
      <c r="F234" s="17" t="s">
        <v>1810</v>
      </c>
      <c r="G234" s="17" t="s">
        <v>68</v>
      </c>
      <c r="H234" s="17" t="s">
        <v>1811</v>
      </c>
      <c r="I234" s="17" t="s">
        <v>22</v>
      </c>
      <c r="J234" s="18" t="s">
        <v>1812</v>
      </c>
      <c r="K234" s="17" t="s">
        <v>23</v>
      </c>
      <c r="L234" s="17" t="s">
        <v>1813</v>
      </c>
      <c r="M234" s="17" t="s">
        <v>1012</v>
      </c>
      <c r="N234" s="17" t="s">
        <v>1814</v>
      </c>
      <c r="O234" s="18" t="s">
        <v>1017</v>
      </c>
      <c r="P234" s="18" t="s">
        <v>25</v>
      </c>
      <c r="Q234" s="32">
        <f t="shared" si="6"/>
        <v>16</v>
      </c>
      <c r="R234" s="32">
        <f t="shared" si="7"/>
        <v>14</v>
      </c>
      <c r="S234" s="21" t="s">
        <v>2915</v>
      </c>
    </row>
    <row r="235" spans="1:19" x14ac:dyDescent="0.25">
      <c r="A235" s="2">
        <v>233</v>
      </c>
      <c r="B235" s="3" t="s">
        <v>490</v>
      </c>
      <c r="C235" s="17" t="s">
        <v>730</v>
      </c>
      <c r="D235" s="17" t="s">
        <v>1011</v>
      </c>
      <c r="E235" s="17" t="s">
        <v>2987</v>
      </c>
      <c r="F235" s="17" t="s">
        <v>103</v>
      </c>
      <c r="G235" s="17" t="s">
        <v>68</v>
      </c>
      <c r="H235" s="17" t="s">
        <v>1811</v>
      </c>
      <c r="I235" s="17" t="s">
        <v>28</v>
      </c>
      <c r="J235" s="18" t="s">
        <v>1815</v>
      </c>
      <c r="K235" s="17" t="s">
        <v>23</v>
      </c>
      <c r="L235" s="17" t="s">
        <v>1813</v>
      </c>
      <c r="M235" s="17" t="s">
        <v>1012</v>
      </c>
      <c r="N235" s="17" t="s">
        <v>1814</v>
      </c>
      <c r="O235" s="18" t="s">
        <v>1017</v>
      </c>
      <c r="P235" s="18" t="s">
        <v>25</v>
      </c>
      <c r="Q235" s="32">
        <f t="shared" si="6"/>
        <v>16</v>
      </c>
      <c r="R235" s="32">
        <f t="shared" si="7"/>
        <v>14</v>
      </c>
      <c r="S235" s="21" t="s">
        <v>2915</v>
      </c>
    </row>
    <row r="236" spans="1:19" x14ac:dyDescent="0.25">
      <c r="A236" s="3">
        <v>234</v>
      </c>
      <c r="B236" s="3" t="s">
        <v>490</v>
      </c>
      <c r="C236" s="17" t="s">
        <v>731</v>
      </c>
      <c r="D236" s="17" t="s">
        <v>1011</v>
      </c>
      <c r="E236" s="17" t="s">
        <v>2987</v>
      </c>
      <c r="F236" s="17" t="s">
        <v>103</v>
      </c>
      <c r="G236" s="17" t="s">
        <v>68</v>
      </c>
      <c r="H236" s="17" t="s">
        <v>1811</v>
      </c>
      <c r="I236" s="17" t="s">
        <v>27</v>
      </c>
      <c r="J236" s="18" t="s">
        <v>1816</v>
      </c>
      <c r="K236" s="17" t="s">
        <v>23</v>
      </c>
      <c r="L236" s="17" t="s">
        <v>1813</v>
      </c>
      <c r="M236" s="17" t="s">
        <v>1012</v>
      </c>
      <c r="N236" s="17" t="s">
        <v>1814</v>
      </c>
      <c r="O236" s="18" t="s">
        <v>1017</v>
      </c>
      <c r="P236" s="18" t="s">
        <v>25</v>
      </c>
      <c r="Q236" s="32">
        <f t="shared" si="6"/>
        <v>16</v>
      </c>
      <c r="R236" s="32">
        <f t="shared" si="7"/>
        <v>14</v>
      </c>
      <c r="S236" s="21" t="s">
        <v>2915</v>
      </c>
    </row>
    <row r="237" spans="1:19" x14ac:dyDescent="0.25">
      <c r="A237" s="2">
        <v>235</v>
      </c>
      <c r="B237" s="3" t="s">
        <v>490</v>
      </c>
      <c r="C237" s="17" t="s">
        <v>732</v>
      </c>
      <c r="D237" s="17" t="s">
        <v>1011</v>
      </c>
      <c r="E237" s="17" t="s">
        <v>2987</v>
      </c>
      <c r="F237" s="17" t="s">
        <v>1817</v>
      </c>
      <c r="G237" s="17" t="s">
        <v>68</v>
      </c>
      <c r="H237" s="17" t="s">
        <v>1818</v>
      </c>
      <c r="I237" s="17" t="s">
        <v>28</v>
      </c>
      <c r="J237" s="18" t="s">
        <v>1819</v>
      </c>
      <c r="K237" s="17" t="s">
        <v>23</v>
      </c>
      <c r="L237" s="17" t="s">
        <v>1820</v>
      </c>
      <c r="M237" s="17" t="s">
        <v>1012</v>
      </c>
      <c r="N237" s="17" t="s">
        <v>1821</v>
      </c>
      <c r="O237" s="18" t="s">
        <v>1017</v>
      </c>
      <c r="P237" s="18" t="s">
        <v>25</v>
      </c>
      <c r="Q237" s="32">
        <f t="shared" si="6"/>
        <v>16</v>
      </c>
      <c r="R237" s="32">
        <f t="shared" si="7"/>
        <v>14</v>
      </c>
      <c r="S237" s="21" t="s">
        <v>2915</v>
      </c>
    </row>
    <row r="238" spans="1:19" x14ac:dyDescent="0.25">
      <c r="A238" s="3">
        <v>236</v>
      </c>
      <c r="B238" s="3" t="s">
        <v>490</v>
      </c>
      <c r="C238" s="17" t="s">
        <v>733</v>
      </c>
      <c r="D238" s="17" t="s">
        <v>1011</v>
      </c>
      <c r="E238" s="17" t="s">
        <v>103</v>
      </c>
      <c r="F238" s="17" t="s">
        <v>1822</v>
      </c>
      <c r="G238" s="17" t="s">
        <v>68</v>
      </c>
      <c r="H238" s="17" t="s">
        <v>1823</v>
      </c>
      <c r="I238" s="17" t="s">
        <v>28</v>
      </c>
      <c r="J238" s="18" t="s">
        <v>1824</v>
      </c>
      <c r="K238" s="17" t="s">
        <v>23</v>
      </c>
      <c r="L238" s="17" t="s">
        <v>1825</v>
      </c>
      <c r="M238" s="17" t="s">
        <v>1012</v>
      </c>
      <c r="N238" s="17" t="s">
        <v>1826</v>
      </c>
      <c r="O238" s="18" t="s">
        <v>1017</v>
      </c>
      <c r="P238" s="18" t="s">
        <v>25</v>
      </c>
      <c r="Q238" s="32">
        <f t="shared" si="6"/>
        <v>16</v>
      </c>
      <c r="R238" s="32">
        <f t="shared" si="7"/>
        <v>11</v>
      </c>
      <c r="S238" s="21" t="s">
        <v>2915</v>
      </c>
    </row>
    <row r="239" spans="1:19" x14ac:dyDescent="0.25">
      <c r="A239" s="2">
        <v>237</v>
      </c>
      <c r="B239" s="3" t="s">
        <v>490</v>
      </c>
      <c r="C239" s="17" t="s">
        <v>734</v>
      </c>
      <c r="D239" s="17" t="s">
        <v>1011</v>
      </c>
      <c r="E239" s="17" t="s">
        <v>2987</v>
      </c>
      <c r="F239" s="17" t="s">
        <v>1827</v>
      </c>
      <c r="G239" s="17" t="s">
        <v>68</v>
      </c>
      <c r="H239" s="17" t="s">
        <v>1828</v>
      </c>
      <c r="I239" s="17" t="s">
        <v>22</v>
      </c>
      <c r="J239" s="18" t="s">
        <v>1829</v>
      </c>
      <c r="K239" s="17" t="s">
        <v>23</v>
      </c>
      <c r="L239" s="17" t="s">
        <v>1830</v>
      </c>
      <c r="M239" s="17" t="s">
        <v>1012</v>
      </c>
      <c r="N239" s="17" t="s">
        <v>1831</v>
      </c>
      <c r="O239" s="18" t="s">
        <v>1017</v>
      </c>
      <c r="P239" s="18" t="s">
        <v>25</v>
      </c>
      <c r="Q239" s="32">
        <f t="shared" si="6"/>
        <v>16</v>
      </c>
      <c r="R239" s="32">
        <f t="shared" si="7"/>
        <v>11</v>
      </c>
      <c r="S239" s="21" t="s">
        <v>2915</v>
      </c>
    </row>
    <row r="240" spans="1:19" x14ac:dyDescent="0.25">
      <c r="A240" s="3">
        <v>238</v>
      </c>
      <c r="B240" s="3" t="s">
        <v>490</v>
      </c>
      <c r="C240" s="17" t="s">
        <v>735</v>
      </c>
      <c r="D240" s="17" t="s">
        <v>1011</v>
      </c>
      <c r="E240" s="17" t="s">
        <v>2987</v>
      </c>
      <c r="F240" s="17" t="s">
        <v>103</v>
      </c>
      <c r="G240" s="17" t="s">
        <v>68</v>
      </c>
      <c r="H240" s="17" t="s">
        <v>1828</v>
      </c>
      <c r="I240" s="17" t="s">
        <v>28</v>
      </c>
      <c r="J240" s="18" t="s">
        <v>1832</v>
      </c>
      <c r="K240" s="17" t="s">
        <v>23</v>
      </c>
      <c r="L240" s="17" t="s">
        <v>1830</v>
      </c>
      <c r="M240" s="17" t="s">
        <v>1012</v>
      </c>
      <c r="N240" s="17" t="s">
        <v>1831</v>
      </c>
      <c r="O240" s="18" t="s">
        <v>1017</v>
      </c>
      <c r="P240" s="18" t="s">
        <v>25</v>
      </c>
      <c r="Q240" s="32">
        <f t="shared" si="6"/>
        <v>16</v>
      </c>
      <c r="R240" s="32">
        <f t="shared" si="7"/>
        <v>11</v>
      </c>
      <c r="S240" s="21" t="s">
        <v>2915</v>
      </c>
    </row>
    <row r="241" spans="1:19" x14ac:dyDescent="0.25">
      <c r="A241" s="2">
        <v>239</v>
      </c>
      <c r="B241" s="3" t="s">
        <v>490</v>
      </c>
      <c r="C241" s="17" t="s">
        <v>736</v>
      </c>
      <c r="D241" s="17" t="s">
        <v>1011</v>
      </c>
      <c r="E241" s="17" t="s">
        <v>2987</v>
      </c>
      <c r="F241" s="17" t="s">
        <v>103</v>
      </c>
      <c r="G241" s="17" t="s">
        <v>68</v>
      </c>
      <c r="H241" s="17" t="s">
        <v>1828</v>
      </c>
      <c r="I241" s="17" t="s">
        <v>27</v>
      </c>
      <c r="J241" s="18" t="s">
        <v>1833</v>
      </c>
      <c r="K241" s="17" t="s">
        <v>23</v>
      </c>
      <c r="L241" s="17" t="s">
        <v>1830</v>
      </c>
      <c r="M241" s="17" t="s">
        <v>1012</v>
      </c>
      <c r="N241" s="17" t="s">
        <v>1831</v>
      </c>
      <c r="O241" s="18" t="s">
        <v>1017</v>
      </c>
      <c r="P241" s="18" t="s">
        <v>25</v>
      </c>
      <c r="Q241" s="32">
        <f t="shared" si="6"/>
        <v>16</v>
      </c>
      <c r="R241" s="32">
        <f t="shared" si="7"/>
        <v>11</v>
      </c>
      <c r="S241" s="21" t="s">
        <v>2915</v>
      </c>
    </row>
    <row r="242" spans="1:19" x14ac:dyDescent="0.25">
      <c r="A242" s="3">
        <v>240</v>
      </c>
      <c r="B242" s="3" t="s">
        <v>490</v>
      </c>
      <c r="C242" s="17" t="s">
        <v>737</v>
      </c>
      <c r="D242" s="17" t="s">
        <v>1011</v>
      </c>
      <c r="E242" s="17" t="s">
        <v>2987</v>
      </c>
      <c r="F242" s="17" t="s">
        <v>1834</v>
      </c>
      <c r="G242" s="17" t="s">
        <v>68</v>
      </c>
      <c r="H242" s="17" t="s">
        <v>1835</v>
      </c>
      <c r="I242" s="17" t="s">
        <v>22</v>
      </c>
      <c r="J242" s="18" t="s">
        <v>1836</v>
      </c>
      <c r="K242" s="17" t="s">
        <v>23</v>
      </c>
      <c r="L242" s="17" t="s">
        <v>1837</v>
      </c>
      <c r="M242" s="17" t="s">
        <v>1012</v>
      </c>
      <c r="N242" s="17" t="s">
        <v>1838</v>
      </c>
      <c r="O242" s="18" t="s">
        <v>1017</v>
      </c>
      <c r="P242" s="18" t="s">
        <v>25</v>
      </c>
      <c r="Q242" s="32">
        <f t="shared" si="6"/>
        <v>16</v>
      </c>
      <c r="R242" s="32">
        <f t="shared" si="7"/>
        <v>11</v>
      </c>
      <c r="S242" s="21" t="s">
        <v>2915</v>
      </c>
    </row>
    <row r="243" spans="1:19" x14ac:dyDescent="0.25">
      <c r="A243" s="2">
        <v>241</v>
      </c>
      <c r="B243" s="3" t="s">
        <v>490</v>
      </c>
      <c r="C243" s="17" t="s">
        <v>738</v>
      </c>
      <c r="D243" s="17" t="s">
        <v>1011</v>
      </c>
      <c r="E243" s="17" t="s">
        <v>2987</v>
      </c>
      <c r="F243" s="17" t="s">
        <v>1839</v>
      </c>
      <c r="G243" s="17" t="s">
        <v>68</v>
      </c>
      <c r="H243" s="17" t="s">
        <v>1840</v>
      </c>
      <c r="I243" s="17" t="s">
        <v>22</v>
      </c>
      <c r="J243" s="18" t="s">
        <v>1841</v>
      </c>
      <c r="K243" s="17" t="s">
        <v>23</v>
      </c>
      <c r="L243" s="17" t="s">
        <v>1842</v>
      </c>
      <c r="M243" s="17" t="s">
        <v>1012</v>
      </c>
      <c r="N243" s="17" t="s">
        <v>1843</v>
      </c>
      <c r="O243" s="18" t="s">
        <v>1017</v>
      </c>
      <c r="P243" s="18" t="s">
        <v>25</v>
      </c>
      <c r="Q243" s="32">
        <f t="shared" si="6"/>
        <v>16</v>
      </c>
      <c r="R243" s="32">
        <f t="shared" si="7"/>
        <v>11</v>
      </c>
      <c r="S243" s="21" t="s">
        <v>2915</v>
      </c>
    </row>
    <row r="244" spans="1:19" x14ac:dyDescent="0.25">
      <c r="A244" s="3">
        <v>242</v>
      </c>
      <c r="B244" s="3" t="s">
        <v>490</v>
      </c>
      <c r="C244" s="17" t="s">
        <v>739</v>
      </c>
      <c r="D244" s="17" t="s">
        <v>1011</v>
      </c>
      <c r="E244" s="17" t="s">
        <v>2987</v>
      </c>
      <c r="F244" s="17" t="s">
        <v>1844</v>
      </c>
      <c r="G244" s="17" t="s">
        <v>68</v>
      </c>
      <c r="H244" s="17" t="s">
        <v>1845</v>
      </c>
      <c r="I244" s="17" t="s">
        <v>22</v>
      </c>
      <c r="J244" s="18" t="s">
        <v>1846</v>
      </c>
      <c r="K244" s="17" t="s">
        <v>23</v>
      </c>
      <c r="L244" s="17" t="s">
        <v>1847</v>
      </c>
      <c r="M244" s="17" t="s">
        <v>1012</v>
      </c>
      <c r="N244" s="17" t="s">
        <v>1848</v>
      </c>
      <c r="O244" s="18" t="s">
        <v>1017</v>
      </c>
      <c r="P244" s="18" t="s">
        <v>25</v>
      </c>
      <c r="Q244" s="32">
        <f t="shared" si="6"/>
        <v>16</v>
      </c>
      <c r="R244" s="32">
        <f t="shared" si="7"/>
        <v>15</v>
      </c>
      <c r="S244" s="21" t="s">
        <v>2915</v>
      </c>
    </row>
    <row r="245" spans="1:19" x14ac:dyDescent="0.25">
      <c r="A245" s="2">
        <v>243</v>
      </c>
      <c r="B245" s="3" t="s">
        <v>490</v>
      </c>
      <c r="C245" s="17" t="s">
        <v>740</v>
      </c>
      <c r="D245" s="17" t="s">
        <v>1011</v>
      </c>
      <c r="E245" s="17" t="s">
        <v>2987</v>
      </c>
      <c r="F245" s="17" t="s">
        <v>1849</v>
      </c>
      <c r="G245" s="17" t="s">
        <v>68</v>
      </c>
      <c r="H245" s="17" t="s">
        <v>1850</v>
      </c>
      <c r="I245" s="17" t="s">
        <v>22</v>
      </c>
      <c r="J245" s="18" t="s">
        <v>1851</v>
      </c>
      <c r="K245" s="17" t="s">
        <v>23</v>
      </c>
      <c r="L245" s="17" t="s">
        <v>1852</v>
      </c>
      <c r="M245" s="17" t="s">
        <v>1012</v>
      </c>
      <c r="N245" s="17" t="s">
        <v>1853</v>
      </c>
      <c r="O245" s="18" t="s">
        <v>1017</v>
      </c>
      <c r="P245" s="18" t="s">
        <v>25</v>
      </c>
      <c r="Q245" s="32">
        <f t="shared" si="6"/>
        <v>16</v>
      </c>
      <c r="R245" s="32">
        <f t="shared" si="7"/>
        <v>11</v>
      </c>
      <c r="S245" s="21" t="s">
        <v>2915</v>
      </c>
    </row>
    <row r="246" spans="1:19" x14ac:dyDescent="0.25">
      <c r="A246" s="3">
        <v>244</v>
      </c>
      <c r="B246" s="3" t="s">
        <v>490</v>
      </c>
      <c r="C246" s="17" t="s">
        <v>741</v>
      </c>
      <c r="D246" s="17" t="s">
        <v>1011</v>
      </c>
      <c r="E246" s="17" t="s">
        <v>2987</v>
      </c>
      <c r="F246" s="17" t="s">
        <v>103</v>
      </c>
      <c r="G246" s="17" t="s">
        <v>68</v>
      </c>
      <c r="H246" s="17" t="s">
        <v>1850</v>
      </c>
      <c r="I246" s="17" t="s">
        <v>28</v>
      </c>
      <c r="J246" s="18" t="s">
        <v>1854</v>
      </c>
      <c r="K246" s="17" t="s">
        <v>23</v>
      </c>
      <c r="L246" s="17" t="s">
        <v>1852</v>
      </c>
      <c r="M246" s="17" t="s">
        <v>1012</v>
      </c>
      <c r="N246" s="17" t="s">
        <v>1853</v>
      </c>
      <c r="O246" s="18" t="s">
        <v>1017</v>
      </c>
      <c r="P246" s="18" t="s">
        <v>25</v>
      </c>
      <c r="Q246" s="32">
        <f t="shared" si="6"/>
        <v>16</v>
      </c>
      <c r="R246" s="32">
        <f t="shared" si="7"/>
        <v>11</v>
      </c>
      <c r="S246" s="21" t="s">
        <v>2915</v>
      </c>
    </row>
    <row r="247" spans="1:19" x14ac:dyDescent="0.25">
      <c r="A247" s="2">
        <v>245</v>
      </c>
      <c r="B247" s="3" t="s">
        <v>490</v>
      </c>
      <c r="C247" s="17" t="s">
        <v>742</v>
      </c>
      <c r="D247" s="17" t="s">
        <v>1011</v>
      </c>
      <c r="E247" s="17" t="s">
        <v>2987</v>
      </c>
      <c r="F247" s="17" t="s">
        <v>1855</v>
      </c>
      <c r="G247" s="17" t="s">
        <v>68</v>
      </c>
      <c r="H247" s="17" t="s">
        <v>1856</v>
      </c>
      <c r="I247" s="17" t="s">
        <v>26</v>
      </c>
      <c r="J247" s="18" t="s">
        <v>1857</v>
      </c>
      <c r="K247" s="17" t="s">
        <v>23</v>
      </c>
      <c r="L247" s="17" t="s">
        <v>1858</v>
      </c>
      <c r="M247" s="17" t="s">
        <v>1012</v>
      </c>
      <c r="N247" s="17" t="s">
        <v>1859</v>
      </c>
      <c r="O247" s="18" t="s">
        <v>1017</v>
      </c>
      <c r="P247" s="18" t="s">
        <v>25</v>
      </c>
      <c r="Q247" s="32">
        <f t="shared" si="6"/>
        <v>16</v>
      </c>
      <c r="R247" s="32">
        <f t="shared" si="7"/>
        <v>11</v>
      </c>
      <c r="S247" s="21" t="s">
        <v>2915</v>
      </c>
    </row>
    <row r="248" spans="1:19" x14ac:dyDescent="0.25">
      <c r="A248" s="3">
        <v>246</v>
      </c>
      <c r="B248" s="3" t="s">
        <v>490</v>
      </c>
      <c r="C248" s="17" t="s">
        <v>743</v>
      </c>
      <c r="D248" s="17" t="s">
        <v>1011</v>
      </c>
      <c r="E248" s="17" t="s">
        <v>2993</v>
      </c>
      <c r="F248" s="17" t="s">
        <v>1860</v>
      </c>
      <c r="G248" s="17" t="s">
        <v>68</v>
      </c>
      <c r="H248" s="17" t="s">
        <v>1861</v>
      </c>
      <c r="I248" s="17" t="s">
        <v>22</v>
      </c>
      <c r="J248" s="18" t="s">
        <v>1862</v>
      </c>
      <c r="K248" s="17" t="s">
        <v>23</v>
      </c>
      <c r="L248" s="17" t="s">
        <v>1863</v>
      </c>
      <c r="M248" s="17" t="s">
        <v>1012</v>
      </c>
      <c r="N248" s="17" t="s">
        <v>1864</v>
      </c>
      <c r="O248" s="18" t="s">
        <v>1017</v>
      </c>
      <c r="P248" s="18" t="s">
        <v>25</v>
      </c>
      <c r="Q248" s="32">
        <f t="shared" si="6"/>
        <v>16</v>
      </c>
      <c r="R248" s="32">
        <f t="shared" si="7"/>
        <v>11</v>
      </c>
      <c r="S248" s="21" t="s">
        <v>2915</v>
      </c>
    </row>
    <row r="249" spans="1:19" x14ac:dyDescent="0.25">
      <c r="A249" s="2">
        <v>247</v>
      </c>
      <c r="B249" s="3" t="s">
        <v>490</v>
      </c>
      <c r="C249" s="17" t="s">
        <v>744</v>
      </c>
      <c r="D249" s="17" t="s">
        <v>1011</v>
      </c>
      <c r="E249" s="17" t="s">
        <v>2987</v>
      </c>
      <c r="F249" s="17" t="s">
        <v>103</v>
      </c>
      <c r="G249" s="17" t="s">
        <v>68</v>
      </c>
      <c r="H249" s="17" t="s">
        <v>1861</v>
      </c>
      <c r="I249" s="17" t="s">
        <v>28</v>
      </c>
      <c r="J249" s="18" t="s">
        <v>1865</v>
      </c>
      <c r="K249" s="17" t="s">
        <v>23</v>
      </c>
      <c r="L249" s="17" t="s">
        <v>1863</v>
      </c>
      <c r="M249" s="17" t="s">
        <v>1012</v>
      </c>
      <c r="N249" s="17" t="s">
        <v>1864</v>
      </c>
      <c r="O249" s="18" t="s">
        <v>1017</v>
      </c>
      <c r="P249" s="18" t="s">
        <v>25</v>
      </c>
      <c r="Q249" s="32">
        <f t="shared" si="6"/>
        <v>16</v>
      </c>
      <c r="R249" s="32">
        <f t="shared" si="7"/>
        <v>11</v>
      </c>
      <c r="S249" s="21" t="s">
        <v>2915</v>
      </c>
    </row>
    <row r="250" spans="1:19" x14ac:dyDescent="0.25">
      <c r="A250" s="3">
        <v>248</v>
      </c>
      <c r="B250" s="3" t="s">
        <v>490</v>
      </c>
      <c r="C250" s="17" t="s">
        <v>745</v>
      </c>
      <c r="D250" s="17" t="s">
        <v>1011</v>
      </c>
      <c r="E250" s="17" t="s">
        <v>2987</v>
      </c>
      <c r="F250" s="17" t="s">
        <v>1866</v>
      </c>
      <c r="G250" s="17" t="s">
        <v>68</v>
      </c>
      <c r="H250" s="17" t="s">
        <v>1867</v>
      </c>
      <c r="I250" s="17" t="s">
        <v>26</v>
      </c>
      <c r="J250" s="18" t="s">
        <v>1868</v>
      </c>
      <c r="K250" s="17" t="s">
        <v>23</v>
      </c>
      <c r="L250" s="17" t="s">
        <v>1869</v>
      </c>
      <c r="M250" s="17" t="s">
        <v>1012</v>
      </c>
      <c r="N250" s="17" t="s">
        <v>1870</v>
      </c>
      <c r="O250" s="18" t="s">
        <v>1017</v>
      </c>
      <c r="P250" s="18" t="s">
        <v>25</v>
      </c>
      <c r="Q250" s="32">
        <f t="shared" si="6"/>
        <v>16</v>
      </c>
      <c r="R250" s="32">
        <f t="shared" si="7"/>
        <v>11</v>
      </c>
      <c r="S250" s="21" t="s">
        <v>2915</v>
      </c>
    </row>
    <row r="251" spans="1:19" x14ac:dyDescent="0.25">
      <c r="A251" s="2">
        <v>249</v>
      </c>
      <c r="B251" s="3" t="s">
        <v>490</v>
      </c>
      <c r="C251" s="17" t="s">
        <v>746</v>
      </c>
      <c r="D251" s="17" t="s">
        <v>1011</v>
      </c>
      <c r="E251" s="17" t="s">
        <v>2987</v>
      </c>
      <c r="F251" s="17" t="s">
        <v>1871</v>
      </c>
      <c r="G251" s="17" t="s">
        <v>68</v>
      </c>
      <c r="H251" s="17" t="s">
        <v>1867</v>
      </c>
      <c r="I251" s="17" t="s">
        <v>22</v>
      </c>
      <c r="J251" s="18" t="s">
        <v>1872</v>
      </c>
      <c r="K251" s="17" t="s">
        <v>23</v>
      </c>
      <c r="L251" s="17" t="s">
        <v>1869</v>
      </c>
      <c r="M251" s="17" t="s">
        <v>1012</v>
      </c>
      <c r="N251" s="17" t="s">
        <v>1870</v>
      </c>
      <c r="O251" s="18" t="s">
        <v>1017</v>
      </c>
      <c r="P251" s="18" t="s">
        <v>25</v>
      </c>
      <c r="Q251" s="32">
        <f t="shared" si="6"/>
        <v>16</v>
      </c>
      <c r="R251" s="32">
        <f t="shared" si="7"/>
        <v>11</v>
      </c>
      <c r="S251" s="21" t="s">
        <v>2915</v>
      </c>
    </row>
    <row r="252" spans="1:19" x14ac:dyDescent="0.25">
      <c r="A252" s="3">
        <v>250</v>
      </c>
      <c r="B252" s="3" t="s">
        <v>490</v>
      </c>
      <c r="C252" s="17" t="s">
        <v>747</v>
      </c>
      <c r="D252" s="17" t="s">
        <v>1011</v>
      </c>
      <c r="E252" s="17" t="s">
        <v>2993</v>
      </c>
      <c r="F252" s="17" t="s">
        <v>1873</v>
      </c>
      <c r="G252" s="17" t="s">
        <v>68</v>
      </c>
      <c r="H252" s="17" t="s">
        <v>1867</v>
      </c>
      <c r="I252" s="17" t="s">
        <v>28</v>
      </c>
      <c r="J252" s="18" t="s">
        <v>1874</v>
      </c>
      <c r="K252" s="17" t="s">
        <v>23</v>
      </c>
      <c r="L252" s="17" t="s">
        <v>1869</v>
      </c>
      <c r="M252" s="17" t="s">
        <v>1012</v>
      </c>
      <c r="N252" s="17" t="s">
        <v>1870</v>
      </c>
      <c r="O252" s="18" t="s">
        <v>1017</v>
      </c>
      <c r="P252" s="18" t="s">
        <v>25</v>
      </c>
      <c r="Q252" s="32">
        <f t="shared" si="6"/>
        <v>16</v>
      </c>
      <c r="R252" s="32">
        <f t="shared" si="7"/>
        <v>11</v>
      </c>
      <c r="S252" s="21" t="s">
        <v>2915</v>
      </c>
    </row>
    <row r="253" spans="1:19" x14ac:dyDescent="0.25">
      <c r="A253" s="2">
        <v>251</v>
      </c>
      <c r="B253" s="3" t="s">
        <v>490</v>
      </c>
      <c r="C253" s="17" t="s">
        <v>748</v>
      </c>
      <c r="D253" s="17" t="s">
        <v>1011</v>
      </c>
      <c r="E253" s="17" t="s">
        <v>2987</v>
      </c>
      <c r="F253" s="17" t="s">
        <v>1875</v>
      </c>
      <c r="G253" s="17" t="s">
        <v>68</v>
      </c>
      <c r="H253" s="17" t="s">
        <v>1867</v>
      </c>
      <c r="I253" s="17" t="s">
        <v>27</v>
      </c>
      <c r="J253" s="18" t="s">
        <v>1876</v>
      </c>
      <c r="K253" s="17" t="s">
        <v>23</v>
      </c>
      <c r="L253" s="17" t="s">
        <v>1869</v>
      </c>
      <c r="M253" s="17" t="s">
        <v>1012</v>
      </c>
      <c r="N253" s="17" t="s">
        <v>1870</v>
      </c>
      <c r="O253" s="18" t="s">
        <v>1017</v>
      </c>
      <c r="P253" s="18" t="s">
        <v>25</v>
      </c>
      <c r="Q253" s="32">
        <f t="shared" si="6"/>
        <v>16</v>
      </c>
      <c r="R253" s="32">
        <f t="shared" si="7"/>
        <v>11</v>
      </c>
      <c r="S253" s="21" t="s">
        <v>2915</v>
      </c>
    </row>
    <row r="254" spans="1:19" x14ac:dyDescent="0.25">
      <c r="A254" s="3">
        <v>252</v>
      </c>
      <c r="B254" s="3" t="s">
        <v>490</v>
      </c>
      <c r="C254" s="17" t="s">
        <v>749</v>
      </c>
      <c r="D254" s="17" t="s">
        <v>1011</v>
      </c>
      <c r="E254" s="17" t="s">
        <v>2987</v>
      </c>
      <c r="F254" s="17" t="s">
        <v>1877</v>
      </c>
      <c r="G254" s="17" t="s">
        <v>68</v>
      </c>
      <c r="H254" s="17" t="s">
        <v>1878</v>
      </c>
      <c r="I254" s="17" t="s">
        <v>26</v>
      </c>
      <c r="J254" s="18" t="s">
        <v>1879</v>
      </c>
      <c r="K254" s="17" t="s">
        <v>23</v>
      </c>
      <c r="L254" s="17" t="s">
        <v>1880</v>
      </c>
      <c r="M254" s="17" t="s">
        <v>1012</v>
      </c>
      <c r="N254" s="17" t="s">
        <v>1881</v>
      </c>
      <c r="O254" s="18" t="s">
        <v>1017</v>
      </c>
      <c r="P254" s="18" t="s">
        <v>25</v>
      </c>
      <c r="Q254" s="32">
        <f t="shared" si="6"/>
        <v>16</v>
      </c>
      <c r="R254" s="32">
        <f t="shared" si="7"/>
        <v>11</v>
      </c>
      <c r="S254" s="21" t="s">
        <v>2915</v>
      </c>
    </row>
    <row r="255" spans="1:19" x14ac:dyDescent="0.25">
      <c r="A255" s="2">
        <v>253</v>
      </c>
      <c r="B255" s="3" t="s">
        <v>490</v>
      </c>
      <c r="C255" s="17" t="s">
        <v>750</v>
      </c>
      <c r="D255" s="17" t="s">
        <v>1011</v>
      </c>
      <c r="E255" s="17" t="s">
        <v>2987</v>
      </c>
      <c r="F255" s="17" t="s">
        <v>1882</v>
      </c>
      <c r="G255" s="17" t="s">
        <v>68</v>
      </c>
      <c r="H255" s="17" t="s">
        <v>1878</v>
      </c>
      <c r="I255" s="17" t="s">
        <v>22</v>
      </c>
      <c r="J255" s="18" t="s">
        <v>1883</v>
      </c>
      <c r="K255" s="17" t="s">
        <v>23</v>
      </c>
      <c r="L255" s="17" t="s">
        <v>1880</v>
      </c>
      <c r="M255" s="17" t="s">
        <v>1012</v>
      </c>
      <c r="N255" s="17" t="s">
        <v>1881</v>
      </c>
      <c r="O255" s="18" t="s">
        <v>1017</v>
      </c>
      <c r="P255" s="18" t="s">
        <v>25</v>
      </c>
      <c r="Q255" s="32">
        <f t="shared" si="6"/>
        <v>16</v>
      </c>
      <c r="R255" s="32">
        <f t="shared" si="7"/>
        <v>11</v>
      </c>
      <c r="S255" s="21" t="s">
        <v>2915</v>
      </c>
    </row>
    <row r="256" spans="1:19" x14ac:dyDescent="0.25">
      <c r="A256" s="3">
        <v>254</v>
      </c>
      <c r="B256" s="3" t="s">
        <v>490</v>
      </c>
      <c r="C256" s="17" t="s">
        <v>751</v>
      </c>
      <c r="D256" s="17" t="s">
        <v>1011</v>
      </c>
      <c r="E256" s="17" t="s">
        <v>2987</v>
      </c>
      <c r="F256" s="17" t="s">
        <v>1884</v>
      </c>
      <c r="G256" s="17" t="s">
        <v>68</v>
      </c>
      <c r="H256" s="17" t="s">
        <v>1878</v>
      </c>
      <c r="I256" s="17" t="s">
        <v>28</v>
      </c>
      <c r="J256" s="18" t="s">
        <v>1885</v>
      </c>
      <c r="K256" s="17" t="s">
        <v>23</v>
      </c>
      <c r="L256" s="17" t="s">
        <v>1880</v>
      </c>
      <c r="M256" s="17" t="s">
        <v>1012</v>
      </c>
      <c r="N256" s="17" t="s">
        <v>1881</v>
      </c>
      <c r="O256" s="18" t="s">
        <v>1017</v>
      </c>
      <c r="P256" s="18" t="s">
        <v>25</v>
      </c>
      <c r="Q256" s="32">
        <f t="shared" si="6"/>
        <v>16</v>
      </c>
      <c r="R256" s="32">
        <f t="shared" si="7"/>
        <v>11</v>
      </c>
      <c r="S256" s="21" t="s">
        <v>2915</v>
      </c>
    </row>
    <row r="257" spans="1:19" x14ac:dyDescent="0.25">
      <c r="A257" s="2">
        <v>255</v>
      </c>
      <c r="B257" s="3" t="s">
        <v>490</v>
      </c>
      <c r="C257" s="17" t="s">
        <v>752</v>
      </c>
      <c r="D257" s="17" t="s">
        <v>1011</v>
      </c>
      <c r="E257" s="17" t="s">
        <v>2987</v>
      </c>
      <c r="F257" s="17" t="s">
        <v>1886</v>
      </c>
      <c r="G257" s="17" t="s">
        <v>68</v>
      </c>
      <c r="H257" s="17" t="s">
        <v>1878</v>
      </c>
      <c r="I257" s="17" t="s">
        <v>27</v>
      </c>
      <c r="J257" s="18" t="s">
        <v>1887</v>
      </c>
      <c r="K257" s="17" t="s">
        <v>23</v>
      </c>
      <c r="L257" s="17" t="s">
        <v>1880</v>
      </c>
      <c r="M257" s="17" t="s">
        <v>1012</v>
      </c>
      <c r="N257" s="17" t="s">
        <v>1881</v>
      </c>
      <c r="O257" s="18" t="s">
        <v>1017</v>
      </c>
      <c r="P257" s="18" t="s">
        <v>25</v>
      </c>
      <c r="Q257" s="32">
        <f t="shared" si="6"/>
        <v>16</v>
      </c>
      <c r="R257" s="32">
        <f t="shared" si="7"/>
        <v>11</v>
      </c>
      <c r="S257" s="21" t="s">
        <v>2915</v>
      </c>
    </row>
    <row r="258" spans="1:19" x14ac:dyDescent="0.25">
      <c r="A258" s="3">
        <v>256</v>
      </c>
      <c r="B258" s="3" t="s">
        <v>490</v>
      </c>
      <c r="C258" s="17" t="s">
        <v>753</v>
      </c>
      <c r="D258" s="17" t="s">
        <v>1011</v>
      </c>
      <c r="E258" s="17" t="s">
        <v>2987</v>
      </c>
      <c r="F258" s="17" t="s">
        <v>1888</v>
      </c>
      <c r="G258" s="17" t="s">
        <v>68</v>
      </c>
      <c r="H258" s="17" t="s">
        <v>1889</v>
      </c>
      <c r="I258" s="17" t="s">
        <v>26</v>
      </c>
      <c r="J258" s="18" t="s">
        <v>1890</v>
      </c>
      <c r="K258" s="17" t="s">
        <v>23</v>
      </c>
      <c r="L258" s="17" t="s">
        <v>1891</v>
      </c>
      <c r="M258" s="17" t="s">
        <v>1012</v>
      </c>
      <c r="N258" s="17" t="s">
        <v>1892</v>
      </c>
      <c r="O258" s="18" t="s">
        <v>1017</v>
      </c>
      <c r="P258" s="18" t="s">
        <v>25</v>
      </c>
      <c r="Q258" s="32">
        <f t="shared" si="6"/>
        <v>16</v>
      </c>
      <c r="R258" s="32">
        <f t="shared" si="7"/>
        <v>11</v>
      </c>
      <c r="S258" s="21" t="s">
        <v>2915</v>
      </c>
    </row>
    <row r="259" spans="1:19" x14ac:dyDescent="0.25">
      <c r="A259" s="2">
        <v>257</v>
      </c>
      <c r="B259" s="3" t="s">
        <v>490</v>
      </c>
      <c r="C259" s="17" t="s">
        <v>754</v>
      </c>
      <c r="D259" s="17" t="s">
        <v>1011</v>
      </c>
      <c r="E259" s="17" t="s">
        <v>2987</v>
      </c>
      <c r="F259" s="17" t="s">
        <v>1893</v>
      </c>
      <c r="G259" s="17" t="s">
        <v>68</v>
      </c>
      <c r="H259" s="17" t="s">
        <v>1889</v>
      </c>
      <c r="I259" s="17" t="s">
        <v>22</v>
      </c>
      <c r="J259" s="18" t="s">
        <v>1894</v>
      </c>
      <c r="K259" s="17" t="s">
        <v>23</v>
      </c>
      <c r="L259" s="17" t="s">
        <v>1891</v>
      </c>
      <c r="M259" s="17" t="s">
        <v>1012</v>
      </c>
      <c r="N259" s="17" t="s">
        <v>1892</v>
      </c>
      <c r="O259" s="18" t="s">
        <v>1017</v>
      </c>
      <c r="P259" s="18" t="s">
        <v>25</v>
      </c>
      <c r="Q259" s="32">
        <f t="shared" ref="Q259:Q322" si="8">LEN(L259)</f>
        <v>16</v>
      </c>
      <c r="R259" s="32">
        <f t="shared" ref="R259:R322" si="9">LEN(N259)</f>
        <v>11</v>
      </c>
      <c r="S259" s="21" t="s">
        <v>2915</v>
      </c>
    </row>
    <row r="260" spans="1:19" x14ac:dyDescent="0.25">
      <c r="A260" s="3">
        <v>258</v>
      </c>
      <c r="B260" s="3" t="s">
        <v>490</v>
      </c>
      <c r="C260" s="17" t="s">
        <v>755</v>
      </c>
      <c r="D260" s="17" t="s">
        <v>1011</v>
      </c>
      <c r="E260" s="17" t="s">
        <v>2987</v>
      </c>
      <c r="F260" s="17" t="s">
        <v>1895</v>
      </c>
      <c r="G260" s="17" t="s">
        <v>68</v>
      </c>
      <c r="H260" s="17" t="s">
        <v>1896</v>
      </c>
      <c r="I260" s="17" t="s">
        <v>26</v>
      </c>
      <c r="J260" s="18" t="s">
        <v>1897</v>
      </c>
      <c r="K260" s="17" t="s">
        <v>23</v>
      </c>
      <c r="L260" s="17" t="s">
        <v>1898</v>
      </c>
      <c r="M260" s="17" t="s">
        <v>1012</v>
      </c>
      <c r="N260" s="17" t="s">
        <v>1899</v>
      </c>
      <c r="O260" s="18" t="s">
        <v>1017</v>
      </c>
      <c r="P260" s="18" t="s">
        <v>25</v>
      </c>
      <c r="Q260" s="32">
        <f t="shared" si="8"/>
        <v>16</v>
      </c>
      <c r="R260" s="32">
        <f t="shared" si="9"/>
        <v>13</v>
      </c>
      <c r="S260" s="21" t="s">
        <v>2915</v>
      </c>
    </row>
    <row r="261" spans="1:19" x14ac:dyDescent="0.25">
      <c r="A261" s="2">
        <v>259</v>
      </c>
      <c r="B261" s="3" t="s">
        <v>490</v>
      </c>
      <c r="C261" s="17" t="s">
        <v>756</v>
      </c>
      <c r="D261" s="17" t="s">
        <v>1011</v>
      </c>
      <c r="E261" s="17" t="s">
        <v>2987</v>
      </c>
      <c r="F261" s="17" t="s">
        <v>1900</v>
      </c>
      <c r="G261" s="17" t="s">
        <v>68</v>
      </c>
      <c r="H261" s="17" t="s">
        <v>1896</v>
      </c>
      <c r="I261" s="17" t="s">
        <v>22</v>
      </c>
      <c r="J261" s="18" t="s">
        <v>1901</v>
      </c>
      <c r="K261" s="17" t="s">
        <v>23</v>
      </c>
      <c r="L261" s="17" t="s">
        <v>1898</v>
      </c>
      <c r="M261" s="17" t="s">
        <v>1012</v>
      </c>
      <c r="N261" s="17" t="s">
        <v>1899</v>
      </c>
      <c r="O261" s="18" t="s">
        <v>1017</v>
      </c>
      <c r="P261" s="18" t="s">
        <v>25</v>
      </c>
      <c r="Q261" s="32">
        <f t="shared" si="8"/>
        <v>16</v>
      </c>
      <c r="R261" s="32">
        <f t="shared" si="9"/>
        <v>13</v>
      </c>
      <c r="S261" s="21" t="s">
        <v>2915</v>
      </c>
    </row>
    <row r="262" spans="1:19" x14ac:dyDescent="0.25">
      <c r="A262" s="3">
        <v>260</v>
      </c>
      <c r="B262" s="3" t="s">
        <v>490</v>
      </c>
      <c r="C262" s="17" t="s">
        <v>757</v>
      </c>
      <c r="D262" s="17" t="s">
        <v>1011</v>
      </c>
      <c r="E262" s="17" t="s">
        <v>2987</v>
      </c>
      <c r="F262" s="17" t="s">
        <v>1902</v>
      </c>
      <c r="G262" s="17" t="s">
        <v>68</v>
      </c>
      <c r="H262" s="17" t="s">
        <v>1896</v>
      </c>
      <c r="I262" s="17" t="s">
        <v>28</v>
      </c>
      <c r="J262" s="18" t="s">
        <v>1903</v>
      </c>
      <c r="K262" s="17" t="s">
        <v>23</v>
      </c>
      <c r="L262" s="17" t="s">
        <v>1898</v>
      </c>
      <c r="M262" s="17" t="s">
        <v>1012</v>
      </c>
      <c r="N262" s="17" t="s">
        <v>1899</v>
      </c>
      <c r="O262" s="18" t="s">
        <v>1017</v>
      </c>
      <c r="P262" s="18" t="s">
        <v>25</v>
      </c>
      <c r="Q262" s="32">
        <f t="shared" si="8"/>
        <v>16</v>
      </c>
      <c r="R262" s="32">
        <f t="shared" si="9"/>
        <v>13</v>
      </c>
      <c r="S262" s="21" t="s">
        <v>2915</v>
      </c>
    </row>
    <row r="263" spans="1:19" x14ac:dyDescent="0.25">
      <c r="A263" s="2">
        <v>261</v>
      </c>
      <c r="B263" s="3" t="s">
        <v>490</v>
      </c>
      <c r="C263" s="17" t="s">
        <v>758</v>
      </c>
      <c r="D263" s="17" t="s">
        <v>1011</v>
      </c>
      <c r="E263" s="17" t="s">
        <v>2987</v>
      </c>
      <c r="F263" s="17" t="s">
        <v>1904</v>
      </c>
      <c r="G263" s="17" t="s">
        <v>68</v>
      </c>
      <c r="H263" s="17" t="s">
        <v>1896</v>
      </c>
      <c r="I263" s="17" t="s">
        <v>27</v>
      </c>
      <c r="J263" s="18" t="s">
        <v>1905</v>
      </c>
      <c r="K263" s="17" t="s">
        <v>23</v>
      </c>
      <c r="L263" s="17" t="s">
        <v>1898</v>
      </c>
      <c r="M263" s="17" t="s">
        <v>1012</v>
      </c>
      <c r="N263" s="17" t="s">
        <v>1899</v>
      </c>
      <c r="O263" s="18" t="s">
        <v>1017</v>
      </c>
      <c r="P263" s="18" t="s">
        <v>25</v>
      </c>
      <c r="Q263" s="32">
        <f t="shared" si="8"/>
        <v>16</v>
      </c>
      <c r="R263" s="32">
        <f t="shared" si="9"/>
        <v>13</v>
      </c>
      <c r="S263" s="21" t="s">
        <v>2915</v>
      </c>
    </row>
    <row r="264" spans="1:19" x14ac:dyDescent="0.25">
      <c r="A264" s="3">
        <v>262</v>
      </c>
      <c r="B264" s="3" t="s">
        <v>490</v>
      </c>
      <c r="C264" s="17" t="s">
        <v>759</v>
      </c>
      <c r="D264" s="17" t="s">
        <v>1011</v>
      </c>
      <c r="E264" s="17" t="s">
        <v>2987</v>
      </c>
      <c r="F264" s="17" t="s">
        <v>1906</v>
      </c>
      <c r="G264" s="17" t="s">
        <v>68</v>
      </c>
      <c r="H264" s="17" t="s">
        <v>1907</v>
      </c>
      <c r="I264" s="17" t="s">
        <v>22</v>
      </c>
      <c r="J264" s="18" t="s">
        <v>1908</v>
      </c>
      <c r="K264" s="17" t="s">
        <v>23</v>
      </c>
      <c r="L264" s="17" t="s">
        <v>1909</v>
      </c>
      <c r="M264" s="17" t="s">
        <v>1012</v>
      </c>
      <c r="N264" s="17" t="s">
        <v>1910</v>
      </c>
      <c r="O264" s="18" t="s">
        <v>1017</v>
      </c>
      <c r="P264" s="18" t="s">
        <v>25</v>
      </c>
      <c r="Q264" s="32">
        <f t="shared" si="8"/>
        <v>16</v>
      </c>
      <c r="R264" s="32">
        <f t="shared" si="9"/>
        <v>15</v>
      </c>
      <c r="S264" s="21" t="s">
        <v>2915</v>
      </c>
    </row>
    <row r="265" spans="1:19" x14ac:dyDescent="0.25">
      <c r="A265" s="2">
        <v>263</v>
      </c>
      <c r="B265" s="3" t="s">
        <v>490</v>
      </c>
      <c r="C265" s="17" t="s">
        <v>760</v>
      </c>
      <c r="D265" s="17" t="s">
        <v>1011</v>
      </c>
      <c r="E265" s="17" t="s">
        <v>2987</v>
      </c>
      <c r="F265" s="17" t="s">
        <v>1911</v>
      </c>
      <c r="G265" s="17" t="s">
        <v>68</v>
      </c>
      <c r="H265" s="17" t="s">
        <v>1912</v>
      </c>
      <c r="I265" s="17" t="s">
        <v>26</v>
      </c>
      <c r="J265" s="18" t="s">
        <v>1913</v>
      </c>
      <c r="K265" s="17" t="s">
        <v>23</v>
      </c>
      <c r="L265" s="17" t="s">
        <v>1914</v>
      </c>
      <c r="M265" s="17" t="s">
        <v>1012</v>
      </c>
      <c r="N265" s="17" t="s">
        <v>1915</v>
      </c>
      <c r="O265" s="18" t="s">
        <v>1017</v>
      </c>
      <c r="P265" s="18" t="s">
        <v>25</v>
      </c>
      <c r="Q265" s="32">
        <f t="shared" si="8"/>
        <v>16</v>
      </c>
      <c r="R265" s="32">
        <f t="shared" si="9"/>
        <v>15</v>
      </c>
      <c r="S265" s="21" t="s">
        <v>2915</v>
      </c>
    </row>
    <row r="266" spans="1:19" x14ac:dyDescent="0.25">
      <c r="A266" s="3">
        <v>264</v>
      </c>
      <c r="B266" s="3" t="s">
        <v>490</v>
      </c>
      <c r="C266" s="17" t="s">
        <v>761</v>
      </c>
      <c r="D266" s="17" t="s">
        <v>1011</v>
      </c>
      <c r="E266" s="17" t="s">
        <v>2987</v>
      </c>
      <c r="F266" s="17" t="s">
        <v>1916</v>
      </c>
      <c r="G266" s="17" t="s">
        <v>68</v>
      </c>
      <c r="H266" s="17" t="s">
        <v>1917</v>
      </c>
      <c r="I266" s="17" t="s">
        <v>26</v>
      </c>
      <c r="J266" s="18" t="s">
        <v>1918</v>
      </c>
      <c r="K266" s="17" t="s">
        <v>23</v>
      </c>
      <c r="L266" s="17" t="s">
        <v>1919</v>
      </c>
      <c r="M266" s="17" t="s">
        <v>1012</v>
      </c>
      <c r="N266" s="17" t="s">
        <v>1920</v>
      </c>
      <c r="O266" s="18" t="s">
        <v>1017</v>
      </c>
      <c r="P266" s="18" t="s">
        <v>25</v>
      </c>
      <c r="Q266" s="32">
        <f t="shared" si="8"/>
        <v>16</v>
      </c>
      <c r="R266" s="32">
        <f t="shared" si="9"/>
        <v>11</v>
      </c>
      <c r="S266" s="21" t="s">
        <v>2915</v>
      </c>
    </row>
    <row r="267" spans="1:19" x14ac:dyDescent="0.25">
      <c r="A267" s="2">
        <v>265</v>
      </c>
      <c r="B267" s="3" t="s">
        <v>490</v>
      </c>
      <c r="C267" s="17" t="s">
        <v>762</v>
      </c>
      <c r="D267" s="17" t="s">
        <v>1011</v>
      </c>
      <c r="E267" s="17" t="s">
        <v>2987</v>
      </c>
      <c r="F267" s="17" t="s">
        <v>1921</v>
      </c>
      <c r="G267" s="17" t="s">
        <v>68</v>
      </c>
      <c r="H267" s="17" t="s">
        <v>1922</v>
      </c>
      <c r="I267" s="17" t="s">
        <v>26</v>
      </c>
      <c r="J267" s="18" t="s">
        <v>1923</v>
      </c>
      <c r="K267" s="17" t="s">
        <v>23</v>
      </c>
      <c r="L267" s="17" t="s">
        <v>1924</v>
      </c>
      <c r="M267" s="17" t="s">
        <v>1012</v>
      </c>
      <c r="N267" s="17" t="s">
        <v>1925</v>
      </c>
      <c r="O267" s="18" t="s">
        <v>1017</v>
      </c>
      <c r="P267" s="18" t="s">
        <v>25</v>
      </c>
      <c r="Q267" s="32">
        <f t="shared" si="8"/>
        <v>16</v>
      </c>
      <c r="R267" s="32">
        <f t="shared" si="9"/>
        <v>11</v>
      </c>
      <c r="S267" s="21" t="s">
        <v>2915</v>
      </c>
    </row>
    <row r="268" spans="1:19" x14ac:dyDescent="0.25">
      <c r="A268" s="3">
        <v>266</v>
      </c>
      <c r="B268" s="3" t="s">
        <v>490</v>
      </c>
      <c r="C268" s="17" t="s">
        <v>763</v>
      </c>
      <c r="D268" s="17" t="s">
        <v>1011</v>
      </c>
      <c r="E268" s="17" t="s">
        <v>2987</v>
      </c>
      <c r="F268" s="17" t="s">
        <v>103</v>
      </c>
      <c r="G268" s="17" t="s">
        <v>68</v>
      </c>
      <c r="H268" s="17" t="s">
        <v>1922</v>
      </c>
      <c r="I268" s="17" t="s">
        <v>28</v>
      </c>
      <c r="J268" s="18" t="s">
        <v>1926</v>
      </c>
      <c r="K268" s="17" t="s">
        <v>23</v>
      </c>
      <c r="L268" s="17" t="s">
        <v>1924</v>
      </c>
      <c r="M268" s="17" t="s">
        <v>1012</v>
      </c>
      <c r="N268" s="17" t="s">
        <v>1925</v>
      </c>
      <c r="O268" s="18" t="s">
        <v>1017</v>
      </c>
      <c r="P268" s="18" t="s">
        <v>25</v>
      </c>
      <c r="Q268" s="32">
        <f t="shared" si="8"/>
        <v>16</v>
      </c>
      <c r="R268" s="32">
        <f t="shared" si="9"/>
        <v>11</v>
      </c>
      <c r="S268" s="21" t="s">
        <v>2915</v>
      </c>
    </row>
    <row r="269" spans="1:19" x14ac:dyDescent="0.25">
      <c r="A269" s="2">
        <v>267</v>
      </c>
      <c r="B269" s="3" t="s">
        <v>490</v>
      </c>
      <c r="C269" s="17" t="s">
        <v>764</v>
      </c>
      <c r="D269" s="17" t="s">
        <v>1011</v>
      </c>
      <c r="E269" s="17" t="s">
        <v>2987</v>
      </c>
      <c r="F269" s="17" t="s">
        <v>1927</v>
      </c>
      <c r="G269" s="17" t="s">
        <v>68</v>
      </c>
      <c r="H269" s="17" t="s">
        <v>1922</v>
      </c>
      <c r="I269" s="17" t="s">
        <v>27</v>
      </c>
      <c r="J269" s="18" t="s">
        <v>1928</v>
      </c>
      <c r="K269" s="17" t="s">
        <v>23</v>
      </c>
      <c r="L269" s="17" t="s">
        <v>1924</v>
      </c>
      <c r="M269" s="17" t="s">
        <v>1012</v>
      </c>
      <c r="N269" s="17" t="s">
        <v>1925</v>
      </c>
      <c r="O269" s="18" t="s">
        <v>1017</v>
      </c>
      <c r="P269" s="18" t="s">
        <v>25</v>
      </c>
      <c r="Q269" s="32">
        <f t="shared" si="8"/>
        <v>16</v>
      </c>
      <c r="R269" s="32">
        <f t="shared" si="9"/>
        <v>11</v>
      </c>
      <c r="S269" s="21" t="s">
        <v>2915</v>
      </c>
    </row>
    <row r="270" spans="1:19" x14ac:dyDescent="0.25">
      <c r="A270" s="3">
        <v>268</v>
      </c>
      <c r="B270" s="3" t="s">
        <v>490</v>
      </c>
      <c r="C270" s="17" t="s">
        <v>765</v>
      </c>
      <c r="D270" s="17" t="s">
        <v>1011</v>
      </c>
      <c r="E270" s="17" t="s">
        <v>2987</v>
      </c>
      <c r="F270" s="17" t="s">
        <v>1929</v>
      </c>
      <c r="G270" s="17" t="s">
        <v>68</v>
      </c>
      <c r="H270" s="17" t="s">
        <v>1930</v>
      </c>
      <c r="I270" s="17" t="s">
        <v>22</v>
      </c>
      <c r="J270" s="18" t="s">
        <v>1931</v>
      </c>
      <c r="K270" s="17" t="s">
        <v>23</v>
      </c>
      <c r="L270" s="17" t="s">
        <v>1932</v>
      </c>
      <c r="M270" s="17" t="s">
        <v>1012</v>
      </c>
      <c r="N270" s="17" t="s">
        <v>1933</v>
      </c>
      <c r="O270" s="18" t="s">
        <v>1017</v>
      </c>
      <c r="P270" s="18" t="s">
        <v>25</v>
      </c>
      <c r="Q270" s="32">
        <f t="shared" si="8"/>
        <v>16</v>
      </c>
      <c r="R270" s="32">
        <f t="shared" si="9"/>
        <v>11</v>
      </c>
      <c r="S270" s="21" t="s">
        <v>2915</v>
      </c>
    </row>
    <row r="271" spans="1:19" x14ac:dyDescent="0.25">
      <c r="A271" s="2">
        <v>269</v>
      </c>
      <c r="B271" s="3" t="s">
        <v>490</v>
      </c>
      <c r="C271" s="17" t="s">
        <v>766</v>
      </c>
      <c r="D271" s="17" t="s">
        <v>1011</v>
      </c>
      <c r="E271" s="17" t="s">
        <v>2987</v>
      </c>
      <c r="F271" s="17" t="s">
        <v>103</v>
      </c>
      <c r="G271" s="17" t="s">
        <v>68</v>
      </c>
      <c r="H271" s="17" t="s">
        <v>1930</v>
      </c>
      <c r="I271" s="17" t="s">
        <v>28</v>
      </c>
      <c r="J271" s="18" t="s">
        <v>1934</v>
      </c>
      <c r="K271" s="17" t="s">
        <v>23</v>
      </c>
      <c r="L271" s="17" t="s">
        <v>1932</v>
      </c>
      <c r="M271" s="17" t="s">
        <v>1012</v>
      </c>
      <c r="N271" s="17" t="s">
        <v>1933</v>
      </c>
      <c r="O271" s="18" t="s">
        <v>1017</v>
      </c>
      <c r="P271" s="18" t="s">
        <v>25</v>
      </c>
      <c r="Q271" s="32">
        <f t="shared" si="8"/>
        <v>16</v>
      </c>
      <c r="R271" s="32">
        <f t="shared" si="9"/>
        <v>11</v>
      </c>
      <c r="S271" s="21" t="s">
        <v>2915</v>
      </c>
    </row>
    <row r="272" spans="1:19" x14ac:dyDescent="0.25">
      <c r="A272" s="3">
        <v>270</v>
      </c>
      <c r="B272" s="3" t="s">
        <v>490</v>
      </c>
      <c r="C272" s="17" t="s">
        <v>767</v>
      </c>
      <c r="D272" s="17" t="s">
        <v>1011</v>
      </c>
      <c r="E272" s="17" t="s">
        <v>2987</v>
      </c>
      <c r="F272" s="17" t="s">
        <v>103</v>
      </c>
      <c r="G272" s="17" t="s">
        <v>68</v>
      </c>
      <c r="H272" s="17" t="s">
        <v>1930</v>
      </c>
      <c r="I272" s="17" t="s">
        <v>27</v>
      </c>
      <c r="J272" s="18" t="s">
        <v>1935</v>
      </c>
      <c r="K272" s="17" t="s">
        <v>23</v>
      </c>
      <c r="L272" s="17" t="s">
        <v>1932</v>
      </c>
      <c r="M272" s="17" t="s">
        <v>1012</v>
      </c>
      <c r="N272" s="17" t="s">
        <v>1933</v>
      </c>
      <c r="O272" s="18" t="s">
        <v>1017</v>
      </c>
      <c r="P272" s="18" t="s">
        <v>25</v>
      </c>
      <c r="Q272" s="32">
        <f t="shared" si="8"/>
        <v>16</v>
      </c>
      <c r="R272" s="32">
        <f t="shared" si="9"/>
        <v>11</v>
      </c>
      <c r="S272" s="21" t="s">
        <v>2915</v>
      </c>
    </row>
    <row r="273" spans="1:19" x14ac:dyDescent="0.25">
      <c r="A273" s="2">
        <v>271</v>
      </c>
      <c r="B273" s="3" t="s">
        <v>490</v>
      </c>
      <c r="C273" s="17" t="s">
        <v>768</v>
      </c>
      <c r="D273" s="17" t="s">
        <v>1011</v>
      </c>
      <c r="E273" s="17" t="s">
        <v>2987</v>
      </c>
      <c r="F273" s="17" t="s">
        <v>1936</v>
      </c>
      <c r="G273" s="17" t="s">
        <v>68</v>
      </c>
      <c r="H273" s="17" t="s">
        <v>1937</v>
      </c>
      <c r="I273" s="17" t="s">
        <v>26</v>
      </c>
      <c r="J273" s="18" t="s">
        <v>1938</v>
      </c>
      <c r="K273" s="17" t="s">
        <v>23</v>
      </c>
      <c r="L273" s="17" t="s">
        <v>1939</v>
      </c>
      <c r="M273" s="17" t="s">
        <v>1012</v>
      </c>
      <c r="N273" s="17" t="s">
        <v>1940</v>
      </c>
      <c r="O273" s="18" t="s">
        <v>1017</v>
      </c>
      <c r="P273" s="18" t="s">
        <v>25</v>
      </c>
      <c r="Q273" s="32">
        <f t="shared" si="8"/>
        <v>16</v>
      </c>
      <c r="R273" s="32">
        <f t="shared" si="9"/>
        <v>15</v>
      </c>
      <c r="S273" s="21" t="s">
        <v>2915</v>
      </c>
    </row>
    <row r="274" spans="1:19" x14ac:dyDescent="0.25">
      <c r="A274" s="3">
        <v>272</v>
      </c>
      <c r="B274" s="3" t="s">
        <v>490</v>
      </c>
      <c r="C274" s="17" t="s">
        <v>769</v>
      </c>
      <c r="D274" s="17" t="s">
        <v>1011</v>
      </c>
      <c r="E274" s="17" t="s">
        <v>2987</v>
      </c>
      <c r="F274" s="17" t="s">
        <v>1941</v>
      </c>
      <c r="G274" s="17" t="s">
        <v>68</v>
      </c>
      <c r="H274" s="17" t="s">
        <v>1942</v>
      </c>
      <c r="I274" s="17" t="s">
        <v>26</v>
      </c>
      <c r="J274" s="18" t="s">
        <v>1943</v>
      </c>
      <c r="K274" s="17" t="s">
        <v>23</v>
      </c>
      <c r="L274" s="17" t="s">
        <v>1944</v>
      </c>
      <c r="M274" s="17" t="s">
        <v>1012</v>
      </c>
      <c r="N274" s="17" t="s">
        <v>1945</v>
      </c>
      <c r="O274" s="18" t="s">
        <v>1017</v>
      </c>
      <c r="P274" s="18" t="s">
        <v>25</v>
      </c>
      <c r="Q274" s="32">
        <f t="shared" si="8"/>
        <v>16</v>
      </c>
      <c r="R274" s="32">
        <f t="shared" si="9"/>
        <v>14</v>
      </c>
      <c r="S274" s="21" t="s">
        <v>2915</v>
      </c>
    </row>
    <row r="275" spans="1:19" x14ac:dyDescent="0.25">
      <c r="A275" s="2">
        <v>273</v>
      </c>
      <c r="B275" s="3" t="s">
        <v>490</v>
      </c>
      <c r="C275" s="17" t="s">
        <v>770</v>
      </c>
      <c r="D275" s="17" t="s">
        <v>1011</v>
      </c>
      <c r="E275" s="17" t="s">
        <v>2987</v>
      </c>
      <c r="F275" s="17" t="s">
        <v>1946</v>
      </c>
      <c r="G275" s="17" t="s">
        <v>68</v>
      </c>
      <c r="H275" s="17" t="s">
        <v>1942</v>
      </c>
      <c r="I275" s="17" t="s">
        <v>22</v>
      </c>
      <c r="J275" s="18" t="s">
        <v>1947</v>
      </c>
      <c r="K275" s="17" t="s">
        <v>23</v>
      </c>
      <c r="L275" s="17" t="s">
        <v>1944</v>
      </c>
      <c r="M275" s="17" t="s">
        <v>1012</v>
      </c>
      <c r="N275" s="17" t="s">
        <v>1945</v>
      </c>
      <c r="O275" s="18" t="s">
        <v>1017</v>
      </c>
      <c r="P275" s="18" t="s">
        <v>25</v>
      </c>
      <c r="Q275" s="32">
        <f t="shared" si="8"/>
        <v>16</v>
      </c>
      <c r="R275" s="32">
        <f t="shared" si="9"/>
        <v>14</v>
      </c>
      <c r="S275" s="21" t="s">
        <v>2915</v>
      </c>
    </row>
    <row r="276" spans="1:19" x14ac:dyDescent="0.25">
      <c r="A276" s="3">
        <v>274</v>
      </c>
      <c r="B276" s="3" t="s">
        <v>490</v>
      </c>
      <c r="C276" s="17" t="s">
        <v>771</v>
      </c>
      <c r="D276" s="17" t="s">
        <v>1011</v>
      </c>
      <c r="E276" s="17" t="s">
        <v>2987</v>
      </c>
      <c r="F276" s="17" t="s">
        <v>1948</v>
      </c>
      <c r="G276" s="17" t="s">
        <v>68</v>
      </c>
      <c r="H276" s="17" t="s">
        <v>1949</v>
      </c>
      <c r="I276" s="17" t="s">
        <v>26</v>
      </c>
      <c r="J276" s="18" t="s">
        <v>1950</v>
      </c>
      <c r="K276" s="17" t="s">
        <v>23</v>
      </c>
      <c r="L276" s="17" t="s">
        <v>1951</v>
      </c>
      <c r="M276" s="17" t="s">
        <v>1012</v>
      </c>
      <c r="N276" s="17" t="s">
        <v>1952</v>
      </c>
      <c r="O276" s="18" t="s">
        <v>1017</v>
      </c>
      <c r="P276" s="18" t="s">
        <v>25</v>
      </c>
      <c r="Q276" s="32">
        <f t="shared" si="8"/>
        <v>16</v>
      </c>
      <c r="R276" s="32">
        <f t="shared" si="9"/>
        <v>14</v>
      </c>
      <c r="S276" s="21" t="s">
        <v>2915</v>
      </c>
    </row>
    <row r="277" spans="1:19" x14ac:dyDescent="0.25">
      <c r="A277" s="2">
        <v>275</v>
      </c>
      <c r="B277" s="3" t="s">
        <v>490</v>
      </c>
      <c r="C277" s="17" t="s">
        <v>772</v>
      </c>
      <c r="D277" s="17" t="s">
        <v>1011</v>
      </c>
      <c r="E277" s="17" t="s">
        <v>2987</v>
      </c>
      <c r="F277" s="17" t="s">
        <v>1953</v>
      </c>
      <c r="G277" s="17" t="s">
        <v>68</v>
      </c>
      <c r="H277" s="17" t="s">
        <v>1949</v>
      </c>
      <c r="I277" s="17" t="s">
        <v>22</v>
      </c>
      <c r="J277" s="18" t="s">
        <v>1954</v>
      </c>
      <c r="K277" s="17" t="s">
        <v>23</v>
      </c>
      <c r="L277" s="17" t="s">
        <v>1951</v>
      </c>
      <c r="M277" s="17" t="s">
        <v>1012</v>
      </c>
      <c r="N277" s="17" t="s">
        <v>1952</v>
      </c>
      <c r="O277" s="18" t="s">
        <v>1017</v>
      </c>
      <c r="P277" s="18" t="s">
        <v>25</v>
      </c>
      <c r="Q277" s="32">
        <f t="shared" si="8"/>
        <v>16</v>
      </c>
      <c r="R277" s="32">
        <f t="shared" si="9"/>
        <v>14</v>
      </c>
      <c r="S277" s="21" t="s">
        <v>2915</v>
      </c>
    </row>
    <row r="278" spans="1:19" x14ac:dyDescent="0.25">
      <c r="A278" s="3">
        <v>276</v>
      </c>
      <c r="B278" s="3" t="s">
        <v>490</v>
      </c>
      <c r="C278" s="17" t="s">
        <v>773</v>
      </c>
      <c r="D278" s="17" t="s">
        <v>1011</v>
      </c>
      <c r="E278" s="17" t="s">
        <v>2987</v>
      </c>
      <c r="F278" s="17" t="s">
        <v>1955</v>
      </c>
      <c r="G278" s="17" t="s">
        <v>68</v>
      </c>
      <c r="H278" s="17" t="s">
        <v>1956</v>
      </c>
      <c r="I278" s="17" t="s">
        <v>26</v>
      </c>
      <c r="J278" s="18" t="s">
        <v>1957</v>
      </c>
      <c r="K278" s="17" t="s">
        <v>23</v>
      </c>
      <c r="L278" s="17" t="s">
        <v>1958</v>
      </c>
      <c r="M278" s="17" t="s">
        <v>1012</v>
      </c>
      <c r="N278" s="17" t="s">
        <v>1959</v>
      </c>
      <c r="O278" s="18" t="s">
        <v>1017</v>
      </c>
      <c r="P278" s="18" t="s">
        <v>25</v>
      </c>
      <c r="Q278" s="32">
        <f t="shared" si="8"/>
        <v>16</v>
      </c>
      <c r="R278" s="32">
        <f t="shared" si="9"/>
        <v>11</v>
      </c>
      <c r="S278" s="21" t="s">
        <v>2915</v>
      </c>
    </row>
    <row r="279" spans="1:19" x14ac:dyDescent="0.25">
      <c r="A279" s="2">
        <v>277</v>
      </c>
      <c r="B279" s="3" t="s">
        <v>490</v>
      </c>
      <c r="C279" s="17" t="s">
        <v>774</v>
      </c>
      <c r="D279" s="17" t="s">
        <v>1011</v>
      </c>
      <c r="E279" s="17" t="s">
        <v>2987</v>
      </c>
      <c r="F279" s="17" t="s">
        <v>1960</v>
      </c>
      <c r="G279" s="17" t="s">
        <v>68</v>
      </c>
      <c r="H279" s="17" t="s">
        <v>1956</v>
      </c>
      <c r="I279" s="17" t="s">
        <v>22</v>
      </c>
      <c r="J279" s="18" t="s">
        <v>1961</v>
      </c>
      <c r="K279" s="17" t="s">
        <v>23</v>
      </c>
      <c r="L279" s="17" t="s">
        <v>1958</v>
      </c>
      <c r="M279" s="17" t="s">
        <v>1012</v>
      </c>
      <c r="N279" s="17" t="s">
        <v>1959</v>
      </c>
      <c r="O279" s="18" t="s">
        <v>1017</v>
      </c>
      <c r="P279" s="18" t="s">
        <v>25</v>
      </c>
      <c r="Q279" s="32">
        <f t="shared" si="8"/>
        <v>16</v>
      </c>
      <c r="R279" s="32">
        <f t="shared" si="9"/>
        <v>11</v>
      </c>
      <c r="S279" s="21" t="s">
        <v>2915</v>
      </c>
    </row>
    <row r="280" spans="1:19" x14ac:dyDescent="0.25">
      <c r="A280" s="3">
        <v>278</v>
      </c>
      <c r="B280" s="3" t="s">
        <v>490</v>
      </c>
      <c r="C280" s="17" t="s">
        <v>775</v>
      </c>
      <c r="D280" s="17" t="s">
        <v>1011</v>
      </c>
      <c r="E280" s="17" t="s">
        <v>2994</v>
      </c>
      <c r="F280" s="17" t="s">
        <v>1962</v>
      </c>
      <c r="G280" s="17" t="s">
        <v>1963</v>
      </c>
      <c r="H280" s="17" t="s">
        <v>67</v>
      </c>
      <c r="I280" s="17" t="s">
        <v>26</v>
      </c>
      <c r="J280" s="18" t="s">
        <v>1964</v>
      </c>
      <c r="K280" s="17" t="s">
        <v>23</v>
      </c>
      <c r="L280" s="17" t="s">
        <v>1965</v>
      </c>
      <c r="M280" s="17" t="s">
        <v>1012</v>
      </c>
      <c r="N280" s="17" t="s">
        <v>1966</v>
      </c>
      <c r="O280" s="18" t="s">
        <v>1017</v>
      </c>
      <c r="P280" s="18" t="s">
        <v>25</v>
      </c>
      <c r="Q280" s="32">
        <f t="shared" si="8"/>
        <v>16</v>
      </c>
      <c r="R280" s="32">
        <f t="shared" si="9"/>
        <v>13</v>
      </c>
      <c r="S280" s="21" t="s">
        <v>2915</v>
      </c>
    </row>
    <row r="281" spans="1:19" x14ac:dyDescent="0.25">
      <c r="A281" s="2">
        <v>279</v>
      </c>
      <c r="B281" s="3" t="s">
        <v>490</v>
      </c>
      <c r="C281" s="17" t="s">
        <v>776</v>
      </c>
      <c r="D281" s="17" t="s">
        <v>1011</v>
      </c>
      <c r="E281" s="17" t="s">
        <v>2995</v>
      </c>
      <c r="F281" s="17" t="s">
        <v>103</v>
      </c>
      <c r="G281" s="17" t="s">
        <v>66</v>
      </c>
      <c r="H281" s="17" t="s">
        <v>1967</v>
      </c>
      <c r="I281" s="17" t="s">
        <v>27</v>
      </c>
      <c r="J281" s="18" t="s">
        <v>1968</v>
      </c>
      <c r="K281" s="17" t="s">
        <v>23</v>
      </c>
      <c r="L281" s="17" t="s">
        <v>1969</v>
      </c>
      <c r="M281" s="17" t="s">
        <v>1012</v>
      </c>
      <c r="N281" s="17" t="s">
        <v>1970</v>
      </c>
      <c r="O281" s="18" t="s">
        <v>1017</v>
      </c>
      <c r="P281" s="18" t="s">
        <v>25</v>
      </c>
      <c r="Q281" s="32">
        <f t="shared" si="8"/>
        <v>16</v>
      </c>
      <c r="R281" s="32">
        <f t="shared" si="9"/>
        <v>11</v>
      </c>
      <c r="S281" s="21" t="s">
        <v>2912</v>
      </c>
    </row>
    <row r="282" spans="1:19" x14ac:dyDescent="0.25">
      <c r="A282" s="3">
        <v>280</v>
      </c>
      <c r="B282" s="3" t="s">
        <v>490</v>
      </c>
      <c r="C282" s="17" t="s">
        <v>777</v>
      </c>
      <c r="D282" s="17" t="s">
        <v>1011</v>
      </c>
      <c r="E282" s="17" t="s">
        <v>2995</v>
      </c>
      <c r="F282" s="17" t="s">
        <v>1971</v>
      </c>
      <c r="G282" s="17" t="s">
        <v>66</v>
      </c>
      <c r="H282" s="17" t="s">
        <v>1972</v>
      </c>
      <c r="I282" s="17" t="s">
        <v>26</v>
      </c>
      <c r="J282" s="18" t="s">
        <v>1973</v>
      </c>
      <c r="K282" s="17" t="s">
        <v>23</v>
      </c>
      <c r="L282" s="17" t="s">
        <v>1974</v>
      </c>
      <c r="M282" s="17" t="s">
        <v>1012</v>
      </c>
      <c r="N282" s="17" t="s">
        <v>1975</v>
      </c>
      <c r="O282" s="18" t="s">
        <v>1017</v>
      </c>
      <c r="P282" s="18" t="s">
        <v>25</v>
      </c>
      <c r="Q282" s="32">
        <f t="shared" si="8"/>
        <v>16</v>
      </c>
      <c r="R282" s="32">
        <f t="shared" si="9"/>
        <v>15</v>
      </c>
      <c r="S282" s="21" t="s">
        <v>2996</v>
      </c>
    </row>
    <row r="283" spans="1:19" x14ac:dyDescent="0.25">
      <c r="A283" s="2">
        <v>281</v>
      </c>
      <c r="B283" s="3" t="s">
        <v>490</v>
      </c>
      <c r="C283" s="17" t="s">
        <v>778</v>
      </c>
      <c r="D283" s="17" t="s">
        <v>1011</v>
      </c>
      <c r="E283" s="17" t="s">
        <v>2995</v>
      </c>
      <c r="F283" s="17" t="s">
        <v>1976</v>
      </c>
      <c r="G283" s="17" t="s">
        <v>66</v>
      </c>
      <c r="H283" s="17" t="s">
        <v>1972</v>
      </c>
      <c r="I283" s="17" t="s">
        <v>22</v>
      </c>
      <c r="J283" s="18" t="s">
        <v>1977</v>
      </c>
      <c r="K283" s="17" t="s">
        <v>23</v>
      </c>
      <c r="L283" s="17" t="s">
        <v>1974</v>
      </c>
      <c r="M283" s="17" t="s">
        <v>1012</v>
      </c>
      <c r="N283" s="17" t="s">
        <v>1975</v>
      </c>
      <c r="O283" s="18" t="s">
        <v>1017</v>
      </c>
      <c r="P283" s="18" t="s">
        <v>25</v>
      </c>
      <c r="Q283" s="32">
        <f t="shared" si="8"/>
        <v>16</v>
      </c>
      <c r="R283" s="32">
        <f t="shared" si="9"/>
        <v>15</v>
      </c>
      <c r="S283" s="21" t="s">
        <v>2915</v>
      </c>
    </row>
    <row r="284" spans="1:19" x14ac:dyDescent="0.25">
      <c r="A284" s="3">
        <v>282</v>
      </c>
      <c r="B284" s="3" t="s">
        <v>490</v>
      </c>
      <c r="C284" s="17" t="s">
        <v>779</v>
      </c>
      <c r="D284" s="17" t="s">
        <v>1011</v>
      </c>
      <c r="E284" s="17" t="s">
        <v>2995</v>
      </c>
      <c r="F284" s="17" t="s">
        <v>1978</v>
      </c>
      <c r="G284" s="17" t="s">
        <v>66</v>
      </c>
      <c r="H284" s="17" t="s">
        <v>1972</v>
      </c>
      <c r="I284" s="17" t="s">
        <v>28</v>
      </c>
      <c r="J284" s="18" t="s">
        <v>1979</v>
      </c>
      <c r="K284" s="17" t="s">
        <v>23</v>
      </c>
      <c r="L284" s="17" t="s">
        <v>1974</v>
      </c>
      <c r="M284" s="17" t="s">
        <v>1012</v>
      </c>
      <c r="N284" s="17" t="s">
        <v>1975</v>
      </c>
      <c r="O284" s="18" t="s">
        <v>1017</v>
      </c>
      <c r="P284" s="18" t="s">
        <v>25</v>
      </c>
      <c r="Q284" s="32">
        <f t="shared" si="8"/>
        <v>16</v>
      </c>
      <c r="R284" s="32">
        <f t="shared" si="9"/>
        <v>15</v>
      </c>
      <c r="S284" s="21" t="s">
        <v>2915</v>
      </c>
    </row>
    <row r="285" spans="1:19" x14ac:dyDescent="0.25">
      <c r="A285" s="2">
        <v>283</v>
      </c>
      <c r="B285" s="3" t="s">
        <v>490</v>
      </c>
      <c r="C285" s="17" t="s">
        <v>780</v>
      </c>
      <c r="D285" s="17" t="s">
        <v>1011</v>
      </c>
      <c r="E285" s="17" t="s">
        <v>2995</v>
      </c>
      <c r="F285" s="17" t="s">
        <v>1980</v>
      </c>
      <c r="G285" s="17" t="s">
        <v>66</v>
      </c>
      <c r="H285" s="17" t="s">
        <v>1972</v>
      </c>
      <c r="I285" s="17" t="s">
        <v>27</v>
      </c>
      <c r="J285" s="18" t="s">
        <v>1981</v>
      </c>
      <c r="K285" s="17" t="s">
        <v>23</v>
      </c>
      <c r="L285" s="17" t="s">
        <v>1974</v>
      </c>
      <c r="M285" s="17" t="s">
        <v>1012</v>
      </c>
      <c r="N285" s="17" t="s">
        <v>1975</v>
      </c>
      <c r="O285" s="18" t="s">
        <v>1017</v>
      </c>
      <c r="P285" s="18" t="s">
        <v>25</v>
      </c>
      <c r="Q285" s="32">
        <f t="shared" si="8"/>
        <v>16</v>
      </c>
      <c r="R285" s="32">
        <f t="shared" si="9"/>
        <v>15</v>
      </c>
      <c r="S285" s="21" t="s">
        <v>2915</v>
      </c>
    </row>
    <row r="286" spans="1:19" x14ac:dyDescent="0.25">
      <c r="A286" s="3">
        <v>284</v>
      </c>
      <c r="B286" s="3" t="s">
        <v>490</v>
      </c>
      <c r="C286" s="17" t="s">
        <v>781</v>
      </c>
      <c r="D286" s="17" t="s">
        <v>1011</v>
      </c>
      <c r="E286" s="17" t="s">
        <v>2997</v>
      </c>
      <c r="F286" s="17" t="s">
        <v>1982</v>
      </c>
      <c r="G286" s="17" t="s">
        <v>65</v>
      </c>
      <c r="H286" s="17" t="s">
        <v>1983</v>
      </c>
      <c r="I286" s="17" t="s">
        <v>28</v>
      </c>
      <c r="J286" s="18" t="s">
        <v>1984</v>
      </c>
      <c r="K286" s="17" t="s">
        <v>23</v>
      </c>
      <c r="L286" s="17" t="s">
        <v>1985</v>
      </c>
      <c r="M286" s="17" t="s">
        <v>1012</v>
      </c>
      <c r="N286" s="17" t="s">
        <v>1986</v>
      </c>
      <c r="O286" s="18" t="s">
        <v>1017</v>
      </c>
      <c r="P286" s="18" t="s">
        <v>25</v>
      </c>
      <c r="Q286" s="32">
        <f t="shared" si="8"/>
        <v>16</v>
      </c>
      <c r="R286" s="32">
        <f t="shared" si="9"/>
        <v>11</v>
      </c>
      <c r="S286" s="21" t="s">
        <v>2912</v>
      </c>
    </row>
    <row r="287" spans="1:19" x14ac:dyDescent="0.25">
      <c r="A287" s="2">
        <v>285</v>
      </c>
      <c r="B287" s="3" t="s">
        <v>490</v>
      </c>
      <c r="C287" s="17" t="s">
        <v>782</v>
      </c>
      <c r="D287" s="17" t="s">
        <v>1011</v>
      </c>
      <c r="E287" s="17" t="s">
        <v>2997</v>
      </c>
      <c r="F287" s="17" t="s">
        <v>103</v>
      </c>
      <c r="G287" s="17" t="s">
        <v>65</v>
      </c>
      <c r="H287" s="17" t="s">
        <v>1987</v>
      </c>
      <c r="I287" s="17" t="s">
        <v>28</v>
      </c>
      <c r="J287" s="18" t="s">
        <v>1988</v>
      </c>
      <c r="K287" s="17" t="s">
        <v>23</v>
      </c>
      <c r="L287" s="17" t="s">
        <v>1989</v>
      </c>
      <c r="M287" s="17" t="s">
        <v>1012</v>
      </c>
      <c r="N287" s="17" t="s">
        <v>1990</v>
      </c>
      <c r="O287" s="18" t="s">
        <v>1017</v>
      </c>
      <c r="P287" s="18" t="s">
        <v>25</v>
      </c>
      <c r="Q287" s="32">
        <f t="shared" si="8"/>
        <v>16</v>
      </c>
      <c r="R287" s="32">
        <f t="shared" si="9"/>
        <v>11</v>
      </c>
      <c r="S287" s="21" t="s">
        <v>2998</v>
      </c>
    </row>
    <row r="288" spans="1:19" x14ac:dyDescent="0.25">
      <c r="A288" s="3">
        <v>286</v>
      </c>
      <c r="B288" s="3" t="s">
        <v>490</v>
      </c>
      <c r="C288" s="17" t="s">
        <v>783</v>
      </c>
      <c r="D288" s="17" t="s">
        <v>1011</v>
      </c>
      <c r="E288" s="17" t="s">
        <v>2997</v>
      </c>
      <c r="F288" s="17" t="s">
        <v>1991</v>
      </c>
      <c r="G288" s="17" t="s">
        <v>65</v>
      </c>
      <c r="H288" s="17" t="s">
        <v>1992</v>
      </c>
      <c r="I288" s="17" t="s">
        <v>26</v>
      </c>
      <c r="J288" s="18" t="s">
        <v>1993</v>
      </c>
      <c r="K288" s="17" t="s">
        <v>23</v>
      </c>
      <c r="L288" s="17" t="s">
        <v>1994</v>
      </c>
      <c r="M288" s="17" t="s">
        <v>1012</v>
      </c>
      <c r="N288" s="17" t="s">
        <v>1995</v>
      </c>
      <c r="O288" s="18" t="s">
        <v>1017</v>
      </c>
      <c r="P288" s="18" t="s">
        <v>25</v>
      </c>
      <c r="Q288" s="32">
        <f t="shared" si="8"/>
        <v>16</v>
      </c>
      <c r="R288" s="32">
        <f t="shared" si="9"/>
        <v>11</v>
      </c>
      <c r="S288" s="21" t="s">
        <v>2999</v>
      </c>
    </row>
    <row r="289" spans="1:19" x14ac:dyDescent="0.25">
      <c r="A289" s="2">
        <v>287</v>
      </c>
      <c r="B289" s="3" t="s">
        <v>490</v>
      </c>
      <c r="C289" s="17" t="s">
        <v>784</v>
      </c>
      <c r="D289" s="17" t="s">
        <v>1011</v>
      </c>
      <c r="E289" s="17" t="s">
        <v>2997</v>
      </c>
      <c r="F289" s="17" t="s">
        <v>1996</v>
      </c>
      <c r="G289" s="17" t="s">
        <v>65</v>
      </c>
      <c r="H289" s="17" t="s">
        <v>1997</v>
      </c>
      <c r="I289" s="17" t="s">
        <v>26</v>
      </c>
      <c r="J289" s="18" t="s">
        <v>1998</v>
      </c>
      <c r="K289" s="17" t="s">
        <v>23</v>
      </c>
      <c r="L289" s="17" t="s">
        <v>1999</v>
      </c>
      <c r="M289" s="17" t="s">
        <v>1012</v>
      </c>
      <c r="N289" s="17" t="s">
        <v>2000</v>
      </c>
      <c r="O289" s="18" t="s">
        <v>1017</v>
      </c>
      <c r="P289" s="18" t="s">
        <v>25</v>
      </c>
      <c r="Q289" s="32">
        <f t="shared" si="8"/>
        <v>16</v>
      </c>
      <c r="R289" s="32">
        <f t="shared" si="9"/>
        <v>11</v>
      </c>
      <c r="S289" s="21" t="s">
        <v>3000</v>
      </c>
    </row>
    <row r="290" spans="1:19" x14ac:dyDescent="0.25">
      <c r="A290" s="3">
        <v>288</v>
      </c>
      <c r="B290" s="3" t="s">
        <v>490</v>
      </c>
      <c r="C290" s="17" t="s">
        <v>785</v>
      </c>
      <c r="D290" s="17" t="s">
        <v>1011</v>
      </c>
      <c r="E290" s="17" t="s">
        <v>2997</v>
      </c>
      <c r="F290" s="17" t="s">
        <v>2001</v>
      </c>
      <c r="G290" s="17" t="s">
        <v>65</v>
      </c>
      <c r="H290" s="17" t="s">
        <v>2002</v>
      </c>
      <c r="I290" s="17" t="s">
        <v>26</v>
      </c>
      <c r="J290" s="18" t="s">
        <v>2003</v>
      </c>
      <c r="K290" s="17" t="s">
        <v>23</v>
      </c>
      <c r="L290" s="17" t="s">
        <v>2004</v>
      </c>
      <c r="M290" s="17" t="s">
        <v>1012</v>
      </c>
      <c r="N290" s="17" t="s">
        <v>2005</v>
      </c>
      <c r="O290" s="18" t="s">
        <v>1017</v>
      </c>
      <c r="P290" s="18" t="s">
        <v>25</v>
      </c>
      <c r="Q290" s="32">
        <f t="shared" si="8"/>
        <v>16</v>
      </c>
      <c r="R290" s="32">
        <f t="shared" si="9"/>
        <v>14</v>
      </c>
      <c r="S290" s="21" t="s">
        <v>3001</v>
      </c>
    </row>
    <row r="291" spans="1:19" x14ac:dyDescent="0.25">
      <c r="A291" s="2">
        <v>289</v>
      </c>
      <c r="B291" s="3" t="s">
        <v>490</v>
      </c>
      <c r="C291" s="17" t="s">
        <v>786</v>
      </c>
      <c r="D291" s="17" t="s">
        <v>1011</v>
      </c>
      <c r="E291" s="17" t="s">
        <v>2997</v>
      </c>
      <c r="F291" s="17" t="s">
        <v>2006</v>
      </c>
      <c r="G291" s="17" t="s">
        <v>65</v>
      </c>
      <c r="H291" s="17" t="s">
        <v>2007</v>
      </c>
      <c r="I291" s="17" t="s">
        <v>26</v>
      </c>
      <c r="J291" s="18" t="s">
        <v>2008</v>
      </c>
      <c r="K291" s="17" t="s">
        <v>23</v>
      </c>
      <c r="L291" s="17" t="s">
        <v>2009</v>
      </c>
      <c r="M291" s="17" t="s">
        <v>1012</v>
      </c>
      <c r="N291" s="17" t="s">
        <v>2010</v>
      </c>
      <c r="O291" s="18" t="s">
        <v>1017</v>
      </c>
      <c r="P291" s="18" t="s">
        <v>25</v>
      </c>
      <c r="Q291" s="32">
        <f t="shared" si="8"/>
        <v>16</v>
      </c>
      <c r="R291" s="32">
        <f t="shared" si="9"/>
        <v>11</v>
      </c>
      <c r="S291" s="21" t="s">
        <v>3002</v>
      </c>
    </row>
    <row r="292" spans="1:19" x14ac:dyDescent="0.25">
      <c r="A292" s="3">
        <v>290</v>
      </c>
      <c r="B292" s="3" t="s">
        <v>490</v>
      </c>
      <c r="C292" s="17" t="s">
        <v>787</v>
      </c>
      <c r="D292" s="17" t="s">
        <v>1011</v>
      </c>
      <c r="E292" s="17" t="s">
        <v>2997</v>
      </c>
      <c r="F292" s="17" t="s">
        <v>2011</v>
      </c>
      <c r="G292" s="17" t="s">
        <v>65</v>
      </c>
      <c r="H292" s="17" t="s">
        <v>2007</v>
      </c>
      <c r="I292" s="17" t="s">
        <v>22</v>
      </c>
      <c r="J292" s="18" t="s">
        <v>2012</v>
      </c>
      <c r="K292" s="17" t="s">
        <v>23</v>
      </c>
      <c r="L292" s="17" t="s">
        <v>2009</v>
      </c>
      <c r="M292" s="17" t="s">
        <v>1012</v>
      </c>
      <c r="N292" s="17" t="s">
        <v>2010</v>
      </c>
      <c r="O292" s="18" t="s">
        <v>1017</v>
      </c>
      <c r="P292" s="18" t="s">
        <v>25</v>
      </c>
      <c r="Q292" s="32">
        <f t="shared" si="8"/>
        <v>16</v>
      </c>
      <c r="R292" s="32">
        <f t="shared" si="9"/>
        <v>11</v>
      </c>
      <c r="S292" s="21" t="s">
        <v>2915</v>
      </c>
    </row>
    <row r="293" spans="1:19" x14ac:dyDescent="0.25">
      <c r="A293" s="2">
        <v>291</v>
      </c>
      <c r="B293" s="3" t="s">
        <v>490</v>
      </c>
      <c r="C293" s="17" t="s">
        <v>788</v>
      </c>
      <c r="D293" s="17" t="s">
        <v>1011</v>
      </c>
      <c r="E293" s="17" t="s">
        <v>2997</v>
      </c>
      <c r="F293" s="17" t="s">
        <v>2013</v>
      </c>
      <c r="G293" s="17" t="s">
        <v>65</v>
      </c>
      <c r="H293" s="17" t="s">
        <v>2007</v>
      </c>
      <c r="I293" s="17" t="s">
        <v>28</v>
      </c>
      <c r="J293" s="18" t="s">
        <v>2014</v>
      </c>
      <c r="K293" s="17" t="s">
        <v>23</v>
      </c>
      <c r="L293" s="17" t="s">
        <v>2009</v>
      </c>
      <c r="M293" s="17" t="s">
        <v>1012</v>
      </c>
      <c r="N293" s="17" t="s">
        <v>2010</v>
      </c>
      <c r="O293" s="18" t="s">
        <v>1017</v>
      </c>
      <c r="P293" s="18" t="s">
        <v>25</v>
      </c>
      <c r="Q293" s="32">
        <f t="shared" si="8"/>
        <v>16</v>
      </c>
      <c r="R293" s="32">
        <f t="shared" si="9"/>
        <v>11</v>
      </c>
      <c r="S293" s="21" t="s">
        <v>2915</v>
      </c>
    </row>
    <row r="294" spans="1:19" x14ac:dyDescent="0.25">
      <c r="A294" s="3">
        <v>292</v>
      </c>
      <c r="B294" s="3" t="s">
        <v>490</v>
      </c>
      <c r="C294" s="17" t="s">
        <v>789</v>
      </c>
      <c r="D294" s="17" t="s">
        <v>1011</v>
      </c>
      <c r="E294" s="17" t="s">
        <v>2997</v>
      </c>
      <c r="F294" s="17" t="s">
        <v>2015</v>
      </c>
      <c r="G294" s="17" t="s">
        <v>65</v>
      </c>
      <c r="H294" s="17" t="s">
        <v>2016</v>
      </c>
      <c r="I294" s="17" t="s">
        <v>26</v>
      </c>
      <c r="J294" s="18" t="s">
        <v>2017</v>
      </c>
      <c r="K294" s="17" t="s">
        <v>23</v>
      </c>
      <c r="L294" s="17" t="s">
        <v>2018</v>
      </c>
      <c r="M294" s="17" t="s">
        <v>1012</v>
      </c>
      <c r="N294" s="17" t="s">
        <v>2019</v>
      </c>
      <c r="O294" s="18" t="s">
        <v>1017</v>
      </c>
      <c r="P294" s="18" t="s">
        <v>25</v>
      </c>
      <c r="Q294" s="32">
        <f t="shared" si="8"/>
        <v>16</v>
      </c>
      <c r="R294" s="32">
        <f t="shared" si="9"/>
        <v>13</v>
      </c>
      <c r="S294" s="21" t="s">
        <v>2915</v>
      </c>
    </row>
    <row r="295" spans="1:19" x14ac:dyDescent="0.25">
      <c r="A295" s="2">
        <v>293</v>
      </c>
      <c r="B295" s="3" t="s">
        <v>494</v>
      </c>
      <c r="C295" s="17" t="s">
        <v>790</v>
      </c>
      <c r="D295" s="17" t="s">
        <v>1011</v>
      </c>
      <c r="E295" s="17"/>
      <c r="F295" s="17" t="s">
        <v>2020</v>
      </c>
      <c r="G295" s="17" t="s">
        <v>2021</v>
      </c>
      <c r="H295" s="17" t="s">
        <v>249</v>
      </c>
      <c r="I295" s="17" t="s">
        <v>26</v>
      </c>
      <c r="J295" s="18" t="s">
        <v>2022</v>
      </c>
      <c r="K295" s="17" t="s">
        <v>255</v>
      </c>
      <c r="L295" s="17" t="s">
        <v>2023</v>
      </c>
      <c r="M295" s="17" t="s">
        <v>1012</v>
      </c>
      <c r="N295" s="17" t="s">
        <v>2024</v>
      </c>
      <c r="O295" s="18" t="s">
        <v>257</v>
      </c>
      <c r="P295" s="18" t="s">
        <v>258</v>
      </c>
      <c r="Q295" s="18">
        <f t="shared" si="8"/>
        <v>10</v>
      </c>
      <c r="R295" s="18">
        <f t="shared" si="9"/>
        <v>11</v>
      </c>
    </row>
    <row r="296" spans="1:19" x14ac:dyDescent="0.25">
      <c r="A296" s="3">
        <v>294</v>
      </c>
      <c r="B296" s="3" t="s">
        <v>490</v>
      </c>
      <c r="C296" s="17" t="s">
        <v>791</v>
      </c>
      <c r="D296" s="17" t="s">
        <v>1011</v>
      </c>
      <c r="E296" s="17" t="s">
        <v>3003</v>
      </c>
      <c r="F296" s="17" t="s">
        <v>2025</v>
      </c>
      <c r="G296" s="17" t="s">
        <v>2026</v>
      </c>
      <c r="H296" s="17" t="s">
        <v>52</v>
      </c>
      <c r="I296" s="17" t="s">
        <v>26</v>
      </c>
      <c r="J296" s="18" t="s">
        <v>2027</v>
      </c>
      <c r="K296" s="17" t="s">
        <v>23</v>
      </c>
      <c r="L296" s="17" t="s">
        <v>2028</v>
      </c>
      <c r="M296" s="17" t="s">
        <v>1012</v>
      </c>
      <c r="N296" s="17" t="s">
        <v>1910</v>
      </c>
      <c r="O296" s="18" t="s">
        <v>1017</v>
      </c>
      <c r="P296" s="18" t="s">
        <v>25</v>
      </c>
      <c r="Q296" s="32">
        <f t="shared" si="8"/>
        <v>16</v>
      </c>
      <c r="R296" s="32">
        <f t="shared" si="9"/>
        <v>15</v>
      </c>
      <c r="S296" s="21" t="s">
        <v>2915</v>
      </c>
    </row>
    <row r="297" spans="1:19" x14ac:dyDescent="0.25">
      <c r="A297" s="2">
        <v>295</v>
      </c>
      <c r="B297" s="3" t="s">
        <v>494</v>
      </c>
      <c r="C297" s="17" t="s">
        <v>792</v>
      </c>
      <c r="D297" s="17" t="s">
        <v>1011</v>
      </c>
      <c r="E297" s="17"/>
      <c r="F297" s="17" t="s">
        <v>334</v>
      </c>
      <c r="G297" s="17" t="s">
        <v>335</v>
      </c>
      <c r="H297" s="17" t="s">
        <v>88</v>
      </c>
      <c r="I297" s="17" t="s">
        <v>26</v>
      </c>
      <c r="J297" s="18" t="s">
        <v>336</v>
      </c>
      <c r="K297" s="17" t="s">
        <v>255</v>
      </c>
      <c r="L297" s="17" t="s">
        <v>337</v>
      </c>
      <c r="M297" s="17" t="s">
        <v>1012</v>
      </c>
      <c r="N297" s="17" t="s">
        <v>2029</v>
      </c>
      <c r="O297" s="18" t="s">
        <v>257</v>
      </c>
      <c r="P297" s="18" t="s">
        <v>258</v>
      </c>
      <c r="Q297" s="18">
        <f t="shared" si="8"/>
        <v>10</v>
      </c>
      <c r="R297" s="18">
        <f t="shared" si="9"/>
        <v>11</v>
      </c>
    </row>
    <row r="298" spans="1:19" x14ac:dyDescent="0.25">
      <c r="A298" s="3">
        <v>296</v>
      </c>
      <c r="B298" s="3" t="s">
        <v>490</v>
      </c>
      <c r="C298" s="17" t="s">
        <v>793</v>
      </c>
      <c r="D298" s="17" t="s">
        <v>1011</v>
      </c>
      <c r="E298" s="17" t="s">
        <v>3004</v>
      </c>
      <c r="F298" s="17" t="s">
        <v>2030</v>
      </c>
      <c r="G298" s="17" t="s">
        <v>2031</v>
      </c>
      <c r="H298" s="17" t="s">
        <v>27</v>
      </c>
      <c r="I298" s="17" t="s">
        <v>26</v>
      </c>
      <c r="J298" s="18" t="s">
        <v>2032</v>
      </c>
      <c r="K298" s="17" t="s">
        <v>23</v>
      </c>
      <c r="L298" s="17" t="s">
        <v>2033</v>
      </c>
      <c r="M298" s="17" t="s">
        <v>1012</v>
      </c>
      <c r="N298" s="17" t="s">
        <v>2034</v>
      </c>
      <c r="O298" s="18" t="s">
        <v>1017</v>
      </c>
      <c r="P298" s="18" t="s">
        <v>25</v>
      </c>
      <c r="Q298" s="32">
        <f t="shared" si="8"/>
        <v>16</v>
      </c>
      <c r="R298" s="32">
        <f t="shared" si="9"/>
        <v>11</v>
      </c>
      <c r="S298" s="21" t="s">
        <v>3005</v>
      </c>
    </row>
    <row r="299" spans="1:19" x14ac:dyDescent="0.25">
      <c r="A299" s="2">
        <v>297</v>
      </c>
      <c r="B299" s="3" t="s">
        <v>490</v>
      </c>
      <c r="C299" s="17" t="s">
        <v>794</v>
      </c>
      <c r="D299" s="17" t="s">
        <v>1011</v>
      </c>
      <c r="E299" s="17" t="s">
        <v>3004</v>
      </c>
      <c r="F299" s="17" t="s">
        <v>2035</v>
      </c>
      <c r="G299" s="17" t="s">
        <v>2031</v>
      </c>
      <c r="H299" s="17" t="s">
        <v>27</v>
      </c>
      <c r="I299" s="17" t="s">
        <v>22</v>
      </c>
      <c r="J299" s="18" t="s">
        <v>2036</v>
      </c>
      <c r="K299" s="17" t="s">
        <v>23</v>
      </c>
      <c r="L299" s="17" t="s">
        <v>2033</v>
      </c>
      <c r="M299" s="17" t="s">
        <v>1012</v>
      </c>
      <c r="N299" s="17" t="s">
        <v>2034</v>
      </c>
      <c r="O299" s="18" t="s">
        <v>1017</v>
      </c>
      <c r="P299" s="18" t="s">
        <v>25</v>
      </c>
      <c r="Q299" s="32">
        <f t="shared" si="8"/>
        <v>16</v>
      </c>
      <c r="R299" s="32">
        <f t="shared" si="9"/>
        <v>11</v>
      </c>
      <c r="S299" s="21" t="s">
        <v>3005</v>
      </c>
    </row>
    <row r="300" spans="1:19" s="14" customFormat="1" x14ac:dyDescent="0.25">
      <c r="A300" s="11">
        <v>298</v>
      </c>
      <c r="B300" s="3" t="s">
        <v>490</v>
      </c>
      <c r="C300" s="19" t="s">
        <v>795</v>
      </c>
      <c r="D300" s="19" t="s">
        <v>1011</v>
      </c>
      <c r="E300" s="19" t="s">
        <v>3004</v>
      </c>
      <c r="F300" s="19" t="s">
        <v>103</v>
      </c>
      <c r="G300" s="19" t="s">
        <v>2031</v>
      </c>
      <c r="H300" s="19" t="s">
        <v>27</v>
      </c>
      <c r="I300" s="19" t="s">
        <v>28</v>
      </c>
      <c r="J300" s="20" t="s">
        <v>2037</v>
      </c>
      <c r="K300" s="19" t="s">
        <v>23</v>
      </c>
      <c r="L300" s="19" t="s">
        <v>2033</v>
      </c>
      <c r="M300" s="19" t="s">
        <v>1012</v>
      </c>
      <c r="N300" s="19" t="s">
        <v>2034</v>
      </c>
      <c r="O300" s="20" t="s">
        <v>1017</v>
      </c>
      <c r="P300" s="20" t="s">
        <v>25</v>
      </c>
      <c r="Q300" s="33">
        <f t="shared" si="8"/>
        <v>16</v>
      </c>
      <c r="R300" s="33">
        <f t="shared" si="9"/>
        <v>11</v>
      </c>
      <c r="S300" s="21" t="s">
        <v>3005</v>
      </c>
    </row>
    <row r="301" spans="1:19" x14ac:dyDescent="0.25">
      <c r="A301" s="2">
        <v>299</v>
      </c>
      <c r="B301" s="3" t="s">
        <v>490</v>
      </c>
      <c r="C301" s="17" t="s">
        <v>796</v>
      </c>
      <c r="D301" s="17" t="s">
        <v>1011</v>
      </c>
      <c r="E301" s="17" t="s">
        <v>3004</v>
      </c>
      <c r="F301" s="17" t="s">
        <v>103</v>
      </c>
      <c r="G301" s="17" t="s">
        <v>2031</v>
      </c>
      <c r="H301" s="17" t="s">
        <v>27</v>
      </c>
      <c r="I301" s="17" t="s">
        <v>27</v>
      </c>
      <c r="J301" s="18" t="s">
        <v>2038</v>
      </c>
      <c r="K301" s="17" t="s">
        <v>23</v>
      </c>
      <c r="L301" s="17" t="s">
        <v>2033</v>
      </c>
      <c r="M301" s="17" t="s">
        <v>1012</v>
      </c>
      <c r="N301" s="17" t="s">
        <v>2034</v>
      </c>
      <c r="O301" s="18" t="s">
        <v>1017</v>
      </c>
      <c r="P301" s="18" t="s">
        <v>25</v>
      </c>
      <c r="Q301" s="32">
        <f t="shared" si="8"/>
        <v>16</v>
      </c>
      <c r="R301" s="32">
        <f t="shared" si="9"/>
        <v>11</v>
      </c>
      <c r="S301" s="21" t="s">
        <v>3005</v>
      </c>
    </row>
    <row r="302" spans="1:19" x14ac:dyDescent="0.25">
      <c r="A302" s="3">
        <v>300</v>
      </c>
      <c r="B302" s="3" t="s">
        <v>490</v>
      </c>
      <c r="C302" s="17" t="s">
        <v>797</v>
      </c>
      <c r="D302" s="17" t="s">
        <v>1011</v>
      </c>
      <c r="E302" s="17" t="s">
        <v>3006</v>
      </c>
      <c r="F302" s="17" t="s">
        <v>2039</v>
      </c>
      <c r="G302" s="17" t="s">
        <v>2040</v>
      </c>
      <c r="H302" s="17" t="s">
        <v>62</v>
      </c>
      <c r="I302" s="17" t="s">
        <v>22</v>
      </c>
      <c r="J302" s="18" t="s">
        <v>2041</v>
      </c>
      <c r="K302" s="17" t="s">
        <v>23</v>
      </c>
      <c r="L302" s="17" t="s">
        <v>2042</v>
      </c>
      <c r="M302" s="17" t="s">
        <v>1012</v>
      </c>
      <c r="N302" s="17" t="s">
        <v>2043</v>
      </c>
      <c r="O302" s="18" t="s">
        <v>1017</v>
      </c>
      <c r="P302" s="18" t="s">
        <v>25</v>
      </c>
      <c r="Q302" s="32">
        <f t="shared" si="8"/>
        <v>16</v>
      </c>
      <c r="R302" s="32">
        <f t="shared" si="9"/>
        <v>11</v>
      </c>
      <c r="S302" s="21" t="s">
        <v>2912</v>
      </c>
    </row>
    <row r="303" spans="1:19" x14ac:dyDescent="0.25">
      <c r="A303" s="2">
        <v>301</v>
      </c>
      <c r="B303" s="3" t="s">
        <v>490</v>
      </c>
      <c r="C303" s="17" t="s">
        <v>798</v>
      </c>
      <c r="D303" s="17" t="s">
        <v>1011</v>
      </c>
      <c r="E303" s="17" t="s">
        <v>3007</v>
      </c>
      <c r="F303" s="17" t="s">
        <v>2044</v>
      </c>
      <c r="G303" s="17" t="s">
        <v>2045</v>
      </c>
      <c r="H303" s="17" t="s">
        <v>1115</v>
      </c>
      <c r="I303" s="17" t="s">
        <v>26</v>
      </c>
      <c r="J303" s="18" t="s">
        <v>2046</v>
      </c>
      <c r="K303" s="17" t="s">
        <v>23</v>
      </c>
      <c r="L303" s="17" t="s">
        <v>2047</v>
      </c>
      <c r="M303" s="17" t="s">
        <v>1012</v>
      </c>
      <c r="N303" s="17" t="s">
        <v>2048</v>
      </c>
      <c r="O303" s="18" t="s">
        <v>1017</v>
      </c>
      <c r="P303" s="18" t="s">
        <v>25</v>
      </c>
      <c r="Q303" s="32">
        <f t="shared" si="8"/>
        <v>16</v>
      </c>
      <c r="R303" s="32">
        <f t="shared" si="9"/>
        <v>15</v>
      </c>
      <c r="S303" s="21" t="s">
        <v>3008</v>
      </c>
    </row>
    <row r="304" spans="1:19" x14ac:dyDescent="0.25">
      <c r="A304" s="3">
        <v>302</v>
      </c>
      <c r="B304" s="3" t="s">
        <v>490</v>
      </c>
      <c r="C304" s="17" t="s">
        <v>799</v>
      </c>
      <c r="D304" s="17" t="s">
        <v>1011</v>
      </c>
      <c r="E304" s="17" t="s">
        <v>3009</v>
      </c>
      <c r="F304" s="17" t="s">
        <v>2049</v>
      </c>
      <c r="G304" s="17" t="s">
        <v>2050</v>
      </c>
      <c r="H304" s="17" t="s">
        <v>26</v>
      </c>
      <c r="I304" s="17" t="s">
        <v>26</v>
      </c>
      <c r="J304" s="18" t="s">
        <v>2051</v>
      </c>
      <c r="K304" s="17" t="s">
        <v>23</v>
      </c>
      <c r="L304" s="17" t="s">
        <v>2052</v>
      </c>
      <c r="M304" s="17" t="s">
        <v>1012</v>
      </c>
      <c r="N304" s="17" t="s">
        <v>2053</v>
      </c>
      <c r="O304" s="18" t="s">
        <v>1017</v>
      </c>
      <c r="P304" s="18" t="s">
        <v>25</v>
      </c>
      <c r="Q304" s="32">
        <f t="shared" si="8"/>
        <v>16</v>
      </c>
      <c r="R304" s="32">
        <f t="shared" si="9"/>
        <v>15</v>
      </c>
      <c r="S304" s="21" t="s">
        <v>2915</v>
      </c>
    </row>
    <row r="305" spans="1:19" x14ac:dyDescent="0.25">
      <c r="A305" s="2">
        <v>303</v>
      </c>
      <c r="B305" s="3" t="s">
        <v>490</v>
      </c>
      <c r="C305" s="17" t="s">
        <v>800</v>
      </c>
      <c r="D305" s="17" t="s">
        <v>1011</v>
      </c>
      <c r="E305" s="17" t="s">
        <v>3010</v>
      </c>
      <c r="F305" s="17" t="s">
        <v>2054</v>
      </c>
      <c r="G305" s="17" t="s">
        <v>2055</v>
      </c>
      <c r="H305" s="17" t="s">
        <v>64</v>
      </c>
      <c r="I305" s="17" t="s">
        <v>26</v>
      </c>
      <c r="J305" s="18" t="s">
        <v>2056</v>
      </c>
      <c r="K305" s="17" t="s">
        <v>23</v>
      </c>
      <c r="L305" s="17" t="s">
        <v>2057</v>
      </c>
      <c r="M305" s="17" t="s">
        <v>1012</v>
      </c>
      <c r="N305" s="17" t="s">
        <v>2058</v>
      </c>
      <c r="O305" s="18" t="s">
        <v>1017</v>
      </c>
      <c r="P305" s="18" t="s">
        <v>25</v>
      </c>
      <c r="Q305" s="32">
        <f t="shared" si="8"/>
        <v>16</v>
      </c>
      <c r="R305" s="32">
        <f t="shared" si="9"/>
        <v>15</v>
      </c>
      <c r="S305" s="21" t="s">
        <v>2915</v>
      </c>
    </row>
    <row r="306" spans="1:19" x14ac:dyDescent="0.25">
      <c r="A306" s="3">
        <v>304</v>
      </c>
      <c r="B306" s="3" t="s">
        <v>490</v>
      </c>
      <c r="C306" s="17" t="s">
        <v>801</v>
      </c>
      <c r="D306" s="17" t="s">
        <v>1011</v>
      </c>
      <c r="E306" s="17" t="s">
        <v>3010</v>
      </c>
      <c r="F306" s="17" t="s">
        <v>2059</v>
      </c>
      <c r="G306" s="17" t="s">
        <v>2055</v>
      </c>
      <c r="H306" s="17" t="s">
        <v>64</v>
      </c>
      <c r="I306" s="17" t="s">
        <v>22</v>
      </c>
      <c r="J306" s="18" t="s">
        <v>2060</v>
      </c>
      <c r="K306" s="17" t="s">
        <v>23</v>
      </c>
      <c r="L306" s="17" t="s">
        <v>2057</v>
      </c>
      <c r="M306" s="17" t="s">
        <v>1012</v>
      </c>
      <c r="N306" s="17" t="s">
        <v>2058</v>
      </c>
      <c r="O306" s="18" t="s">
        <v>1017</v>
      </c>
      <c r="P306" s="18" t="s">
        <v>25</v>
      </c>
      <c r="Q306" s="32">
        <f t="shared" si="8"/>
        <v>16</v>
      </c>
      <c r="R306" s="32">
        <f t="shared" si="9"/>
        <v>15</v>
      </c>
      <c r="S306" s="21" t="s">
        <v>2915</v>
      </c>
    </row>
    <row r="307" spans="1:19" x14ac:dyDescent="0.25">
      <c r="A307" s="2">
        <v>305</v>
      </c>
      <c r="B307" s="3" t="s">
        <v>490</v>
      </c>
      <c r="C307" s="17" t="s">
        <v>802</v>
      </c>
      <c r="D307" s="17" t="s">
        <v>1011</v>
      </c>
      <c r="E307" s="17" t="s">
        <v>3010</v>
      </c>
      <c r="F307" s="17" t="s">
        <v>2061</v>
      </c>
      <c r="G307" s="17" t="s">
        <v>2055</v>
      </c>
      <c r="H307" s="17" t="s">
        <v>63</v>
      </c>
      <c r="I307" s="17" t="s">
        <v>26</v>
      </c>
      <c r="J307" s="18" t="s">
        <v>2062</v>
      </c>
      <c r="K307" s="17" t="s">
        <v>23</v>
      </c>
      <c r="L307" s="17" t="s">
        <v>2063</v>
      </c>
      <c r="M307" s="17" t="s">
        <v>1012</v>
      </c>
      <c r="N307" s="17" t="s">
        <v>2064</v>
      </c>
      <c r="O307" s="18" t="s">
        <v>1017</v>
      </c>
      <c r="P307" s="18" t="s">
        <v>25</v>
      </c>
      <c r="Q307" s="32">
        <f t="shared" si="8"/>
        <v>16</v>
      </c>
      <c r="R307" s="32">
        <f t="shared" si="9"/>
        <v>11</v>
      </c>
      <c r="S307" s="21" t="s">
        <v>3011</v>
      </c>
    </row>
    <row r="308" spans="1:19" x14ac:dyDescent="0.25">
      <c r="A308" s="3">
        <v>306</v>
      </c>
      <c r="B308" s="3" t="s">
        <v>490</v>
      </c>
      <c r="C308" s="17" t="s">
        <v>803</v>
      </c>
      <c r="D308" s="17" t="s">
        <v>1011</v>
      </c>
      <c r="E308" s="17" t="s">
        <v>3010</v>
      </c>
      <c r="F308" s="17" t="s">
        <v>2065</v>
      </c>
      <c r="G308" s="17" t="s">
        <v>2055</v>
      </c>
      <c r="H308" s="17" t="s">
        <v>63</v>
      </c>
      <c r="I308" s="17" t="s">
        <v>22</v>
      </c>
      <c r="J308" s="18" t="s">
        <v>2066</v>
      </c>
      <c r="K308" s="17" t="s">
        <v>23</v>
      </c>
      <c r="L308" s="17" t="s">
        <v>2063</v>
      </c>
      <c r="M308" s="17" t="s">
        <v>1012</v>
      </c>
      <c r="N308" s="17" t="s">
        <v>2064</v>
      </c>
      <c r="O308" s="18" t="s">
        <v>1017</v>
      </c>
      <c r="P308" s="18" t="s">
        <v>25</v>
      </c>
      <c r="Q308" s="32">
        <f t="shared" si="8"/>
        <v>16</v>
      </c>
      <c r="R308" s="32">
        <f t="shared" si="9"/>
        <v>11</v>
      </c>
      <c r="S308" s="21" t="s">
        <v>3011</v>
      </c>
    </row>
    <row r="309" spans="1:19" x14ac:dyDescent="0.25">
      <c r="A309" s="2">
        <v>307</v>
      </c>
      <c r="B309" s="3" t="s">
        <v>494</v>
      </c>
      <c r="C309" s="17" t="s">
        <v>804</v>
      </c>
      <c r="D309" s="17" t="s">
        <v>1011</v>
      </c>
      <c r="E309" s="17"/>
      <c r="F309" s="17" t="s">
        <v>2067</v>
      </c>
      <c r="G309" s="17" t="s">
        <v>2068</v>
      </c>
      <c r="H309" s="17" t="s">
        <v>92</v>
      </c>
      <c r="I309" s="17" t="s">
        <v>22</v>
      </c>
      <c r="J309" s="18" t="s">
        <v>2069</v>
      </c>
      <c r="K309" s="17" t="s">
        <v>255</v>
      </c>
      <c r="L309" s="17" t="s">
        <v>465</v>
      </c>
      <c r="M309" s="17" t="s">
        <v>1012</v>
      </c>
      <c r="N309" s="17"/>
      <c r="O309" s="18" t="s">
        <v>257</v>
      </c>
      <c r="P309" s="18" t="s">
        <v>258</v>
      </c>
      <c r="Q309" s="18">
        <f t="shared" si="8"/>
        <v>7</v>
      </c>
      <c r="R309" s="18">
        <f t="shared" si="9"/>
        <v>0</v>
      </c>
    </row>
    <row r="310" spans="1:19" x14ac:dyDescent="0.25">
      <c r="A310" s="3">
        <v>308</v>
      </c>
      <c r="B310" s="3" t="s">
        <v>494</v>
      </c>
      <c r="C310" s="17" t="s">
        <v>805</v>
      </c>
      <c r="D310" s="17" t="s">
        <v>1011</v>
      </c>
      <c r="E310" s="17"/>
      <c r="F310" s="17" t="s">
        <v>2070</v>
      </c>
      <c r="G310" s="17" t="s">
        <v>2071</v>
      </c>
      <c r="H310" s="17" t="s">
        <v>2072</v>
      </c>
      <c r="I310" s="17" t="s">
        <v>26</v>
      </c>
      <c r="J310" s="18" t="s">
        <v>2073</v>
      </c>
      <c r="K310" s="17" t="s">
        <v>255</v>
      </c>
      <c r="L310" s="17" t="s">
        <v>2074</v>
      </c>
      <c r="M310" s="17" t="s">
        <v>1012</v>
      </c>
      <c r="N310" s="17" t="s">
        <v>2075</v>
      </c>
      <c r="O310" s="18" t="s">
        <v>257</v>
      </c>
      <c r="P310" s="18" t="s">
        <v>258</v>
      </c>
      <c r="Q310" s="18">
        <f t="shared" si="8"/>
        <v>10</v>
      </c>
      <c r="R310" s="18">
        <f t="shared" si="9"/>
        <v>11</v>
      </c>
    </row>
    <row r="311" spans="1:19" x14ac:dyDescent="0.25">
      <c r="A311" s="2">
        <v>309</v>
      </c>
      <c r="B311" s="3" t="s">
        <v>490</v>
      </c>
      <c r="C311" s="17" t="s">
        <v>806</v>
      </c>
      <c r="D311" s="17" t="s">
        <v>1011</v>
      </c>
      <c r="E311" s="17" t="s">
        <v>3012</v>
      </c>
      <c r="F311" s="17" t="s">
        <v>2076</v>
      </c>
      <c r="G311" s="17" t="s">
        <v>2077</v>
      </c>
      <c r="H311" s="17" t="s">
        <v>37</v>
      </c>
      <c r="I311" s="17" t="s">
        <v>26</v>
      </c>
      <c r="J311" s="18" t="s">
        <v>2078</v>
      </c>
      <c r="K311" s="17" t="s">
        <v>23</v>
      </c>
      <c r="L311" s="17" t="s">
        <v>2079</v>
      </c>
      <c r="M311" s="17" t="s">
        <v>1012</v>
      </c>
      <c r="N311" s="17" t="s">
        <v>2080</v>
      </c>
      <c r="O311" s="18" t="s">
        <v>1017</v>
      </c>
      <c r="P311" s="18" t="s">
        <v>25</v>
      </c>
      <c r="Q311" s="32">
        <f t="shared" si="8"/>
        <v>16</v>
      </c>
      <c r="R311" s="32">
        <f t="shared" si="9"/>
        <v>15</v>
      </c>
      <c r="S311" s="21" t="s">
        <v>3013</v>
      </c>
    </row>
    <row r="312" spans="1:19" x14ac:dyDescent="0.25">
      <c r="A312" s="3">
        <v>310</v>
      </c>
      <c r="B312" s="3" t="s">
        <v>494</v>
      </c>
      <c r="C312" s="17" t="s">
        <v>807</v>
      </c>
      <c r="D312" s="17" t="s">
        <v>1011</v>
      </c>
      <c r="E312" s="17"/>
      <c r="F312" s="17" t="s">
        <v>2081</v>
      </c>
      <c r="G312" s="17" t="s">
        <v>2082</v>
      </c>
      <c r="H312" s="17" t="s">
        <v>71</v>
      </c>
      <c r="I312" s="17" t="s">
        <v>26</v>
      </c>
      <c r="J312" s="18" t="s">
        <v>2083</v>
      </c>
      <c r="K312" s="17" t="s">
        <v>255</v>
      </c>
      <c r="L312" s="17" t="s">
        <v>2084</v>
      </c>
      <c r="M312" s="17" t="s">
        <v>1012</v>
      </c>
      <c r="N312" s="17" t="s">
        <v>2085</v>
      </c>
      <c r="O312" s="18" t="s">
        <v>257</v>
      </c>
      <c r="P312" s="18" t="s">
        <v>258</v>
      </c>
      <c r="Q312" s="18">
        <f t="shared" si="8"/>
        <v>10</v>
      </c>
      <c r="R312" s="18">
        <f t="shared" si="9"/>
        <v>11</v>
      </c>
    </row>
    <row r="313" spans="1:19" x14ac:dyDescent="0.25">
      <c r="A313" s="2">
        <v>311</v>
      </c>
      <c r="B313" s="3" t="s">
        <v>494</v>
      </c>
      <c r="C313" s="17" t="s">
        <v>808</v>
      </c>
      <c r="D313" s="17" t="s">
        <v>1011</v>
      </c>
      <c r="E313" s="17"/>
      <c r="F313" s="17" t="s">
        <v>329</v>
      </c>
      <c r="G313" s="17" t="s">
        <v>330</v>
      </c>
      <c r="H313" s="17" t="s">
        <v>115</v>
      </c>
      <c r="I313" s="17" t="s">
        <v>26</v>
      </c>
      <c r="J313" s="18" t="s">
        <v>331</v>
      </c>
      <c r="K313" s="17" t="s">
        <v>255</v>
      </c>
      <c r="L313" s="17" t="s">
        <v>332</v>
      </c>
      <c r="M313" s="17" t="s">
        <v>1012</v>
      </c>
      <c r="N313" s="17" t="s">
        <v>2086</v>
      </c>
      <c r="O313" s="18" t="s">
        <v>257</v>
      </c>
      <c r="P313" s="18" t="s">
        <v>258</v>
      </c>
      <c r="Q313" s="18">
        <f t="shared" si="8"/>
        <v>10</v>
      </c>
      <c r="R313" s="18">
        <f t="shared" si="9"/>
        <v>11</v>
      </c>
    </row>
    <row r="314" spans="1:19" x14ac:dyDescent="0.25">
      <c r="A314" s="3">
        <v>312</v>
      </c>
      <c r="B314" s="3" t="s">
        <v>490</v>
      </c>
      <c r="C314" s="17" t="s">
        <v>809</v>
      </c>
      <c r="D314" s="17" t="s">
        <v>1011</v>
      </c>
      <c r="E314" s="17" t="s">
        <v>3014</v>
      </c>
      <c r="F314" s="17" t="s">
        <v>2087</v>
      </c>
      <c r="G314" s="17" t="s">
        <v>2088</v>
      </c>
      <c r="H314" s="17" t="s">
        <v>2089</v>
      </c>
      <c r="I314" s="17" t="s">
        <v>26</v>
      </c>
      <c r="J314" s="18" t="s">
        <v>2090</v>
      </c>
      <c r="K314" s="17" t="s">
        <v>23</v>
      </c>
      <c r="L314" s="17" t="s">
        <v>2091</v>
      </c>
      <c r="M314" s="17" t="s">
        <v>1012</v>
      </c>
      <c r="N314" s="17" t="s">
        <v>2092</v>
      </c>
      <c r="O314" s="18" t="s">
        <v>1017</v>
      </c>
      <c r="P314" s="18" t="s">
        <v>25</v>
      </c>
      <c r="Q314" s="32">
        <f t="shared" si="8"/>
        <v>16</v>
      </c>
      <c r="R314" s="32">
        <f t="shared" si="9"/>
        <v>15</v>
      </c>
      <c r="S314" s="21" t="s">
        <v>2899</v>
      </c>
    </row>
    <row r="315" spans="1:19" x14ac:dyDescent="0.25">
      <c r="A315" s="2">
        <v>313</v>
      </c>
      <c r="B315" s="3" t="s">
        <v>494</v>
      </c>
      <c r="C315" s="17" t="s">
        <v>810</v>
      </c>
      <c r="D315" s="17" t="s">
        <v>1011</v>
      </c>
      <c r="E315" s="17"/>
      <c r="F315" s="17" t="s">
        <v>2093</v>
      </c>
      <c r="G315" s="17" t="s">
        <v>2094</v>
      </c>
      <c r="H315" s="17" t="s">
        <v>45</v>
      </c>
      <c r="I315" s="17" t="s">
        <v>26</v>
      </c>
      <c r="J315" s="18" t="s">
        <v>2095</v>
      </c>
      <c r="K315" s="17" t="s">
        <v>255</v>
      </c>
      <c r="L315" s="17" t="s">
        <v>2096</v>
      </c>
      <c r="M315" s="17" t="s">
        <v>1012</v>
      </c>
      <c r="N315" s="17" t="s">
        <v>2097</v>
      </c>
      <c r="O315" s="18" t="s">
        <v>257</v>
      </c>
      <c r="P315" s="18" t="s">
        <v>258</v>
      </c>
      <c r="Q315" s="18">
        <f t="shared" si="8"/>
        <v>10</v>
      </c>
      <c r="R315" s="18">
        <f t="shared" si="9"/>
        <v>11</v>
      </c>
    </row>
    <row r="316" spans="1:19" x14ac:dyDescent="0.25">
      <c r="A316" s="3">
        <v>314</v>
      </c>
      <c r="B316" s="3" t="s">
        <v>490</v>
      </c>
      <c r="C316" s="17" t="s">
        <v>811</v>
      </c>
      <c r="D316" s="17" t="s">
        <v>1011</v>
      </c>
      <c r="E316" s="17" t="s">
        <v>3015</v>
      </c>
      <c r="F316" s="17" t="s">
        <v>2098</v>
      </c>
      <c r="G316" s="17" t="s">
        <v>2099</v>
      </c>
      <c r="H316" s="17" t="s">
        <v>28</v>
      </c>
      <c r="I316" s="17" t="s">
        <v>26</v>
      </c>
      <c r="J316" s="18" t="s">
        <v>2100</v>
      </c>
      <c r="K316" s="17" t="s">
        <v>23</v>
      </c>
      <c r="L316" s="17" t="s">
        <v>2101</v>
      </c>
      <c r="M316" s="17" t="s">
        <v>1012</v>
      </c>
      <c r="N316" s="17" t="s">
        <v>2102</v>
      </c>
      <c r="O316" s="18" t="s">
        <v>1017</v>
      </c>
      <c r="P316" s="18" t="s">
        <v>25</v>
      </c>
      <c r="Q316" s="32">
        <f t="shared" si="8"/>
        <v>16</v>
      </c>
      <c r="R316" s="32">
        <f t="shared" si="9"/>
        <v>13</v>
      </c>
      <c r="S316" s="21" t="s">
        <v>3016</v>
      </c>
    </row>
    <row r="317" spans="1:19" x14ac:dyDescent="0.25">
      <c r="A317" s="2">
        <v>315</v>
      </c>
      <c r="B317" s="3" t="s">
        <v>490</v>
      </c>
      <c r="C317" s="17" t="s">
        <v>812</v>
      </c>
      <c r="D317" s="17" t="s">
        <v>1011</v>
      </c>
      <c r="E317" s="17" t="s">
        <v>3015</v>
      </c>
      <c r="F317" s="17" t="s">
        <v>2103</v>
      </c>
      <c r="G317" s="17" t="s">
        <v>2099</v>
      </c>
      <c r="H317" s="17" t="s">
        <v>34</v>
      </c>
      <c r="I317" s="17" t="s">
        <v>26</v>
      </c>
      <c r="J317" s="18" t="s">
        <v>2104</v>
      </c>
      <c r="K317" s="17" t="s">
        <v>23</v>
      </c>
      <c r="L317" s="17" t="s">
        <v>2105</v>
      </c>
      <c r="M317" s="17" t="s">
        <v>1012</v>
      </c>
      <c r="N317" s="17" t="s">
        <v>2106</v>
      </c>
      <c r="O317" s="18" t="s">
        <v>1017</v>
      </c>
      <c r="P317" s="18" t="s">
        <v>25</v>
      </c>
      <c r="Q317" s="32">
        <f t="shared" si="8"/>
        <v>16</v>
      </c>
      <c r="R317" s="32">
        <f t="shared" si="9"/>
        <v>11</v>
      </c>
      <c r="S317" s="21" t="s">
        <v>2912</v>
      </c>
    </row>
    <row r="318" spans="1:19" x14ac:dyDescent="0.25">
      <c r="A318" s="3">
        <v>316</v>
      </c>
      <c r="B318" s="3" t="s">
        <v>490</v>
      </c>
      <c r="C318" s="17" t="s">
        <v>813</v>
      </c>
      <c r="D318" s="17" t="s">
        <v>1011</v>
      </c>
      <c r="E318" s="17" t="s">
        <v>3017</v>
      </c>
      <c r="F318" s="17" t="s">
        <v>103</v>
      </c>
      <c r="G318" s="17" t="s">
        <v>2107</v>
      </c>
      <c r="H318" s="17" t="s">
        <v>249</v>
      </c>
      <c r="I318" s="17" t="s">
        <v>28</v>
      </c>
      <c r="J318" s="18" t="s">
        <v>2108</v>
      </c>
      <c r="K318" s="17" t="s">
        <v>23</v>
      </c>
      <c r="L318" s="17" t="s">
        <v>2109</v>
      </c>
      <c r="M318" s="17" t="s">
        <v>1012</v>
      </c>
      <c r="N318" s="17" t="s">
        <v>2110</v>
      </c>
      <c r="O318" s="18" t="s">
        <v>1017</v>
      </c>
      <c r="P318" s="18" t="s">
        <v>25</v>
      </c>
      <c r="Q318" s="32">
        <f t="shared" si="8"/>
        <v>16</v>
      </c>
      <c r="R318" s="32">
        <f t="shared" si="9"/>
        <v>15</v>
      </c>
      <c r="S318" s="21" t="s">
        <v>3018</v>
      </c>
    </row>
    <row r="319" spans="1:19" x14ac:dyDescent="0.25">
      <c r="A319" s="2">
        <v>317</v>
      </c>
      <c r="B319" s="3" t="s">
        <v>490</v>
      </c>
      <c r="C319" s="17" t="s">
        <v>814</v>
      </c>
      <c r="D319" s="17" t="s">
        <v>1011</v>
      </c>
      <c r="E319" s="17" t="s">
        <v>3019</v>
      </c>
      <c r="F319" s="17" t="s">
        <v>2111</v>
      </c>
      <c r="G319" s="17" t="s">
        <v>2112</v>
      </c>
      <c r="H319" s="17" t="s">
        <v>26</v>
      </c>
      <c r="I319" s="17" t="s">
        <v>26</v>
      </c>
      <c r="J319" s="18" t="s">
        <v>2113</v>
      </c>
      <c r="K319" s="17" t="s">
        <v>23</v>
      </c>
      <c r="L319" s="17" t="s">
        <v>2114</v>
      </c>
      <c r="M319" s="17" t="s">
        <v>1012</v>
      </c>
      <c r="N319" s="17" t="s">
        <v>2115</v>
      </c>
      <c r="O319" s="18" t="s">
        <v>1017</v>
      </c>
      <c r="P319" s="18" t="s">
        <v>25</v>
      </c>
      <c r="Q319" s="32">
        <f t="shared" si="8"/>
        <v>16</v>
      </c>
      <c r="R319" s="32">
        <f t="shared" si="9"/>
        <v>15</v>
      </c>
      <c r="S319" s="21" t="s">
        <v>2912</v>
      </c>
    </row>
    <row r="320" spans="1:19" x14ac:dyDescent="0.25">
      <c r="A320" s="3">
        <v>318</v>
      </c>
      <c r="B320" s="3" t="s">
        <v>494</v>
      </c>
      <c r="C320" s="17" t="s">
        <v>815</v>
      </c>
      <c r="D320" s="17" t="s">
        <v>1011</v>
      </c>
      <c r="E320" s="17"/>
      <c r="F320" s="17" t="s">
        <v>2116</v>
      </c>
      <c r="G320" s="17" t="s">
        <v>2117</v>
      </c>
      <c r="H320" s="17" t="s">
        <v>2118</v>
      </c>
      <c r="I320" s="17" t="s">
        <v>26</v>
      </c>
      <c r="J320" s="18" t="s">
        <v>2119</v>
      </c>
      <c r="K320" s="17" t="s">
        <v>255</v>
      </c>
      <c r="L320" s="17" t="s">
        <v>2120</v>
      </c>
      <c r="M320" s="17" t="s">
        <v>1012</v>
      </c>
      <c r="N320" s="17" t="s">
        <v>2121</v>
      </c>
      <c r="O320" s="18" t="s">
        <v>257</v>
      </c>
      <c r="P320" s="18" t="s">
        <v>258</v>
      </c>
      <c r="Q320" s="18">
        <f t="shared" si="8"/>
        <v>10</v>
      </c>
      <c r="R320" s="18">
        <f t="shared" si="9"/>
        <v>11</v>
      </c>
    </row>
    <row r="321" spans="1:19" x14ac:dyDescent="0.25">
      <c r="A321" s="2">
        <v>319</v>
      </c>
      <c r="B321" s="3" t="s">
        <v>494</v>
      </c>
      <c r="C321" s="17" t="s">
        <v>816</v>
      </c>
      <c r="D321" s="17" t="s">
        <v>1011</v>
      </c>
      <c r="E321" s="17"/>
      <c r="F321" s="17" t="s">
        <v>2122</v>
      </c>
      <c r="G321" s="17" t="s">
        <v>2117</v>
      </c>
      <c r="H321" s="17" t="s">
        <v>1315</v>
      </c>
      <c r="I321" s="17" t="s">
        <v>26</v>
      </c>
      <c r="J321" s="18" t="s">
        <v>2123</v>
      </c>
      <c r="K321" s="17" t="s">
        <v>255</v>
      </c>
      <c r="L321" s="17" t="s">
        <v>2124</v>
      </c>
      <c r="M321" s="17" t="s">
        <v>1012</v>
      </c>
      <c r="N321" s="17" t="s">
        <v>2125</v>
      </c>
      <c r="O321" s="18" t="s">
        <v>257</v>
      </c>
      <c r="P321" s="18" t="s">
        <v>258</v>
      </c>
      <c r="Q321" s="18">
        <f t="shared" si="8"/>
        <v>10</v>
      </c>
      <c r="R321" s="18">
        <f t="shared" si="9"/>
        <v>11</v>
      </c>
    </row>
    <row r="322" spans="1:19" x14ac:dyDescent="0.25">
      <c r="A322" s="3">
        <v>320</v>
      </c>
      <c r="B322" s="3" t="s">
        <v>494</v>
      </c>
      <c r="C322" s="17" t="s">
        <v>817</v>
      </c>
      <c r="D322" s="17" t="s">
        <v>1011</v>
      </c>
      <c r="E322" s="17"/>
      <c r="F322" s="17" t="s">
        <v>2126</v>
      </c>
      <c r="G322" s="17" t="s">
        <v>2117</v>
      </c>
      <c r="H322" s="17" t="s">
        <v>29</v>
      </c>
      <c r="I322" s="17" t="s">
        <v>26</v>
      </c>
      <c r="J322" s="18" t="s">
        <v>2127</v>
      </c>
      <c r="K322" s="17" t="s">
        <v>255</v>
      </c>
      <c r="L322" s="17" t="s">
        <v>2128</v>
      </c>
      <c r="M322" s="17" t="s">
        <v>1012</v>
      </c>
      <c r="N322" s="17" t="s">
        <v>2129</v>
      </c>
      <c r="O322" s="18" t="s">
        <v>257</v>
      </c>
      <c r="P322" s="18" t="s">
        <v>258</v>
      </c>
      <c r="Q322" s="18">
        <f t="shared" si="8"/>
        <v>10</v>
      </c>
      <c r="R322" s="18">
        <f t="shared" si="9"/>
        <v>11</v>
      </c>
    </row>
    <row r="323" spans="1:19" x14ac:dyDescent="0.25">
      <c r="A323" s="2">
        <v>321</v>
      </c>
      <c r="B323" s="3" t="s">
        <v>494</v>
      </c>
      <c r="C323" s="17" t="s">
        <v>818</v>
      </c>
      <c r="D323" s="17" t="s">
        <v>1011</v>
      </c>
      <c r="E323" s="17"/>
      <c r="F323" s="17" t="s">
        <v>2130</v>
      </c>
      <c r="G323" s="17" t="s">
        <v>2117</v>
      </c>
      <c r="H323" s="17" t="s">
        <v>2131</v>
      </c>
      <c r="I323" s="17" t="s">
        <v>26</v>
      </c>
      <c r="J323" s="18" t="s">
        <v>2132</v>
      </c>
      <c r="K323" s="17" t="s">
        <v>255</v>
      </c>
      <c r="L323" s="17" t="s">
        <v>2133</v>
      </c>
      <c r="M323" s="17" t="s">
        <v>1012</v>
      </c>
      <c r="N323" s="17" t="s">
        <v>2134</v>
      </c>
      <c r="O323" s="18" t="s">
        <v>257</v>
      </c>
      <c r="P323" s="18" t="s">
        <v>258</v>
      </c>
      <c r="Q323" s="18">
        <f t="shared" ref="Q323:Q386" si="10">LEN(L323)</f>
        <v>10</v>
      </c>
      <c r="R323" s="18">
        <f t="shared" ref="R323:R386" si="11">LEN(N323)</f>
        <v>11</v>
      </c>
    </row>
    <row r="324" spans="1:19" x14ac:dyDescent="0.25">
      <c r="A324" s="3">
        <v>322</v>
      </c>
      <c r="B324" s="3" t="s">
        <v>490</v>
      </c>
      <c r="C324" s="17" t="s">
        <v>819</v>
      </c>
      <c r="D324" s="17" t="s">
        <v>1011</v>
      </c>
      <c r="E324" s="17" t="s">
        <v>3020</v>
      </c>
      <c r="F324" s="17" t="s">
        <v>2135</v>
      </c>
      <c r="G324" s="17" t="s">
        <v>2136</v>
      </c>
      <c r="H324" s="17" t="s">
        <v>35</v>
      </c>
      <c r="I324" s="17" t="s">
        <v>26</v>
      </c>
      <c r="J324" s="18" t="s">
        <v>2137</v>
      </c>
      <c r="K324" s="17" t="s">
        <v>23</v>
      </c>
      <c r="L324" s="17" t="s">
        <v>2138</v>
      </c>
      <c r="M324" s="17" t="s">
        <v>1012</v>
      </c>
      <c r="N324" s="17" t="s">
        <v>2139</v>
      </c>
      <c r="O324" s="18" t="s">
        <v>1017</v>
      </c>
      <c r="P324" s="18" t="s">
        <v>25</v>
      </c>
      <c r="Q324" s="32">
        <f t="shared" si="10"/>
        <v>16</v>
      </c>
      <c r="R324" s="32">
        <f t="shared" si="11"/>
        <v>15</v>
      </c>
      <c r="S324" s="21" t="s">
        <v>3021</v>
      </c>
    </row>
    <row r="325" spans="1:19" x14ac:dyDescent="0.25">
      <c r="A325" s="2">
        <v>323</v>
      </c>
      <c r="B325" s="3" t="s">
        <v>490</v>
      </c>
      <c r="C325" s="17" t="s">
        <v>820</v>
      </c>
      <c r="D325" s="17" t="s">
        <v>1011</v>
      </c>
      <c r="E325" s="17" t="s">
        <v>3022</v>
      </c>
      <c r="F325" s="17" t="s">
        <v>2140</v>
      </c>
      <c r="G325" s="17" t="s">
        <v>56</v>
      </c>
      <c r="H325" s="17" t="s">
        <v>53</v>
      </c>
      <c r="I325" s="17" t="s">
        <v>26</v>
      </c>
      <c r="J325" s="18" t="s">
        <v>2141</v>
      </c>
      <c r="K325" s="17" t="s">
        <v>23</v>
      </c>
      <c r="L325" s="17" t="s">
        <v>2142</v>
      </c>
      <c r="M325" s="17" t="s">
        <v>1012</v>
      </c>
      <c r="N325" s="17" t="s">
        <v>2143</v>
      </c>
      <c r="O325" s="18" t="s">
        <v>1017</v>
      </c>
      <c r="P325" s="18" t="s">
        <v>25</v>
      </c>
      <c r="Q325" s="32">
        <f t="shared" si="10"/>
        <v>16</v>
      </c>
      <c r="R325" s="32">
        <f t="shared" si="11"/>
        <v>11</v>
      </c>
      <c r="S325" s="21" t="s">
        <v>2915</v>
      </c>
    </row>
    <row r="326" spans="1:19" x14ac:dyDescent="0.25">
      <c r="A326" s="3">
        <v>324</v>
      </c>
      <c r="B326" s="3" t="s">
        <v>490</v>
      </c>
      <c r="C326" s="17" t="s">
        <v>821</v>
      </c>
      <c r="D326" s="17" t="s">
        <v>1011</v>
      </c>
      <c r="E326" s="17" t="s">
        <v>3022</v>
      </c>
      <c r="F326" s="17" t="s">
        <v>2144</v>
      </c>
      <c r="G326" s="17" t="s">
        <v>56</v>
      </c>
      <c r="H326" s="17" t="s">
        <v>53</v>
      </c>
      <c r="I326" s="17" t="s">
        <v>22</v>
      </c>
      <c r="J326" s="18" t="s">
        <v>2145</v>
      </c>
      <c r="K326" s="17" t="s">
        <v>23</v>
      </c>
      <c r="L326" s="17" t="s">
        <v>2142</v>
      </c>
      <c r="M326" s="17" t="s">
        <v>1012</v>
      </c>
      <c r="N326" s="17" t="s">
        <v>2143</v>
      </c>
      <c r="O326" s="18" t="s">
        <v>1017</v>
      </c>
      <c r="P326" s="18" t="s">
        <v>25</v>
      </c>
      <c r="Q326" s="32">
        <f t="shared" si="10"/>
        <v>16</v>
      </c>
      <c r="R326" s="32">
        <f t="shared" si="11"/>
        <v>11</v>
      </c>
      <c r="S326" s="21" t="s">
        <v>2915</v>
      </c>
    </row>
    <row r="327" spans="1:19" x14ac:dyDescent="0.25">
      <c r="A327" s="2">
        <v>325</v>
      </c>
      <c r="B327" s="3" t="s">
        <v>494</v>
      </c>
      <c r="C327" s="17" t="s">
        <v>822</v>
      </c>
      <c r="D327" s="17" t="s">
        <v>1011</v>
      </c>
      <c r="E327" s="17"/>
      <c r="F327" s="17" t="s">
        <v>2146</v>
      </c>
      <c r="G327" s="17" t="s">
        <v>2147</v>
      </c>
      <c r="H327" s="17" t="s">
        <v>2148</v>
      </c>
      <c r="I327" s="17" t="s">
        <v>26</v>
      </c>
      <c r="J327" s="18" t="s">
        <v>2149</v>
      </c>
      <c r="K327" s="17" t="s">
        <v>255</v>
      </c>
      <c r="L327" s="17" t="s">
        <v>2150</v>
      </c>
      <c r="M327" s="17" t="s">
        <v>1012</v>
      </c>
      <c r="N327" s="17" t="s">
        <v>2151</v>
      </c>
      <c r="O327" s="18" t="s">
        <v>257</v>
      </c>
      <c r="P327" s="18" t="s">
        <v>258</v>
      </c>
      <c r="Q327" s="18">
        <f t="shared" si="10"/>
        <v>10</v>
      </c>
      <c r="R327" s="18">
        <f t="shared" si="11"/>
        <v>11</v>
      </c>
    </row>
    <row r="328" spans="1:19" x14ac:dyDescent="0.25">
      <c r="A328" s="3">
        <v>326</v>
      </c>
      <c r="B328" s="3" t="s">
        <v>494</v>
      </c>
      <c r="C328" s="17" t="s">
        <v>823</v>
      </c>
      <c r="D328" s="17" t="s">
        <v>1011</v>
      </c>
      <c r="E328" s="17"/>
      <c r="F328" s="17" t="s">
        <v>2152</v>
      </c>
      <c r="G328" s="17" t="s">
        <v>2153</v>
      </c>
      <c r="H328" s="17" t="s">
        <v>122</v>
      </c>
      <c r="I328" s="17" t="s">
        <v>26</v>
      </c>
      <c r="J328" s="18" t="s">
        <v>2154</v>
      </c>
      <c r="K328" s="17" t="s">
        <v>255</v>
      </c>
      <c r="L328" s="17" t="s">
        <v>2155</v>
      </c>
      <c r="M328" s="17" t="s">
        <v>1012</v>
      </c>
      <c r="N328" s="17" t="s">
        <v>2156</v>
      </c>
      <c r="O328" s="18" t="s">
        <v>257</v>
      </c>
      <c r="P328" s="18" t="s">
        <v>258</v>
      </c>
      <c r="Q328" s="18">
        <f t="shared" si="10"/>
        <v>10</v>
      </c>
      <c r="R328" s="18">
        <f t="shared" si="11"/>
        <v>11</v>
      </c>
    </row>
    <row r="329" spans="1:19" x14ac:dyDescent="0.25">
      <c r="A329" s="2">
        <v>327</v>
      </c>
      <c r="B329" s="3" t="s">
        <v>490</v>
      </c>
      <c r="C329" s="17" t="s">
        <v>824</v>
      </c>
      <c r="D329" s="17" t="s">
        <v>1011</v>
      </c>
      <c r="E329" s="17" t="s">
        <v>3023</v>
      </c>
      <c r="F329" s="17" t="s">
        <v>2157</v>
      </c>
      <c r="G329" s="17" t="s">
        <v>2158</v>
      </c>
      <c r="H329" s="17" t="s">
        <v>26</v>
      </c>
      <c r="I329" s="17" t="s">
        <v>26</v>
      </c>
      <c r="J329" s="18" t="s">
        <v>2159</v>
      </c>
      <c r="K329" s="17" t="s">
        <v>23</v>
      </c>
      <c r="L329" s="17" t="s">
        <v>2160</v>
      </c>
      <c r="M329" s="17" t="s">
        <v>1012</v>
      </c>
      <c r="N329" s="17" t="s">
        <v>2161</v>
      </c>
      <c r="O329" s="18" t="s">
        <v>1017</v>
      </c>
      <c r="P329" s="18" t="s">
        <v>25</v>
      </c>
      <c r="Q329" s="32">
        <f t="shared" si="10"/>
        <v>16</v>
      </c>
      <c r="R329" s="32">
        <f t="shared" si="11"/>
        <v>15</v>
      </c>
      <c r="S329" s="21" t="s">
        <v>2915</v>
      </c>
    </row>
    <row r="330" spans="1:19" x14ac:dyDescent="0.25">
      <c r="A330" s="3">
        <v>328</v>
      </c>
      <c r="B330" s="3" t="s">
        <v>490</v>
      </c>
      <c r="C330" s="17" t="s">
        <v>825</v>
      </c>
      <c r="D330" s="17" t="s">
        <v>1011</v>
      </c>
      <c r="E330" s="17" t="s">
        <v>3024</v>
      </c>
      <c r="F330" s="17" t="s">
        <v>2162</v>
      </c>
      <c r="G330" s="17" t="s">
        <v>2163</v>
      </c>
      <c r="H330" s="17" t="s">
        <v>32</v>
      </c>
      <c r="I330" s="17" t="s">
        <v>26</v>
      </c>
      <c r="J330" s="18" t="s">
        <v>2164</v>
      </c>
      <c r="K330" s="17" t="s">
        <v>23</v>
      </c>
      <c r="L330" s="17" t="s">
        <v>2165</v>
      </c>
      <c r="M330" s="17" t="s">
        <v>1012</v>
      </c>
      <c r="N330" s="17" t="s">
        <v>2166</v>
      </c>
      <c r="O330" s="18" t="s">
        <v>1017</v>
      </c>
      <c r="P330" s="18" t="s">
        <v>25</v>
      </c>
      <c r="Q330" s="32">
        <f t="shared" si="10"/>
        <v>16</v>
      </c>
      <c r="R330" s="32">
        <f t="shared" si="11"/>
        <v>15</v>
      </c>
      <c r="S330" s="21" t="s">
        <v>2899</v>
      </c>
    </row>
    <row r="331" spans="1:19" x14ac:dyDescent="0.25">
      <c r="A331" s="2">
        <v>329</v>
      </c>
      <c r="B331" s="3" t="s">
        <v>490</v>
      </c>
      <c r="C331" s="17" t="s">
        <v>826</v>
      </c>
      <c r="D331" s="17" t="s">
        <v>1011</v>
      </c>
      <c r="E331" s="17" t="s">
        <v>3025</v>
      </c>
      <c r="F331" s="17" t="s">
        <v>2167</v>
      </c>
      <c r="G331" s="17" t="s">
        <v>2168</v>
      </c>
      <c r="H331" s="17" t="s">
        <v>53</v>
      </c>
      <c r="I331" s="17" t="s">
        <v>26</v>
      </c>
      <c r="J331" s="18" t="s">
        <v>2169</v>
      </c>
      <c r="K331" s="17" t="s">
        <v>23</v>
      </c>
      <c r="L331" s="17" t="s">
        <v>2170</v>
      </c>
      <c r="M331" s="17" t="s">
        <v>1012</v>
      </c>
      <c r="N331" s="17" t="s">
        <v>2171</v>
      </c>
      <c r="O331" s="18" t="s">
        <v>1017</v>
      </c>
      <c r="P331" s="18" t="s">
        <v>25</v>
      </c>
      <c r="Q331" s="32">
        <f t="shared" si="10"/>
        <v>16</v>
      </c>
      <c r="R331" s="32">
        <f t="shared" si="11"/>
        <v>13</v>
      </c>
      <c r="S331" s="21" t="s">
        <v>3026</v>
      </c>
    </row>
    <row r="332" spans="1:19" x14ac:dyDescent="0.25">
      <c r="A332" s="3">
        <v>330</v>
      </c>
      <c r="B332" s="3" t="s">
        <v>490</v>
      </c>
      <c r="C332" s="17" t="s">
        <v>827</v>
      </c>
      <c r="D332" s="17" t="s">
        <v>1011</v>
      </c>
      <c r="E332" s="17" t="s">
        <v>3025</v>
      </c>
      <c r="F332" s="17" t="s">
        <v>2172</v>
      </c>
      <c r="G332" s="17" t="s">
        <v>2168</v>
      </c>
      <c r="H332" s="17" t="s">
        <v>53</v>
      </c>
      <c r="I332" s="17" t="s">
        <v>22</v>
      </c>
      <c r="J332" s="18" t="s">
        <v>2173</v>
      </c>
      <c r="K332" s="17" t="s">
        <v>23</v>
      </c>
      <c r="L332" s="17" t="s">
        <v>2170</v>
      </c>
      <c r="M332" s="17" t="s">
        <v>1012</v>
      </c>
      <c r="N332" s="17" t="s">
        <v>2171</v>
      </c>
      <c r="O332" s="18" t="s">
        <v>1017</v>
      </c>
      <c r="P332" s="18" t="s">
        <v>25</v>
      </c>
      <c r="Q332" s="32">
        <f t="shared" si="10"/>
        <v>16</v>
      </c>
      <c r="R332" s="32">
        <f t="shared" si="11"/>
        <v>13</v>
      </c>
      <c r="S332" s="21" t="s">
        <v>3026</v>
      </c>
    </row>
    <row r="333" spans="1:19" x14ac:dyDescent="0.25">
      <c r="A333" s="2">
        <v>331</v>
      </c>
      <c r="B333" s="3" t="s">
        <v>490</v>
      </c>
      <c r="C333" s="17" t="s">
        <v>828</v>
      </c>
      <c r="D333" s="17" t="s">
        <v>1011</v>
      </c>
      <c r="E333" s="17" t="s">
        <v>3025</v>
      </c>
      <c r="F333" s="17" t="s">
        <v>2174</v>
      </c>
      <c r="G333" s="17" t="s">
        <v>2168</v>
      </c>
      <c r="H333" s="17" t="s">
        <v>53</v>
      </c>
      <c r="I333" s="17" t="s">
        <v>28</v>
      </c>
      <c r="J333" s="18" t="s">
        <v>2175</v>
      </c>
      <c r="K333" s="17" t="s">
        <v>23</v>
      </c>
      <c r="L333" s="17" t="s">
        <v>2170</v>
      </c>
      <c r="M333" s="17" t="s">
        <v>1012</v>
      </c>
      <c r="N333" s="17" t="s">
        <v>2171</v>
      </c>
      <c r="O333" s="18" t="s">
        <v>1017</v>
      </c>
      <c r="P333" s="18" t="s">
        <v>25</v>
      </c>
      <c r="Q333" s="32">
        <f t="shared" si="10"/>
        <v>16</v>
      </c>
      <c r="R333" s="32">
        <f t="shared" si="11"/>
        <v>13</v>
      </c>
      <c r="S333" s="21" t="s">
        <v>3026</v>
      </c>
    </row>
    <row r="334" spans="1:19" x14ac:dyDescent="0.25">
      <c r="A334" s="3">
        <v>332</v>
      </c>
      <c r="B334" s="3" t="s">
        <v>490</v>
      </c>
      <c r="C334" s="17" t="s">
        <v>829</v>
      </c>
      <c r="D334" s="17" t="s">
        <v>1011</v>
      </c>
      <c r="E334" s="17" t="s">
        <v>3027</v>
      </c>
      <c r="F334" s="17" t="s">
        <v>2176</v>
      </c>
      <c r="G334" s="17" t="s">
        <v>2177</v>
      </c>
      <c r="H334" s="17" t="s">
        <v>27</v>
      </c>
      <c r="I334" s="17" t="s">
        <v>26</v>
      </c>
      <c r="J334" s="18" t="s">
        <v>2178</v>
      </c>
      <c r="K334" s="17" t="s">
        <v>23</v>
      </c>
      <c r="L334" s="17" t="s">
        <v>2179</v>
      </c>
      <c r="M334" s="17" t="s">
        <v>1012</v>
      </c>
      <c r="N334" s="17" t="s">
        <v>2180</v>
      </c>
      <c r="O334" s="18" t="s">
        <v>1017</v>
      </c>
      <c r="P334" s="18" t="s">
        <v>25</v>
      </c>
      <c r="Q334" s="32">
        <f t="shared" si="10"/>
        <v>16</v>
      </c>
      <c r="R334" s="32">
        <f t="shared" si="11"/>
        <v>11</v>
      </c>
      <c r="S334" s="21" t="s">
        <v>3028</v>
      </c>
    </row>
    <row r="335" spans="1:19" x14ac:dyDescent="0.25">
      <c r="A335" s="2">
        <v>333</v>
      </c>
      <c r="B335" s="3" t="s">
        <v>490</v>
      </c>
      <c r="C335" s="17" t="s">
        <v>830</v>
      </c>
      <c r="D335" s="17" t="s">
        <v>1011</v>
      </c>
      <c r="E335" s="17" t="s">
        <v>3027</v>
      </c>
      <c r="F335" s="17" t="s">
        <v>103</v>
      </c>
      <c r="G335" s="17" t="s">
        <v>2177</v>
      </c>
      <c r="H335" s="17" t="s">
        <v>27</v>
      </c>
      <c r="I335" s="17" t="s">
        <v>22</v>
      </c>
      <c r="J335" s="18" t="s">
        <v>2181</v>
      </c>
      <c r="K335" s="17" t="s">
        <v>23</v>
      </c>
      <c r="L335" s="17" t="s">
        <v>2179</v>
      </c>
      <c r="M335" s="17" t="s">
        <v>1012</v>
      </c>
      <c r="N335" s="17" t="s">
        <v>2180</v>
      </c>
      <c r="O335" s="18" t="s">
        <v>1017</v>
      </c>
      <c r="P335" s="18" t="s">
        <v>25</v>
      </c>
      <c r="Q335" s="32">
        <f t="shared" si="10"/>
        <v>16</v>
      </c>
      <c r="R335" s="32">
        <f t="shared" si="11"/>
        <v>11</v>
      </c>
      <c r="S335" s="21" t="s">
        <v>2915</v>
      </c>
    </row>
    <row r="336" spans="1:19" x14ac:dyDescent="0.25">
      <c r="A336" s="3">
        <v>334</v>
      </c>
      <c r="B336" s="3" t="s">
        <v>490</v>
      </c>
      <c r="C336" s="17" t="s">
        <v>831</v>
      </c>
      <c r="D336" s="17" t="s">
        <v>1011</v>
      </c>
      <c r="E336" s="17" t="s">
        <v>3029</v>
      </c>
      <c r="F336" s="17" t="s">
        <v>2182</v>
      </c>
      <c r="G336" s="17" t="s">
        <v>2183</v>
      </c>
      <c r="H336" s="17" t="s">
        <v>22</v>
      </c>
      <c r="I336" s="17" t="s">
        <v>26</v>
      </c>
      <c r="J336" s="18" t="s">
        <v>2184</v>
      </c>
      <c r="K336" s="17" t="s">
        <v>23</v>
      </c>
      <c r="L336" s="17" t="s">
        <v>2185</v>
      </c>
      <c r="M336" s="17" t="s">
        <v>1012</v>
      </c>
      <c r="N336" s="17" t="s">
        <v>2186</v>
      </c>
      <c r="O336" s="18" t="s">
        <v>1017</v>
      </c>
      <c r="P336" s="18" t="s">
        <v>25</v>
      </c>
      <c r="Q336" s="32">
        <f t="shared" si="10"/>
        <v>16</v>
      </c>
      <c r="R336" s="32">
        <f t="shared" si="11"/>
        <v>11</v>
      </c>
      <c r="S336" s="21" t="s">
        <v>3030</v>
      </c>
    </row>
    <row r="337" spans="1:19" x14ac:dyDescent="0.25">
      <c r="A337" s="2">
        <v>335</v>
      </c>
      <c r="B337" s="3" t="s">
        <v>494</v>
      </c>
      <c r="C337" s="17" t="s">
        <v>832</v>
      </c>
      <c r="D337" s="17" t="s">
        <v>1011</v>
      </c>
      <c r="E337" s="17"/>
      <c r="F337" s="17" t="s">
        <v>308</v>
      </c>
      <c r="G337" s="17" t="s">
        <v>309</v>
      </c>
      <c r="H337" s="17" t="s">
        <v>121</v>
      </c>
      <c r="I337" s="17" t="s">
        <v>26</v>
      </c>
      <c r="J337" s="18" t="s">
        <v>310</v>
      </c>
      <c r="K337" s="17" t="s">
        <v>255</v>
      </c>
      <c r="L337" s="17" t="s">
        <v>311</v>
      </c>
      <c r="M337" s="17" t="s">
        <v>1012</v>
      </c>
      <c r="N337" s="17" t="s">
        <v>2187</v>
      </c>
      <c r="O337" s="18" t="s">
        <v>257</v>
      </c>
      <c r="P337" s="18" t="s">
        <v>258</v>
      </c>
      <c r="Q337" s="18">
        <f t="shared" si="10"/>
        <v>10</v>
      </c>
      <c r="R337" s="18">
        <f t="shared" si="11"/>
        <v>11</v>
      </c>
    </row>
    <row r="338" spans="1:19" x14ac:dyDescent="0.25">
      <c r="A338" s="3">
        <v>336</v>
      </c>
      <c r="B338" s="3" t="s">
        <v>490</v>
      </c>
      <c r="C338" s="17" t="s">
        <v>833</v>
      </c>
      <c r="D338" s="17" t="s">
        <v>1011</v>
      </c>
      <c r="E338" s="17" t="s">
        <v>3031</v>
      </c>
      <c r="F338" s="17" t="s">
        <v>2188</v>
      </c>
      <c r="G338" s="17" t="s">
        <v>2189</v>
      </c>
      <c r="H338" s="17" t="s">
        <v>52</v>
      </c>
      <c r="I338" s="17" t="s">
        <v>26</v>
      </c>
      <c r="J338" s="18" t="s">
        <v>2190</v>
      </c>
      <c r="K338" s="17" t="s">
        <v>23</v>
      </c>
      <c r="L338" s="17" t="s">
        <v>2191</v>
      </c>
      <c r="M338" s="17" t="s">
        <v>1012</v>
      </c>
      <c r="N338" s="17" t="s">
        <v>2192</v>
      </c>
      <c r="O338" s="18" t="s">
        <v>1017</v>
      </c>
      <c r="P338" s="18" t="s">
        <v>25</v>
      </c>
      <c r="Q338" s="32">
        <f t="shared" si="10"/>
        <v>16</v>
      </c>
      <c r="R338" s="32">
        <f t="shared" si="11"/>
        <v>11</v>
      </c>
      <c r="S338" s="21" t="s">
        <v>3032</v>
      </c>
    </row>
    <row r="339" spans="1:19" x14ac:dyDescent="0.25">
      <c r="A339" s="2">
        <v>337</v>
      </c>
      <c r="B339" s="3" t="s">
        <v>490</v>
      </c>
      <c r="C339" s="17" t="s">
        <v>834</v>
      </c>
      <c r="D339" s="17" t="s">
        <v>1011</v>
      </c>
      <c r="E339" s="17" t="s">
        <v>3033</v>
      </c>
      <c r="F339" s="17" t="s">
        <v>2193</v>
      </c>
      <c r="G339" s="17" t="s">
        <v>2194</v>
      </c>
      <c r="H339" s="17" t="s">
        <v>30</v>
      </c>
      <c r="I339" s="17" t="s">
        <v>26</v>
      </c>
      <c r="J339" s="18" t="s">
        <v>2195</v>
      </c>
      <c r="K339" s="17" t="s">
        <v>23</v>
      </c>
      <c r="L339" s="17" t="s">
        <v>2196</v>
      </c>
      <c r="M339" s="17" t="s">
        <v>1012</v>
      </c>
      <c r="N339" s="17" t="s">
        <v>2197</v>
      </c>
      <c r="O339" s="18" t="s">
        <v>1017</v>
      </c>
      <c r="P339" s="18" t="s">
        <v>25</v>
      </c>
      <c r="Q339" s="32">
        <f t="shared" si="10"/>
        <v>16</v>
      </c>
      <c r="R339" s="32">
        <f t="shared" si="11"/>
        <v>11</v>
      </c>
      <c r="S339" s="21" t="s">
        <v>3034</v>
      </c>
    </row>
    <row r="340" spans="1:19" x14ac:dyDescent="0.25">
      <c r="A340" s="3">
        <v>338</v>
      </c>
      <c r="B340" s="3" t="s">
        <v>490</v>
      </c>
      <c r="C340" s="17" t="s">
        <v>835</v>
      </c>
      <c r="D340" s="17" t="s">
        <v>1011</v>
      </c>
      <c r="E340" s="17" t="s">
        <v>3035</v>
      </c>
      <c r="F340" s="17" t="s">
        <v>2198</v>
      </c>
      <c r="G340" s="17" t="s">
        <v>2199</v>
      </c>
      <c r="H340" s="17" t="s">
        <v>2200</v>
      </c>
      <c r="I340" s="17" t="s">
        <v>26</v>
      </c>
      <c r="J340" s="18" t="s">
        <v>2201</v>
      </c>
      <c r="K340" s="17" t="s">
        <v>23</v>
      </c>
      <c r="L340" s="17" t="s">
        <v>2202</v>
      </c>
      <c r="M340" s="17" t="s">
        <v>1012</v>
      </c>
      <c r="N340" s="17" t="s">
        <v>2203</v>
      </c>
      <c r="O340" s="18" t="s">
        <v>1017</v>
      </c>
      <c r="P340" s="18" t="s">
        <v>25</v>
      </c>
      <c r="Q340" s="32">
        <f t="shared" si="10"/>
        <v>16</v>
      </c>
      <c r="R340" s="32">
        <f t="shared" si="11"/>
        <v>11</v>
      </c>
      <c r="S340" s="21" t="s">
        <v>3036</v>
      </c>
    </row>
    <row r="341" spans="1:19" x14ac:dyDescent="0.25">
      <c r="A341" s="2">
        <v>339</v>
      </c>
      <c r="B341" s="3" t="s">
        <v>490</v>
      </c>
      <c r="C341" s="17" t="s">
        <v>836</v>
      </c>
      <c r="D341" s="17" t="s">
        <v>1011</v>
      </c>
      <c r="E341" s="17" t="s">
        <v>3037</v>
      </c>
      <c r="F341" s="17" t="s">
        <v>2204</v>
      </c>
      <c r="G341" s="17" t="s">
        <v>2205</v>
      </c>
      <c r="H341" s="17" t="s">
        <v>50</v>
      </c>
      <c r="I341" s="17" t="s">
        <v>26</v>
      </c>
      <c r="J341" s="18" t="s">
        <v>2206</v>
      </c>
      <c r="K341" s="17" t="s">
        <v>23</v>
      </c>
      <c r="L341" s="17" t="s">
        <v>2207</v>
      </c>
      <c r="M341" s="17" t="s">
        <v>1012</v>
      </c>
      <c r="N341" s="17" t="s">
        <v>2208</v>
      </c>
      <c r="O341" s="18" t="s">
        <v>1017</v>
      </c>
      <c r="P341" s="18" t="s">
        <v>25</v>
      </c>
      <c r="Q341" s="32">
        <f t="shared" si="10"/>
        <v>16</v>
      </c>
      <c r="R341" s="32">
        <f t="shared" si="11"/>
        <v>15</v>
      </c>
      <c r="S341" s="21" t="s">
        <v>2915</v>
      </c>
    </row>
    <row r="342" spans="1:19" x14ac:dyDescent="0.25">
      <c r="A342" s="3">
        <v>340</v>
      </c>
      <c r="B342" s="3" t="s">
        <v>494</v>
      </c>
      <c r="C342" s="17" t="s">
        <v>837</v>
      </c>
      <c r="D342" s="17" t="s">
        <v>1011</v>
      </c>
      <c r="E342" s="17"/>
      <c r="F342" s="17" t="s">
        <v>2209</v>
      </c>
      <c r="G342" s="17" t="s">
        <v>2210</v>
      </c>
      <c r="H342" s="17" t="s">
        <v>2211</v>
      </c>
      <c r="I342" s="17" t="s">
        <v>26</v>
      </c>
      <c r="J342" s="18" t="s">
        <v>2212</v>
      </c>
      <c r="K342" s="17" t="s">
        <v>255</v>
      </c>
      <c r="L342" s="17" t="s">
        <v>2213</v>
      </c>
      <c r="M342" s="17" t="s">
        <v>1012</v>
      </c>
      <c r="N342" s="17" t="s">
        <v>2214</v>
      </c>
      <c r="O342" s="18" t="s">
        <v>257</v>
      </c>
      <c r="P342" s="18" t="s">
        <v>258</v>
      </c>
      <c r="Q342" s="18">
        <f t="shared" si="10"/>
        <v>10</v>
      </c>
      <c r="R342" s="18">
        <f t="shared" si="11"/>
        <v>11</v>
      </c>
    </row>
    <row r="343" spans="1:19" x14ac:dyDescent="0.25">
      <c r="A343" s="2">
        <v>341</v>
      </c>
      <c r="B343" s="3" t="s">
        <v>490</v>
      </c>
      <c r="C343" s="17" t="s">
        <v>838</v>
      </c>
      <c r="D343" s="17" t="s">
        <v>1011</v>
      </c>
      <c r="E343" s="17" t="s">
        <v>3038</v>
      </c>
      <c r="F343" s="17" t="s">
        <v>2215</v>
      </c>
      <c r="G343" s="17" t="s">
        <v>2216</v>
      </c>
      <c r="H343" s="17" t="s">
        <v>35</v>
      </c>
      <c r="I343" s="17" t="s">
        <v>26</v>
      </c>
      <c r="J343" s="18" t="s">
        <v>2217</v>
      </c>
      <c r="K343" s="17" t="s">
        <v>23</v>
      </c>
      <c r="L343" s="17" t="s">
        <v>2218</v>
      </c>
      <c r="M343" s="17" t="s">
        <v>1012</v>
      </c>
      <c r="N343" s="17" t="s">
        <v>2219</v>
      </c>
      <c r="O343" s="18" t="s">
        <v>1017</v>
      </c>
      <c r="P343" s="18" t="s">
        <v>25</v>
      </c>
      <c r="Q343" s="32">
        <f t="shared" si="10"/>
        <v>16</v>
      </c>
      <c r="R343" s="32">
        <f t="shared" si="11"/>
        <v>13</v>
      </c>
      <c r="S343" s="21" t="s">
        <v>2915</v>
      </c>
    </row>
    <row r="344" spans="1:19" x14ac:dyDescent="0.25">
      <c r="A344" s="3">
        <v>342</v>
      </c>
      <c r="B344" s="3" t="s">
        <v>490</v>
      </c>
      <c r="C344" s="17" t="s">
        <v>839</v>
      </c>
      <c r="D344" s="17" t="s">
        <v>1011</v>
      </c>
      <c r="E344" s="17" t="s">
        <v>3039</v>
      </c>
      <c r="F344" s="17" t="s">
        <v>2220</v>
      </c>
      <c r="G344" s="17" t="s">
        <v>2221</v>
      </c>
      <c r="H344" s="17" t="s">
        <v>49</v>
      </c>
      <c r="I344" s="17" t="s">
        <v>26</v>
      </c>
      <c r="J344" s="18" t="s">
        <v>2222</v>
      </c>
      <c r="K344" s="17" t="s">
        <v>23</v>
      </c>
      <c r="L344" s="17" t="s">
        <v>2223</v>
      </c>
      <c r="M344" s="17" t="s">
        <v>1012</v>
      </c>
      <c r="N344" s="17" t="s">
        <v>2224</v>
      </c>
      <c r="O344" s="18" t="s">
        <v>1017</v>
      </c>
      <c r="P344" s="18" t="s">
        <v>25</v>
      </c>
      <c r="Q344" s="32">
        <f t="shared" si="10"/>
        <v>16</v>
      </c>
      <c r="R344" s="32">
        <f t="shared" si="11"/>
        <v>11</v>
      </c>
      <c r="S344" s="21" t="s">
        <v>3040</v>
      </c>
    </row>
    <row r="345" spans="1:19" x14ac:dyDescent="0.25">
      <c r="A345" s="2">
        <v>343</v>
      </c>
      <c r="B345" s="3" t="s">
        <v>490</v>
      </c>
      <c r="C345" s="17" t="s">
        <v>840</v>
      </c>
      <c r="D345" s="17" t="s">
        <v>1011</v>
      </c>
      <c r="E345" s="17" t="s">
        <v>3041</v>
      </c>
      <c r="F345" s="17" t="s">
        <v>2225</v>
      </c>
      <c r="G345" s="17" t="s">
        <v>2226</v>
      </c>
      <c r="H345" s="17" t="s">
        <v>40</v>
      </c>
      <c r="I345" s="17" t="s">
        <v>26</v>
      </c>
      <c r="J345" s="18" t="s">
        <v>2227</v>
      </c>
      <c r="K345" s="17" t="s">
        <v>23</v>
      </c>
      <c r="L345" s="17" t="s">
        <v>2228</v>
      </c>
      <c r="M345" s="17" t="s">
        <v>1012</v>
      </c>
      <c r="N345" s="17" t="s">
        <v>2229</v>
      </c>
      <c r="O345" s="18" t="s">
        <v>1017</v>
      </c>
      <c r="P345" s="18" t="s">
        <v>25</v>
      </c>
      <c r="Q345" s="32">
        <f t="shared" si="10"/>
        <v>16</v>
      </c>
      <c r="R345" s="32">
        <f t="shared" si="11"/>
        <v>15</v>
      </c>
      <c r="S345" s="21" t="s">
        <v>3042</v>
      </c>
    </row>
    <row r="346" spans="1:19" x14ac:dyDescent="0.25">
      <c r="A346" s="3">
        <v>344</v>
      </c>
      <c r="B346" s="3" t="s">
        <v>494</v>
      </c>
      <c r="C346" s="17" t="s">
        <v>841</v>
      </c>
      <c r="D346" s="17" t="s">
        <v>1011</v>
      </c>
      <c r="E346" s="17"/>
      <c r="F346" s="17" t="s">
        <v>289</v>
      </c>
      <c r="G346" s="17" t="s">
        <v>290</v>
      </c>
      <c r="H346" s="17" t="s">
        <v>84</v>
      </c>
      <c r="I346" s="17" t="s">
        <v>26</v>
      </c>
      <c r="J346" s="18" t="s">
        <v>291</v>
      </c>
      <c r="K346" s="17" t="s">
        <v>255</v>
      </c>
      <c r="L346" s="17" t="s">
        <v>292</v>
      </c>
      <c r="M346" s="17" t="s">
        <v>1012</v>
      </c>
      <c r="N346" s="17" t="s">
        <v>2230</v>
      </c>
      <c r="O346" s="18" t="s">
        <v>257</v>
      </c>
      <c r="P346" s="18" t="s">
        <v>258</v>
      </c>
      <c r="Q346" s="18">
        <f t="shared" si="10"/>
        <v>10</v>
      </c>
      <c r="R346" s="18">
        <f t="shared" si="11"/>
        <v>11</v>
      </c>
    </row>
    <row r="347" spans="1:19" x14ac:dyDescent="0.25">
      <c r="A347" s="2">
        <v>345</v>
      </c>
      <c r="B347" s="3" t="s">
        <v>490</v>
      </c>
      <c r="C347" s="17" t="s">
        <v>842</v>
      </c>
      <c r="D347" s="17" t="s">
        <v>1011</v>
      </c>
      <c r="E347" s="17" t="s">
        <v>3043</v>
      </c>
      <c r="F347" s="17" t="s">
        <v>2231</v>
      </c>
      <c r="G347" s="17" t="s">
        <v>2232</v>
      </c>
      <c r="H347" s="17" t="s">
        <v>41</v>
      </c>
      <c r="I347" s="17" t="s">
        <v>28</v>
      </c>
      <c r="J347" s="18" t="s">
        <v>2233</v>
      </c>
      <c r="K347" s="17" t="s">
        <v>23</v>
      </c>
      <c r="L347" s="17" t="s">
        <v>2234</v>
      </c>
      <c r="M347" s="17" t="s">
        <v>1012</v>
      </c>
      <c r="N347" s="17" t="s">
        <v>2235</v>
      </c>
      <c r="O347" s="18" t="s">
        <v>1017</v>
      </c>
      <c r="P347" s="18" t="s">
        <v>25</v>
      </c>
      <c r="Q347" s="32">
        <f t="shared" si="10"/>
        <v>16</v>
      </c>
      <c r="R347" s="32">
        <f t="shared" si="11"/>
        <v>15</v>
      </c>
      <c r="S347" s="21" t="s">
        <v>2915</v>
      </c>
    </row>
    <row r="348" spans="1:19" x14ac:dyDescent="0.25">
      <c r="A348" s="3">
        <v>346</v>
      </c>
      <c r="B348" s="3" t="s">
        <v>494</v>
      </c>
      <c r="C348" s="17" t="s">
        <v>843</v>
      </c>
      <c r="D348" s="17" t="s">
        <v>1011</v>
      </c>
      <c r="E348" s="17"/>
      <c r="F348" s="17" t="s">
        <v>2236</v>
      </c>
      <c r="G348" s="17" t="s">
        <v>2237</v>
      </c>
      <c r="H348" s="17" t="s">
        <v>2238</v>
      </c>
      <c r="I348" s="17" t="s">
        <v>26</v>
      </c>
      <c r="J348" s="18" t="s">
        <v>2239</v>
      </c>
      <c r="K348" s="17" t="s">
        <v>255</v>
      </c>
      <c r="L348" s="17" t="s">
        <v>2240</v>
      </c>
      <c r="M348" s="17" t="s">
        <v>1012</v>
      </c>
      <c r="N348" s="17" t="s">
        <v>2241</v>
      </c>
      <c r="O348" s="18" t="s">
        <v>257</v>
      </c>
      <c r="P348" s="18" t="s">
        <v>258</v>
      </c>
      <c r="Q348" s="18">
        <f t="shared" si="10"/>
        <v>10</v>
      </c>
      <c r="R348" s="18">
        <f t="shared" si="11"/>
        <v>11</v>
      </c>
    </row>
    <row r="349" spans="1:19" x14ac:dyDescent="0.25">
      <c r="A349" s="2">
        <v>347</v>
      </c>
      <c r="B349" s="3" t="s">
        <v>490</v>
      </c>
      <c r="C349" s="17" t="s">
        <v>844</v>
      </c>
      <c r="D349" s="17" t="s">
        <v>1011</v>
      </c>
      <c r="E349" s="17" t="s">
        <v>3044</v>
      </c>
      <c r="F349" s="17" t="s">
        <v>2242</v>
      </c>
      <c r="G349" s="17" t="s">
        <v>2243</v>
      </c>
      <c r="H349" s="17" t="s">
        <v>2244</v>
      </c>
      <c r="I349" s="17" t="s">
        <v>26</v>
      </c>
      <c r="J349" s="18" t="s">
        <v>2245</v>
      </c>
      <c r="K349" s="17" t="s">
        <v>23</v>
      </c>
      <c r="L349" s="17" t="s">
        <v>2246</v>
      </c>
      <c r="M349" s="17" t="s">
        <v>1012</v>
      </c>
      <c r="N349" s="17" t="s">
        <v>2247</v>
      </c>
      <c r="O349" s="18" t="s">
        <v>1017</v>
      </c>
      <c r="P349" s="18" t="s">
        <v>25</v>
      </c>
      <c r="Q349" s="32">
        <f t="shared" si="10"/>
        <v>16</v>
      </c>
      <c r="R349" s="32">
        <f t="shared" si="11"/>
        <v>13</v>
      </c>
      <c r="S349" s="21" t="s">
        <v>2915</v>
      </c>
    </row>
    <row r="350" spans="1:19" x14ac:dyDescent="0.25">
      <c r="A350" s="3">
        <v>348</v>
      </c>
      <c r="B350" s="3" t="s">
        <v>490</v>
      </c>
      <c r="C350" s="17" t="s">
        <v>845</v>
      </c>
      <c r="D350" s="17" t="s">
        <v>1011</v>
      </c>
      <c r="E350" s="17" t="s">
        <v>3045</v>
      </c>
      <c r="F350" s="17" t="s">
        <v>2248</v>
      </c>
      <c r="G350" s="17" t="s">
        <v>46</v>
      </c>
      <c r="H350" s="17" t="s">
        <v>47</v>
      </c>
      <c r="I350" s="17" t="s">
        <v>28</v>
      </c>
      <c r="J350" s="18" t="s">
        <v>2249</v>
      </c>
      <c r="K350" s="17" t="s">
        <v>23</v>
      </c>
      <c r="L350" s="17" t="s">
        <v>2250</v>
      </c>
      <c r="M350" s="17" t="s">
        <v>1012</v>
      </c>
      <c r="N350" s="17" t="s">
        <v>2251</v>
      </c>
      <c r="O350" s="18" t="s">
        <v>1017</v>
      </c>
      <c r="P350" s="18" t="s">
        <v>25</v>
      </c>
      <c r="Q350" s="32">
        <f t="shared" si="10"/>
        <v>16</v>
      </c>
      <c r="R350" s="32">
        <f t="shared" si="11"/>
        <v>13</v>
      </c>
      <c r="S350" s="21" t="s">
        <v>2915</v>
      </c>
    </row>
    <row r="351" spans="1:19" x14ac:dyDescent="0.25">
      <c r="A351" s="2">
        <v>349</v>
      </c>
      <c r="B351" s="3" t="s">
        <v>490</v>
      </c>
      <c r="C351" s="17" t="s">
        <v>846</v>
      </c>
      <c r="D351" s="17" t="s">
        <v>1011</v>
      </c>
      <c r="E351" s="17" t="s">
        <v>3045</v>
      </c>
      <c r="F351" s="17" t="s">
        <v>2252</v>
      </c>
      <c r="G351" s="17" t="s">
        <v>46</v>
      </c>
      <c r="H351" s="17" t="s">
        <v>47</v>
      </c>
      <c r="I351" s="17" t="s">
        <v>27</v>
      </c>
      <c r="J351" s="18" t="s">
        <v>2253</v>
      </c>
      <c r="K351" s="17" t="s">
        <v>23</v>
      </c>
      <c r="L351" s="17" t="s">
        <v>2250</v>
      </c>
      <c r="M351" s="17" t="s">
        <v>1012</v>
      </c>
      <c r="N351" s="17" t="s">
        <v>2251</v>
      </c>
      <c r="O351" s="18" t="s">
        <v>1017</v>
      </c>
      <c r="P351" s="18" t="s">
        <v>25</v>
      </c>
      <c r="Q351" s="32">
        <f t="shared" si="10"/>
        <v>16</v>
      </c>
      <c r="R351" s="32">
        <f t="shared" si="11"/>
        <v>13</v>
      </c>
      <c r="S351" s="21" t="s">
        <v>3046</v>
      </c>
    </row>
    <row r="352" spans="1:19" x14ac:dyDescent="0.25">
      <c r="A352" s="3">
        <v>350</v>
      </c>
      <c r="B352" s="3" t="s">
        <v>490</v>
      </c>
      <c r="C352" s="17" t="s">
        <v>847</v>
      </c>
      <c r="D352" s="17" t="s">
        <v>1011</v>
      </c>
      <c r="E352" s="17" t="s">
        <v>3045</v>
      </c>
      <c r="F352" s="17" t="s">
        <v>2254</v>
      </c>
      <c r="G352" s="17" t="s">
        <v>46</v>
      </c>
      <c r="H352" s="17" t="s">
        <v>1013</v>
      </c>
      <c r="I352" s="17" t="s">
        <v>26</v>
      </c>
      <c r="J352" s="18" t="s">
        <v>2255</v>
      </c>
      <c r="K352" s="17" t="s">
        <v>23</v>
      </c>
      <c r="L352" s="17" t="s">
        <v>2256</v>
      </c>
      <c r="M352" s="17" t="s">
        <v>1012</v>
      </c>
      <c r="N352" s="17" t="s">
        <v>2257</v>
      </c>
      <c r="O352" s="18" t="s">
        <v>1017</v>
      </c>
      <c r="P352" s="18" t="s">
        <v>25</v>
      </c>
      <c r="Q352" s="32">
        <f t="shared" si="10"/>
        <v>16</v>
      </c>
      <c r="R352" s="32">
        <f t="shared" si="11"/>
        <v>13</v>
      </c>
      <c r="S352" s="21" t="s">
        <v>3046</v>
      </c>
    </row>
    <row r="353" spans="1:19" x14ac:dyDescent="0.25">
      <c r="A353" s="2">
        <v>351</v>
      </c>
      <c r="B353" s="3" t="s">
        <v>490</v>
      </c>
      <c r="C353" s="17" t="s">
        <v>848</v>
      </c>
      <c r="D353" s="17" t="s">
        <v>1011</v>
      </c>
      <c r="E353" s="17" t="s">
        <v>3045</v>
      </c>
      <c r="F353" s="17" t="s">
        <v>2258</v>
      </c>
      <c r="G353" s="17" t="s">
        <v>46</v>
      </c>
      <c r="H353" s="17" t="s">
        <v>1013</v>
      </c>
      <c r="I353" s="17" t="s">
        <v>22</v>
      </c>
      <c r="J353" s="18" t="s">
        <v>2259</v>
      </c>
      <c r="K353" s="17" t="s">
        <v>23</v>
      </c>
      <c r="L353" s="17" t="s">
        <v>2256</v>
      </c>
      <c r="M353" s="17" t="s">
        <v>1012</v>
      </c>
      <c r="N353" s="17" t="s">
        <v>2257</v>
      </c>
      <c r="O353" s="18" t="s">
        <v>1017</v>
      </c>
      <c r="P353" s="18" t="s">
        <v>25</v>
      </c>
      <c r="Q353" s="32">
        <f t="shared" si="10"/>
        <v>16</v>
      </c>
      <c r="R353" s="32">
        <f t="shared" si="11"/>
        <v>13</v>
      </c>
      <c r="S353" s="21" t="s">
        <v>3046</v>
      </c>
    </row>
    <row r="354" spans="1:19" x14ac:dyDescent="0.25">
      <c r="A354" s="3">
        <v>352</v>
      </c>
      <c r="B354" s="3" t="s">
        <v>490</v>
      </c>
      <c r="C354" s="17" t="s">
        <v>849</v>
      </c>
      <c r="D354" s="17" t="s">
        <v>1011</v>
      </c>
      <c r="E354" s="17" t="s">
        <v>3047</v>
      </c>
      <c r="F354" s="17" t="s">
        <v>2260</v>
      </c>
      <c r="G354" s="17" t="s">
        <v>2261</v>
      </c>
      <c r="H354" s="17" t="s">
        <v>45</v>
      </c>
      <c r="I354" s="17" t="s">
        <v>26</v>
      </c>
      <c r="J354" s="18" t="s">
        <v>2262</v>
      </c>
      <c r="K354" s="17" t="s">
        <v>23</v>
      </c>
      <c r="L354" s="17" t="s">
        <v>2263</v>
      </c>
      <c r="M354" s="17" t="s">
        <v>1012</v>
      </c>
      <c r="N354" s="17" t="s">
        <v>2264</v>
      </c>
      <c r="O354" s="18" t="s">
        <v>1017</v>
      </c>
      <c r="P354" s="18" t="s">
        <v>25</v>
      </c>
      <c r="Q354" s="32">
        <f t="shared" si="10"/>
        <v>16</v>
      </c>
      <c r="R354" s="32">
        <f t="shared" si="11"/>
        <v>12</v>
      </c>
      <c r="S354" s="21" t="s">
        <v>2915</v>
      </c>
    </row>
    <row r="355" spans="1:19" x14ac:dyDescent="0.25">
      <c r="A355" s="2">
        <v>353</v>
      </c>
      <c r="B355" s="3" t="s">
        <v>490</v>
      </c>
      <c r="C355" s="17" t="s">
        <v>850</v>
      </c>
      <c r="D355" s="17" t="s">
        <v>1011</v>
      </c>
      <c r="E355" s="17" t="s">
        <v>3047</v>
      </c>
      <c r="F355" s="17" t="s">
        <v>2265</v>
      </c>
      <c r="G355" s="17" t="s">
        <v>2261</v>
      </c>
      <c r="H355" s="17" t="s">
        <v>45</v>
      </c>
      <c r="I355" s="17" t="s">
        <v>22</v>
      </c>
      <c r="J355" s="18" t="s">
        <v>2266</v>
      </c>
      <c r="K355" s="17" t="s">
        <v>23</v>
      </c>
      <c r="L355" s="17" t="s">
        <v>2263</v>
      </c>
      <c r="M355" s="17" t="s">
        <v>1012</v>
      </c>
      <c r="N355" s="17" t="s">
        <v>2264</v>
      </c>
      <c r="O355" s="18" t="s">
        <v>1017</v>
      </c>
      <c r="P355" s="18" t="s">
        <v>25</v>
      </c>
      <c r="Q355" s="32">
        <f t="shared" si="10"/>
        <v>16</v>
      </c>
      <c r="R355" s="32">
        <f t="shared" si="11"/>
        <v>12</v>
      </c>
      <c r="S355" s="21" t="s">
        <v>2915</v>
      </c>
    </row>
    <row r="356" spans="1:19" x14ac:dyDescent="0.25">
      <c r="A356" s="3">
        <v>354</v>
      </c>
      <c r="B356" s="3" t="s">
        <v>494</v>
      </c>
      <c r="C356" s="17" t="s">
        <v>851</v>
      </c>
      <c r="D356" s="17" t="s">
        <v>1011</v>
      </c>
      <c r="E356" s="17"/>
      <c r="F356" s="17" t="s">
        <v>2267</v>
      </c>
      <c r="G356" s="17" t="s">
        <v>2268</v>
      </c>
      <c r="H356" s="17" t="s">
        <v>60</v>
      </c>
      <c r="I356" s="17" t="s">
        <v>26</v>
      </c>
      <c r="J356" s="18" t="s">
        <v>2269</v>
      </c>
      <c r="K356" s="17" t="s">
        <v>255</v>
      </c>
      <c r="L356" s="17" t="s">
        <v>2270</v>
      </c>
      <c r="M356" s="17" t="s">
        <v>1012</v>
      </c>
      <c r="N356" s="17" t="s">
        <v>2271</v>
      </c>
      <c r="O356" s="18" t="s">
        <v>257</v>
      </c>
      <c r="P356" s="18" t="s">
        <v>258</v>
      </c>
      <c r="Q356" s="18">
        <f t="shared" si="10"/>
        <v>10</v>
      </c>
      <c r="R356" s="18">
        <f t="shared" si="11"/>
        <v>11</v>
      </c>
    </row>
    <row r="357" spans="1:19" x14ac:dyDescent="0.25">
      <c r="A357" s="2">
        <v>355</v>
      </c>
      <c r="B357" s="3" t="s">
        <v>490</v>
      </c>
      <c r="C357" s="17" t="s">
        <v>852</v>
      </c>
      <c r="D357" s="17" t="s">
        <v>1011</v>
      </c>
      <c r="E357" s="17" t="s">
        <v>3048</v>
      </c>
      <c r="F357" s="17" t="s">
        <v>2272</v>
      </c>
      <c r="G357" s="17" t="s">
        <v>2273</v>
      </c>
      <c r="H357" s="17" t="s">
        <v>26</v>
      </c>
      <c r="I357" s="17" t="s">
        <v>26</v>
      </c>
      <c r="J357" s="18" t="s">
        <v>2274</v>
      </c>
      <c r="K357" s="17" t="s">
        <v>23</v>
      </c>
      <c r="L357" s="17" t="s">
        <v>2275</v>
      </c>
      <c r="M357" s="17" t="s">
        <v>1012</v>
      </c>
      <c r="N357" s="17" t="s">
        <v>2276</v>
      </c>
      <c r="O357" s="18" t="s">
        <v>1017</v>
      </c>
      <c r="P357" s="18" t="s">
        <v>25</v>
      </c>
      <c r="Q357" s="32">
        <f t="shared" si="10"/>
        <v>16</v>
      </c>
      <c r="R357" s="32">
        <f t="shared" si="11"/>
        <v>12</v>
      </c>
      <c r="S357" s="21" t="s">
        <v>3049</v>
      </c>
    </row>
    <row r="358" spans="1:19" x14ac:dyDescent="0.25">
      <c r="A358" s="3">
        <v>356</v>
      </c>
      <c r="B358" s="3" t="s">
        <v>490</v>
      </c>
      <c r="C358" s="17" t="s">
        <v>853</v>
      </c>
      <c r="D358" s="17" t="s">
        <v>1011</v>
      </c>
      <c r="E358" s="17" t="s">
        <v>3048</v>
      </c>
      <c r="F358" s="17" t="s">
        <v>103</v>
      </c>
      <c r="G358" s="17" t="s">
        <v>2273</v>
      </c>
      <c r="H358" s="17" t="s">
        <v>26</v>
      </c>
      <c r="I358" s="17" t="s">
        <v>22</v>
      </c>
      <c r="J358" s="18" t="s">
        <v>2277</v>
      </c>
      <c r="K358" s="17" t="s">
        <v>23</v>
      </c>
      <c r="L358" s="17" t="s">
        <v>2275</v>
      </c>
      <c r="M358" s="17" t="s">
        <v>1012</v>
      </c>
      <c r="N358" s="17" t="s">
        <v>2276</v>
      </c>
      <c r="O358" s="18" t="s">
        <v>1017</v>
      </c>
      <c r="P358" s="18" t="s">
        <v>25</v>
      </c>
      <c r="Q358" s="32">
        <f t="shared" si="10"/>
        <v>16</v>
      </c>
      <c r="R358" s="32">
        <f t="shared" si="11"/>
        <v>12</v>
      </c>
      <c r="S358" s="21" t="s">
        <v>3049</v>
      </c>
    </row>
    <row r="359" spans="1:19" x14ac:dyDescent="0.25">
      <c r="A359" s="2">
        <v>357</v>
      </c>
      <c r="B359" s="3" t="s">
        <v>490</v>
      </c>
      <c r="C359" s="17" t="s">
        <v>854</v>
      </c>
      <c r="D359" s="17" t="s">
        <v>1011</v>
      </c>
      <c r="E359" s="17" t="s">
        <v>3048</v>
      </c>
      <c r="F359" s="17" t="s">
        <v>103</v>
      </c>
      <c r="G359" s="17" t="s">
        <v>2273</v>
      </c>
      <c r="H359" s="17" t="s">
        <v>26</v>
      </c>
      <c r="I359" s="17" t="s">
        <v>28</v>
      </c>
      <c r="J359" s="18" t="s">
        <v>2278</v>
      </c>
      <c r="K359" s="17" t="s">
        <v>23</v>
      </c>
      <c r="L359" s="17" t="s">
        <v>2275</v>
      </c>
      <c r="M359" s="17" t="s">
        <v>1012</v>
      </c>
      <c r="N359" s="17" t="s">
        <v>2276</v>
      </c>
      <c r="O359" s="18" t="s">
        <v>1017</v>
      </c>
      <c r="P359" s="18" t="s">
        <v>25</v>
      </c>
      <c r="Q359" s="32">
        <f t="shared" si="10"/>
        <v>16</v>
      </c>
      <c r="R359" s="32">
        <f t="shared" si="11"/>
        <v>12</v>
      </c>
      <c r="S359" s="21" t="s">
        <v>3049</v>
      </c>
    </row>
    <row r="360" spans="1:19" x14ac:dyDescent="0.25">
      <c r="A360" s="3">
        <v>358</v>
      </c>
      <c r="B360" s="3" t="s">
        <v>494</v>
      </c>
      <c r="C360" s="17" t="s">
        <v>855</v>
      </c>
      <c r="D360" s="17" t="s">
        <v>1011</v>
      </c>
      <c r="E360" s="17"/>
      <c r="F360" s="17" t="s">
        <v>3</v>
      </c>
      <c r="G360" s="17" t="s">
        <v>107</v>
      </c>
      <c r="H360" s="17" t="s">
        <v>55</v>
      </c>
      <c r="I360" s="17" t="s">
        <v>26</v>
      </c>
      <c r="J360" s="18" t="s">
        <v>278</v>
      </c>
      <c r="K360" s="17" t="s">
        <v>255</v>
      </c>
      <c r="L360" s="17" t="s">
        <v>2</v>
      </c>
      <c r="M360" s="17" t="s">
        <v>1012</v>
      </c>
      <c r="N360" s="17" t="s">
        <v>2279</v>
      </c>
      <c r="O360" s="18" t="s">
        <v>257</v>
      </c>
      <c r="P360" s="18" t="s">
        <v>258</v>
      </c>
      <c r="Q360" s="18">
        <f t="shared" si="10"/>
        <v>10</v>
      </c>
      <c r="R360" s="18">
        <f t="shared" si="11"/>
        <v>11</v>
      </c>
    </row>
    <row r="361" spans="1:19" x14ac:dyDescent="0.25">
      <c r="A361" s="2">
        <v>359</v>
      </c>
      <c r="B361" s="3" t="s">
        <v>490</v>
      </c>
      <c r="C361" s="17" t="s">
        <v>856</v>
      </c>
      <c r="D361" s="17" t="s">
        <v>1011</v>
      </c>
      <c r="E361" s="17" t="s">
        <v>3050</v>
      </c>
      <c r="F361" s="17" t="s">
        <v>2280</v>
      </c>
      <c r="G361" s="17" t="s">
        <v>2281</v>
      </c>
      <c r="H361" s="17" t="s">
        <v>41</v>
      </c>
      <c r="I361" s="17" t="s">
        <v>26</v>
      </c>
      <c r="J361" s="18" t="s">
        <v>2282</v>
      </c>
      <c r="K361" s="17" t="s">
        <v>23</v>
      </c>
      <c r="L361" s="17" t="s">
        <v>2283</v>
      </c>
      <c r="M361" s="17" t="s">
        <v>1012</v>
      </c>
      <c r="N361" s="17" t="s">
        <v>2284</v>
      </c>
      <c r="O361" s="18" t="s">
        <v>1017</v>
      </c>
      <c r="P361" s="18" t="s">
        <v>25</v>
      </c>
      <c r="Q361" s="32">
        <f t="shared" si="10"/>
        <v>16</v>
      </c>
      <c r="R361" s="32">
        <f t="shared" si="11"/>
        <v>11</v>
      </c>
      <c r="S361" s="21" t="s">
        <v>3051</v>
      </c>
    </row>
    <row r="362" spans="1:19" x14ac:dyDescent="0.25">
      <c r="A362" s="3">
        <v>360</v>
      </c>
      <c r="B362" s="3" t="s">
        <v>490</v>
      </c>
      <c r="C362" s="17" t="s">
        <v>857</v>
      </c>
      <c r="D362" s="17" t="s">
        <v>1011</v>
      </c>
      <c r="E362" s="17" t="s">
        <v>3052</v>
      </c>
      <c r="F362" s="17" t="s">
        <v>2285</v>
      </c>
      <c r="G362" s="17" t="s">
        <v>2286</v>
      </c>
      <c r="H362" s="17" t="s">
        <v>43</v>
      </c>
      <c r="I362" s="17" t="s">
        <v>26</v>
      </c>
      <c r="J362" s="18" t="s">
        <v>2287</v>
      </c>
      <c r="K362" s="17" t="s">
        <v>23</v>
      </c>
      <c r="L362" s="17" t="s">
        <v>2288</v>
      </c>
      <c r="M362" s="17" t="s">
        <v>1012</v>
      </c>
      <c r="N362" s="17" t="s">
        <v>2289</v>
      </c>
      <c r="O362" s="18" t="s">
        <v>1017</v>
      </c>
      <c r="P362" s="18" t="s">
        <v>25</v>
      </c>
      <c r="Q362" s="32">
        <f t="shared" si="10"/>
        <v>16</v>
      </c>
      <c r="R362" s="32">
        <f t="shared" si="11"/>
        <v>11</v>
      </c>
      <c r="S362" s="21" t="s">
        <v>3053</v>
      </c>
    </row>
    <row r="363" spans="1:19" x14ac:dyDescent="0.25">
      <c r="A363" s="2">
        <v>361</v>
      </c>
      <c r="B363" s="3" t="s">
        <v>490</v>
      </c>
      <c r="C363" s="17" t="s">
        <v>858</v>
      </c>
      <c r="D363" s="17" t="s">
        <v>1011</v>
      </c>
      <c r="E363" s="17" t="s">
        <v>3054</v>
      </c>
      <c r="F363" s="17" t="s">
        <v>2290</v>
      </c>
      <c r="G363" s="17" t="s">
        <v>2291</v>
      </c>
      <c r="H363" s="17" t="s">
        <v>34</v>
      </c>
      <c r="I363" s="17" t="s">
        <v>26</v>
      </c>
      <c r="J363" s="18" t="s">
        <v>2292</v>
      </c>
      <c r="K363" s="17" t="s">
        <v>23</v>
      </c>
      <c r="L363" s="17" t="s">
        <v>2293</v>
      </c>
      <c r="M363" s="17" t="s">
        <v>1012</v>
      </c>
      <c r="N363" s="17" t="s">
        <v>2294</v>
      </c>
      <c r="O363" s="18" t="s">
        <v>1017</v>
      </c>
      <c r="P363" s="18" t="s">
        <v>25</v>
      </c>
      <c r="Q363" s="32">
        <f t="shared" si="10"/>
        <v>16</v>
      </c>
      <c r="R363" s="32">
        <f t="shared" si="11"/>
        <v>13</v>
      </c>
      <c r="S363" s="21" t="s">
        <v>3055</v>
      </c>
    </row>
    <row r="364" spans="1:19" x14ac:dyDescent="0.25">
      <c r="A364" s="3">
        <v>362</v>
      </c>
      <c r="B364" s="3" t="s">
        <v>490</v>
      </c>
      <c r="C364" s="17" t="s">
        <v>859</v>
      </c>
      <c r="D364" s="17" t="s">
        <v>1011</v>
      </c>
      <c r="E364" s="17" t="s">
        <v>3056</v>
      </c>
      <c r="F364" s="17" t="s">
        <v>2295</v>
      </c>
      <c r="G364" s="17" t="s">
        <v>2296</v>
      </c>
      <c r="H364" s="17" t="s">
        <v>33</v>
      </c>
      <c r="I364" s="17" t="s">
        <v>26</v>
      </c>
      <c r="J364" s="18" t="s">
        <v>2297</v>
      </c>
      <c r="K364" s="17" t="s">
        <v>23</v>
      </c>
      <c r="L364" s="17" t="s">
        <v>2298</v>
      </c>
      <c r="M364" s="17" t="s">
        <v>1012</v>
      </c>
      <c r="N364" s="17" t="s">
        <v>2299</v>
      </c>
      <c r="O364" s="18" t="s">
        <v>1017</v>
      </c>
      <c r="P364" s="18" t="s">
        <v>25</v>
      </c>
      <c r="Q364" s="32">
        <f t="shared" si="10"/>
        <v>16</v>
      </c>
      <c r="R364" s="32">
        <f t="shared" si="11"/>
        <v>10</v>
      </c>
      <c r="S364" s="21" t="s">
        <v>3057</v>
      </c>
    </row>
    <row r="365" spans="1:19" x14ac:dyDescent="0.25">
      <c r="A365" s="2">
        <v>363</v>
      </c>
      <c r="B365" s="3" t="s">
        <v>490</v>
      </c>
      <c r="C365" s="17" t="s">
        <v>860</v>
      </c>
      <c r="D365" s="17" t="s">
        <v>1011</v>
      </c>
      <c r="E365" s="17" t="s">
        <v>3058</v>
      </c>
      <c r="F365" s="17" t="s">
        <v>2300</v>
      </c>
      <c r="G365" s="17" t="s">
        <v>2301</v>
      </c>
      <c r="H365" s="17" t="s">
        <v>42</v>
      </c>
      <c r="I365" s="17" t="s">
        <v>26</v>
      </c>
      <c r="J365" s="18" t="s">
        <v>2302</v>
      </c>
      <c r="K365" s="17" t="s">
        <v>23</v>
      </c>
      <c r="L365" s="17" t="s">
        <v>2303</v>
      </c>
      <c r="M365" s="17" t="s">
        <v>1012</v>
      </c>
      <c r="N365" s="17" t="s">
        <v>2303</v>
      </c>
      <c r="O365" s="18" t="s">
        <v>1017</v>
      </c>
      <c r="P365" s="18" t="s">
        <v>25</v>
      </c>
      <c r="Q365" s="32">
        <f t="shared" si="10"/>
        <v>16</v>
      </c>
      <c r="R365" s="32">
        <f t="shared" si="11"/>
        <v>16</v>
      </c>
      <c r="S365" s="21" t="s">
        <v>3059</v>
      </c>
    </row>
    <row r="366" spans="1:19" x14ac:dyDescent="0.25">
      <c r="A366" s="3">
        <v>364</v>
      </c>
      <c r="B366" s="3" t="s">
        <v>494</v>
      </c>
      <c r="C366" s="17" t="s">
        <v>861</v>
      </c>
      <c r="D366" s="17" t="s">
        <v>1011</v>
      </c>
      <c r="E366" s="17"/>
      <c r="F366" s="17" t="s">
        <v>273</v>
      </c>
      <c r="G366" s="17" t="s">
        <v>274</v>
      </c>
      <c r="H366" s="17" t="s">
        <v>22</v>
      </c>
      <c r="I366" s="17" t="s">
        <v>26</v>
      </c>
      <c r="J366" s="18" t="s">
        <v>275</v>
      </c>
      <c r="K366" s="17" t="s">
        <v>255</v>
      </c>
      <c r="L366" s="17" t="s">
        <v>276</v>
      </c>
      <c r="M366" s="17" t="s">
        <v>1012</v>
      </c>
      <c r="N366" s="17" t="s">
        <v>2304</v>
      </c>
      <c r="O366" s="18" t="s">
        <v>257</v>
      </c>
      <c r="P366" s="18" t="s">
        <v>258</v>
      </c>
      <c r="Q366" s="18">
        <f t="shared" si="10"/>
        <v>10</v>
      </c>
      <c r="R366" s="18">
        <f t="shared" si="11"/>
        <v>11</v>
      </c>
    </row>
    <row r="367" spans="1:19" x14ac:dyDescent="0.25">
      <c r="A367" s="2">
        <v>365</v>
      </c>
      <c r="B367" s="3" t="s">
        <v>490</v>
      </c>
      <c r="C367" s="17" t="s">
        <v>862</v>
      </c>
      <c r="D367" s="17" t="s">
        <v>1011</v>
      </c>
      <c r="E367" s="17" t="s">
        <v>3060</v>
      </c>
      <c r="F367" s="17" t="s">
        <v>2305</v>
      </c>
      <c r="G367" s="17" t="s">
        <v>2306</v>
      </c>
      <c r="H367" s="17" t="s">
        <v>26</v>
      </c>
      <c r="I367" s="17" t="s">
        <v>22</v>
      </c>
      <c r="J367" s="18" t="s">
        <v>2307</v>
      </c>
      <c r="K367" s="17" t="s">
        <v>23</v>
      </c>
      <c r="L367" s="17" t="s">
        <v>2308</v>
      </c>
      <c r="M367" s="17" t="s">
        <v>1012</v>
      </c>
      <c r="N367" s="17" t="s">
        <v>2309</v>
      </c>
      <c r="O367" s="18" t="s">
        <v>1017</v>
      </c>
      <c r="P367" s="18" t="s">
        <v>25</v>
      </c>
      <c r="Q367" s="32">
        <f t="shared" si="10"/>
        <v>16</v>
      </c>
      <c r="R367" s="32">
        <f t="shared" si="11"/>
        <v>13</v>
      </c>
      <c r="S367" s="21" t="s">
        <v>3061</v>
      </c>
    </row>
    <row r="368" spans="1:19" x14ac:dyDescent="0.25">
      <c r="A368" s="3">
        <v>366</v>
      </c>
      <c r="B368" s="3" t="s">
        <v>490</v>
      </c>
      <c r="C368" s="17" t="s">
        <v>863</v>
      </c>
      <c r="D368" s="17" t="s">
        <v>1011</v>
      </c>
      <c r="E368" s="17" t="s">
        <v>3060</v>
      </c>
      <c r="F368" s="17" t="s">
        <v>2310</v>
      </c>
      <c r="G368" s="17" t="s">
        <v>2306</v>
      </c>
      <c r="H368" s="17" t="s">
        <v>26</v>
      </c>
      <c r="I368" s="17" t="s">
        <v>28</v>
      </c>
      <c r="J368" s="18" t="s">
        <v>2311</v>
      </c>
      <c r="K368" s="17" t="s">
        <v>23</v>
      </c>
      <c r="L368" s="17" t="s">
        <v>2308</v>
      </c>
      <c r="M368" s="17" t="s">
        <v>1012</v>
      </c>
      <c r="N368" s="17" t="s">
        <v>2309</v>
      </c>
      <c r="O368" s="18" t="s">
        <v>1017</v>
      </c>
      <c r="P368" s="18" t="s">
        <v>25</v>
      </c>
      <c r="Q368" s="32">
        <f t="shared" si="10"/>
        <v>16</v>
      </c>
      <c r="R368" s="32">
        <f t="shared" si="11"/>
        <v>13</v>
      </c>
      <c r="S368" s="21" t="s">
        <v>3061</v>
      </c>
    </row>
    <row r="369" spans="1:19" x14ac:dyDescent="0.25">
      <c r="A369" s="2">
        <v>367</v>
      </c>
      <c r="B369" s="3" t="s">
        <v>494</v>
      </c>
      <c r="C369" s="17" t="s">
        <v>864</v>
      </c>
      <c r="D369" s="17" t="s">
        <v>1011</v>
      </c>
      <c r="E369" s="17"/>
      <c r="F369" s="17" t="s">
        <v>2312</v>
      </c>
      <c r="G369" s="17" t="s">
        <v>104</v>
      </c>
      <c r="H369" s="17" t="s">
        <v>1142</v>
      </c>
      <c r="I369" s="17" t="s">
        <v>26</v>
      </c>
      <c r="J369" s="18" t="s">
        <v>2313</v>
      </c>
      <c r="K369" s="17" t="s">
        <v>255</v>
      </c>
      <c r="L369" s="17" t="s">
        <v>2314</v>
      </c>
      <c r="M369" s="17" t="s">
        <v>1012</v>
      </c>
      <c r="N369" s="17" t="s">
        <v>2315</v>
      </c>
      <c r="O369" s="18" t="s">
        <v>257</v>
      </c>
      <c r="P369" s="18" t="s">
        <v>258</v>
      </c>
      <c r="Q369" s="18">
        <f t="shared" si="10"/>
        <v>7</v>
      </c>
      <c r="R369" s="18">
        <f t="shared" si="11"/>
        <v>11</v>
      </c>
    </row>
    <row r="370" spans="1:19" x14ac:dyDescent="0.25">
      <c r="A370" s="3">
        <v>368</v>
      </c>
      <c r="B370" s="3" t="s">
        <v>494</v>
      </c>
      <c r="C370" s="17" t="s">
        <v>865</v>
      </c>
      <c r="D370" s="17" t="s">
        <v>1011</v>
      </c>
      <c r="E370" s="17"/>
      <c r="F370" s="17" t="s">
        <v>269</v>
      </c>
      <c r="G370" s="17" t="s">
        <v>270</v>
      </c>
      <c r="H370" s="17" t="s">
        <v>22</v>
      </c>
      <c r="I370" s="17" t="s">
        <v>28</v>
      </c>
      <c r="J370" s="18" t="s">
        <v>271</v>
      </c>
      <c r="K370" s="17" t="s">
        <v>255</v>
      </c>
      <c r="L370" s="17" t="s">
        <v>53</v>
      </c>
      <c r="M370" s="17" t="s">
        <v>1012</v>
      </c>
      <c r="N370" s="17"/>
      <c r="O370" s="18" t="s">
        <v>257</v>
      </c>
      <c r="P370" s="18" t="s">
        <v>258</v>
      </c>
      <c r="Q370" s="18">
        <f t="shared" si="10"/>
        <v>2</v>
      </c>
      <c r="R370" s="18">
        <f t="shared" si="11"/>
        <v>0</v>
      </c>
    </row>
    <row r="371" spans="1:19" x14ac:dyDescent="0.25">
      <c r="A371" s="2">
        <v>369</v>
      </c>
      <c r="B371" s="3" t="s">
        <v>490</v>
      </c>
      <c r="C371" s="17" t="s">
        <v>866</v>
      </c>
      <c r="D371" s="17" t="s">
        <v>1011</v>
      </c>
      <c r="E371" s="17" t="s">
        <v>3062</v>
      </c>
      <c r="F371" s="17" t="s">
        <v>2316</v>
      </c>
      <c r="G371" s="17" t="s">
        <v>2317</v>
      </c>
      <c r="H371" s="17" t="s">
        <v>41</v>
      </c>
      <c r="I371" s="17" t="s">
        <v>26</v>
      </c>
      <c r="J371" s="18" t="s">
        <v>2318</v>
      </c>
      <c r="K371" s="17" t="s">
        <v>23</v>
      </c>
      <c r="L371" s="17" t="s">
        <v>2319</v>
      </c>
      <c r="M371" s="17" t="s">
        <v>1012</v>
      </c>
      <c r="N371" s="17" t="s">
        <v>2320</v>
      </c>
      <c r="O371" s="18" t="s">
        <v>1017</v>
      </c>
      <c r="P371" s="18" t="s">
        <v>25</v>
      </c>
      <c r="Q371" s="32">
        <f t="shared" si="10"/>
        <v>16</v>
      </c>
      <c r="R371" s="32">
        <f t="shared" si="11"/>
        <v>15</v>
      </c>
      <c r="S371" s="21" t="s">
        <v>3063</v>
      </c>
    </row>
    <row r="372" spans="1:19" x14ac:dyDescent="0.25">
      <c r="A372" s="3">
        <v>370</v>
      </c>
      <c r="B372" s="3" t="s">
        <v>494</v>
      </c>
      <c r="C372" s="17" t="s">
        <v>867</v>
      </c>
      <c r="D372" s="17" t="s">
        <v>1011</v>
      </c>
      <c r="E372" s="17"/>
      <c r="F372" s="17" t="s">
        <v>260</v>
      </c>
      <c r="G372" s="17" t="s">
        <v>38</v>
      </c>
      <c r="H372" s="17" t="s">
        <v>42</v>
      </c>
      <c r="I372" s="17" t="s">
        <v>26</v>
      </c>
      <c r="J372" s="18" t="s">
        <v>261</v>
      </c>
      <c r="K372" s="17" t="s">
        <v>255</v>
      </c>
      <c r="L372" s="17" t="s">
        <v>262</v>
      </c>
      <c r="M372" s="17" t="s">
        <v>1012</v>
      </c>
      <c r="N372" s="17" t="s">
        <v>2321</v>
      </c>
      <c r="O372" s="18" t="s">
        <v>257</v>
      </c>
      <c r="P372" s="18" t="s">
        <v>258</v>
      </c>
      <c r="Q372" s="18">
        <f t="shared" si="10"/>
        <v>10</v>
      </c>
      <c r="R372" s="18">
        <f t="shared" si="11"/>
        <v>11</v>
      </c>
    </row>
    <row r="373" spans="1:19" x14ac:dyDescent="0.25">
      <c r="A373" s="2">
        <v>371</v>
      </c>
      <c r="B373" s="3" t="s">
        <v>490</v>
      </c>
      <c r="C373" s="17" t="s">
        <v>868</v>
      </c>
      <c r="D373" s="17" t="s">
        <v>1011</v>
      </c>
      <c r="E373" s="17" t="s">
        <v>3064</v>
      </c>
      <c r="F373" s="17" t="s">
        <v>2322</v>
      </c>
      <c r="G373" s="17" t="s">
        <v>38</v>
      </c>
      <c r="H373" s="17" t="s">
        <v>32</v>
      </c>
      <c r="I373" s="17" t="s">
        <v>26</v>
      </c>
      <c r="J373" s="18" t="s">
        <v>2323</v>
      </c>
      <c r="K373" s="17" t="s">
        <v>23</v>
      </c>
      <c r="L373" s="17" t="s">
        <v>2324</v>
      </c>
      <c r="M373" s="17" t="s">
        <v>1012</v>
      </c>
      <c r="N373" s="17" t="s">
        <v>2325</v>
      </c>
      <c r="O373" s="18" t="s">
        <v>1017</v>
      </c>
      <c r="P373" s="18" t="s">
        <v>25</v>
      </c>
      <c r="Q373" s="32">
        <f t="shared" si="10"/>
        <v>16</v>
      </c>
      <c r="R373" s="32">
        <f t="shared" si="11"/>
        <v>11</v>
      </c>
      <c r="S373" s="21" t="s">
        <v>3053</v>
      </c>
    </row>
    <row r="374" spans="1:19" x14ac:dyDescent="0.25">
      <c r="A374" s="3">
        <v>372</v>
      </c>
      <c r="B374" s="3" t="s">
        <v>490</v>
      </c>
      <c r="C374" s="17" t="s">
        <v>869</v>
      </c>
      <c r="D374" s="17" t="s">
        <v>1011</v>
      </c>
      <c r="E374" s="17" t="s">
        <v>3064</v>
      </c>
      <c r="F374" s="17" t="s">
        <v>2326</v>
      </c>
      <c r="G374" s="17" t="s">
        <v>38</v>
      </c>
      <c r="H374" s="17" t="s">
        <v>40</v>
      </c>
      <c r="I374" s="17" t="s">
        <v>26</v>
      </c>
      <c r="J374" s="18" t="s">
        <v>2327</v>
      </c>
      <c r="K374" s="17" t="s">
        <v>23</v>
      </c>
      <c r="L374" s="17" t="s">
        <v>2328</v>
      </c>
      <c r="M374" s="17" t="s">
        <v>1012</v>
      </c>
      <c r="N374" s="17" t="s">
        <v>2329</v>
      </c>
      <c r="O374" s="18" t="s">
        <v>1017</v>
      </c>
      <c r="P374" s="18" t="s">
        <v>25</v>
      </c>
      <c r="Q374" s="32">
        <f t="shared" si="10"/>
        <v>16</v>
      </c>
      <c r="R374" s="32">
        <f t="shared" si="11"/>
        <v>11</v>
      </c>
      <c r="S374" s="21" t="s">
        <v>3053</v>
      </c>
    </row>
    <row r="375" spans="1:19" x14ac:dyDescent="0.25">
      <c r="A375" s="2">
        <v>373</v>
      </c>
      <c r="B375" s="3" t="s">
        <v>490</v>
      </c>
      <c r="C375" s="17" t="s">
        <v>870</v>
      </c>
      <c r="D375" s="17" t="s">
        <v>1011</v>
      </c>
      <c r="E375" s="17" t="s">
        <v>3064</v>
      </c>
      <c r="F375" s="17" t="s">
        <v>2330</v>
      </c>
      <c r="G375" s="17" t="s">
        <v>38</v>
      </c>
      <c r="H375" s="17" t="s">
        <v>40</v>
      </c>
      <c r="I375" s="17" t="s">
        <v>22</v>
      </c>
      <c r="J375" s="18" t="s">
        <v>2331</v>
      </c>
      <c r="K375" s="17" t="s">
        <v>23</v>
      </c>
      <c r="L375" s="17" t="s">
        <v>2328</v>
      </c>
      <c r="M375" s="17" t="s">
        <v>1012</v>
      </c>
      <c r="N375" s="17" t="s">
        <v>2329</v>
      </c>
      <c r="O375" s="18" t="s">
        <v>1017</v>
      </c>
      <c r="P375" s="18" t="s">
        <v>25</v>
      </c>
      <c r="Q375" s="32">
        <f t="shared" si="10"/>
        <v>16</v>
      </c>
      <c r="R375" s="32">
        <f t="shared" si="11"/>
        <v>11</v>
      </c>
      <c r="S375" s="21" t="s">
        <v>3053</v>
      </c>
    </row>
    <row r="376" spans="1:19" x14ac:dyDescent="0.25">
      <c r="A376" s="3">
        <v>374</v>
      </c>
      <c r="B376" s="3" t="s">
        <v>490</v>
      </c>
      <c r="C376" s="17" t="s">
        <v>871</v>
      </c>
      <c r="D376" s="17" t="s">
        <v>1011</v>
      </c>
      <c r="E376" s="17" t="s">
        <v>3064</v>
      </c>
      <c r="F376" s="17" t="s">
        <v>2332</v>
      </c>
      <c r="G376" s="17" t="s">
        <v>38</v>
      </c>
      <c r="H376" s="17" t="s">
        <v>39</v>
      </c>
      <c r="I376" s="17" t="s">
        <v>26</v>
      </c>
      <c r="J376" s="18" t="s">
        <v>2333</v>
      </c>
      <c r="K376" s="17" t="s">
        <v>23</v>
      </c>
      <c r="L376" s="17" t="s">
        <v>2334</v>
      </c>
      <c r="M376" s="17" t="s">
        <v>1012</v>
      </c>
      <c r="N376" s="17" t="s">
        <v>2335</v>
      </c>
      <c r="O376" s="18" t="s">
        <v>1017</v>
      </c>
      <c r="P376" s="18" t="s">
        <v>25</v>
      </c>
      <c r="Q376" s="32">
        <f t="shared" si="10"/>
        <v>16</v>
      </c>
      <c r="R376" s="32">
        <f t="shared" si="11"/>
        <v>11</v>
      </c>
      <c r="S376" s="21" t="s">
        <v>3053</v>
      </c>
    </row>
    <row r="377" spans="1:19" x14ac:dyDescent="0.25">
      <c r="A377" s="2">
        <v>375</v>
      </c>
      <c r="B377" s="3" t="s">
        <v>490</v>
      </c>
      <c r="C377" s="17" t="s">
        <v>872</v>
      </c>
      <c r="D377" s="17" t="s">
        <v>1011</v>
      </c>
      <c r="E377" s="17" t="s">
        <v>3065</v>
      </c>
      <c r="F377" s="17" t="s">
        <v>2336</v>
      </c>
      <c r="G377" s="17" t="s">
        <v>2337</v>
      </c>
      <c r="H377" s="17" t="s">
        <v>1407</v>
      </c>
      <c r="I377" s="17" t="s">
        <v>26</v>
      </c>
      <c r="J377" s="18" t="s">
        <v>2338</v>
      </c>
      <c r="K377" s="17" t="s">
        <v>23</v>
      </c>
      <c r="L377" s="17" t="s">
        <v>2339</v>
      </c>
      <c r="M377" s="17" t="s">
        <v>1012</v>
      </c>
      <c r="N377" s="17" t="s">
        <v>2340</v>
      </c>
      <c r="O377" s="18" t="s">
        <v>1017</v>
      </c>
      <c r="P377" s="18" t="s">
        <v>25</v>
      </c>
      <c r="Q377" s="32">
        <f t="shared" si="10"/>
        <v>16</v>
      </c>
      <c r="R377" s="32">
        <f t="shared" si="11"/>
        <v>11</v>
      </c>
      <c r="S377" s="21" t="s">
        <v>3053</v>
      </c>
    </row>
    <row r="378" spans="1:19" x14ac:dyDescent="0.25">
      <c r="A378" s="3">
        <v>376</v>
      </c>
      <c r="B378" s="3" t="s">
        <v>490</v>
      </c>
      <c r="C378" s="17" t="s">
        <v>873</v>
      </c>
      <c r="D378" s="17" t="s">
        <v>1011</v>
      </c>
      <c r="E378" s="17" t="s">
        <v>3065</v>
      </c>
      <c r="F378" s="17" t="s">
        <v>2341</v>
      </c>
      <c r="G378" s="17" t="s">
        <v>2337</v>
      </c>
      <c r="H378" s="17" t="s">
        <v>2342</v>
      </c>
      <c r="I378" s="17" t="s">
        <v>26</v>
      </c>
      <c r="J378" s="18" t="s">
        <v>2343</v>
      </c>
      <c r="K378" s="17" t="s">
        <v>23</v>
      </c>
      <c r="L378" s="17" t="s">
        <v>2344</v>
      </c>
      <c r="M378" s="17" t="s">
        <v>1012</v>
      </c>
      <c r="N378" s="17" t="s">
        <v>2345</v>
      </c>
      <c r="O378" s="18" t="s">
        <v>1017</v>
      </c>
      <c r="P378" s="18" t="s">
        <v>25</v>
      </c>
      <c r="Q378" s="32">
        <f t="shared" si="10"/>
        <v>16</v>
      </c>
      <c r="R378" s="32">
        <f t="shared" si="11"/>
        <v>11</v>
      </c>
      <c r="S378" s="21" t="s">
        <v>3053</v>
      </c>
    </row>
    <row r="379" spans="1:19" x14ac:dyDescent="0.25">
      <c r="A379" s="2">
        <v>377</v>
      </c>
      <c r="B379" s="3" t="s">
        <v>490</v>
      </c>
      <c r="C379" s="17" t="s">
        <v>874</v>
      </c>
      <c r="D379" s="17" t="s">
        <v>1011</v>
      </c>
      <c r="E379" s="17" t="s">
        <v>3065</v>
      </c>
      <c r="F379" s="17" t="s">
        <v>2346</v>
      </c>
      <c r="G379" s="17" t="s">
        <v>2337</v>
      </c>
      <c r="H379" s="17" t="s">
        <v>2342</v>
      </c>
      <c r="I379" s="17" t="s">
        <v>22</v>
      </c>
      <c r="J379" s="18" t="s">
        <v>2347</v>
      </c>
      <c r="K379" s="17" t="s">
        <v>23</v>
      </c>
      <c r="L379" s="17" t="s">
        <v>2344</v>
      </c>
      <c r="M379" s="17" t="s">
        <v>1012</v>
      </c>
      <c r="N379" s="17" t="s">
        <v>2345</v>
      </c>
      <c r="O379" s="18" t="s">
        <v>1017</v>
      </c>
      <c r="P379" s="18" t="s">
        <v>25</v>
      </c>
      <c r="Q379" s="32">
        <f t="shared" si="10"/>
        <v>16</v>
      </c>
      <c r="R379" s="32">
        <f t="shared" si="11"/>
        <v>11</v>
      </c>
      <c r="S379" s="21" t="s">
        <v>3053</v>
      </c>
    </row>
    <row r="380" spans="1:19" x14ac:dyDescent="0.25">
      <c r="A380" s="3">
        <v>378</v>
      </c>
      <c r="B380" s="3" t="s">
        <v>490</v>
      </c>
      <c r="C380" s="17" t="s">
        <v>875</v>
      </c>
      <c r="D380" s="17" t="s">
        <v>1011</v>
      </c>
      <c r="E380" s="17" t="s">
        <v>3065</v>
      </c>
      <c r="F380" s="17" t="s">
        <v>2348</v>
      </c>
      <c r="G380" s="17" t="s">
        <v>2337</v>
      </c>
      <c r="H380" s="17" t="s">
        <v>2342</v>
      </c>
      <c r="I380" s="17" t="s">
        <v>28</v>
      </c>
      <c r="J380" s="18" t="s">
        <v>2349</v>
      </c>
      <c r="K380" s="17" t="s">
        <v>23</v>
      </c>
      <c r="L380" s="17" t="s">
        <v>2344</v>
      </c>
      <c r="M380" s="17" t="s">
        <v>1012</v>
      </c>
      <c r="N380" s="17" t="s">
        <v>2345</v>
      </c>
      <c r="O380" s="18" t="s">
        <v>1017</v>
      </c>
      <c r="P380" s="18" t="s">
        <v>25</v>
      </c>
      <c r="Q380" s="32">
        <f t="shared" si="10"/>
        <v>16</v>
      </c>
      <c r="R380" s="32">
        <f t="shared" si="11"/>
        <v>11</v>
      </c>
      <c r="S380" s="21" t="s">
        <v>3053</v>
      </c>
    </row>
    <row r="381" spans="1:19" x14ac:dyDescent="0.25">
      <c r="A381" s="2">
        <v>379</v>
      </c>
      <c r="B381" s="3" t="s">
        <v>490</v>
      </c>
      <c r="C381" s="17" t="s">
        <v>876</v>
      </c>
      <c r="D381" s="17" t="s">
        <v>1011</v>
      </c>
      <c r="E381" s="17" t="s">
        <v>3065</v>
      </c>
      <c r="F381" s="17" t="s">
        <v>2350</v>
      </c>
      <c r="G381" s="17" t="s">
        <v>2337</v>
      </c>
      <c r="H381" s="17" t="s">
        <v>2351</v>
      </c>
      <c r="I381" s="17" t="s">
        <v>26</v>
      </c>
      <c r="J381" s="18" t="s">
        <v>2352</v>
      </c>
      <c r="K381" s="17" t="s">
        <v>23</v>
      </c>
      <c r="L381" s="17" t="s">
        <v>2353</v>
      </c>
      <c r="M381" s="17" t="s">
        <v>1012</v>
      </c>
      <c r="N381" s="17" t="s">
        <v>2354</v>
      </c>
      <c r="O381" s="18" t="s">
        <v>1017</v>
      </c>
      <c r="P381" s="18" t="s">
        <v>25</v>
      </c>
      <c r="Q381" s="32">
        <f t="shared" si="10"/>
        <v>16</v>
      </c>
      <c r="R381" s="32">
        <f t="shared" si="11"/>
        <v>11</v>
      </c>
      <c r="S381" s="21" t="s">
        <v>3053</v>
      </c>
    </row>
    <row r="382" spans="1:19" x14ac:dyDescent="0.25">
      <c r="A382" s="3">
        <v>380</v>
      </c>
      <c r="B382" s="3" t="s">
        <v>490</v>
      </c>
      <c r="C382" s="17" t="s">
        <v>877</v>
      </c>
      <c r="D382" s="17" t="s">
        <v>1011</v>
      </c>
      <c r="E382" s="17" t="s">
        <v>3065</v>
      </c>
      <c r="F382" s="17" t="s">
        <v>2355</v>
      </c>
      <c r="G382" s="17" t="s">
        <v>2337</v>
      </c>
      <c r="H382" s="17" t="s">
        <v>2351</v>
      </c>
      <c r="I382" s="17" t="s">
        <v>22</v>
      </c>
      <c r="J382" s="18" t="s">
        <v>2356</v>
      </c>
      <c r="K382" s="17" t="s">
        <v>23</v>
      </c>
      <c r="L382" s="17" t="s">
        <v>2353</v>
      </c>
      <c r="M382" s="17" t="s">
        <v>1012</v>
      </c>
      <c r="N382" s="17" t="s">
        <v>2354</v>
      </c>
      <c r="O382" s="18" t="s">
        <v>1017</v>
      </c>
      <c r="P382" s="18" t="s">
        <v>25</v>
      </c>
      <c r="Q382" s="32">
        <f t="shared" si="10"/>
        <v>16</v>
      </c>
      <c r="R382" s="32">
        <f t="shared" si="11"/>
        <v>11</v>
      </c>
      <c r="S382" s="21" t="s">
        <v>3053</v>
      </c>
    </row>
    <row r="383" spans="1:19" x14ac:dyDescent="0.25">
      <c r="A383" s="2">
        <v>381</v>
      </c>
      <c r="B383" s="3" t="s">
        <v>490</v>
      </c>
      <c r="C383" s="17" t="s">
        <v>878</v>
      </c>
      <c r="D383" s="17" t="s">
        <v>1011</v>
      </c>
      <c r="E383" s="17" t="s">
        <v>3065</v>
      </c>
      <c r="F383" s="17" t="s">
        <v>2357</v>
      </c>
      <c r="G383" s="17" t="s">
        <v>2337</v>
      </c>
      <c r="H383" s="17" t="s">
        <v>2351</v>
      </c>
      <c r="I383" s="17" t="s">
        <v>28</v>
      </c>
      <c r="J383" s="18" t="s">
        <v>2358</v>
      </c>
      <c r="K383" s="17" t="s">
        <v>23</v>
      </c>
      <c r="L383" s="17" t="s">
        <v>2353</v>
      </c>
      <c r="M383" s="17" t="s">
        <v>1012</v>
      </c>
      <c r="N383" s="17" t="s">
        <v>2354</v>
      </c>
      <c r="O383" s="18" t="s">
        <v>1017</v>
      </c>
      <c r="P383" s="18" t="s">
        <v>25</v>
      </c>
      <c r="Q383" s="32">
        <f t="shared" si="10"/>
        <v>16</v>
      </c>
      <c r="R383" s="32">
        <f t="shared" si="11"/>
        <v>11</v>
      </c>
      <c r="S383" s="21" t="s">
        <v>3053</v>
      </c>
    </row>
    <row r="384" spans="1:19" x14ac:dyDescent="0.25">
      <c r="A384" s="3">
        <v>382</v>
      </c>
      <c r="B384" s="3" t="s">
        <v>490</v>
      </c>
      <c r="C384" s="17" t="s">
        <v>879</v>
      </c>
      <c r="D384" s="17" t="s">
        <v>1011</v>
      </c>
      <c r="E384" s="17" t="s">
        <v>3065</v>
      </c>
      <c r="F384" s="17" t="s">
        <v>2359</v>
      </c>
      <c r="G384" s="17" t="s">
        <v>2337</v>
      </c>
      <c r="H384" s="17" t="s">
        <v>2360</v>
      </c>
      <c r="I384" s="17" t="s">
        <v>26</v>
      </c>
      <c r="J384" s="18" t="s">
        <v>2361</v>
      </c>
      <c r="K384" s="17" t="s">
        <v>23</v>
      </c>
      <c r="L384" s="17" t="s">
        <v>2362</v>
      </c>
      <c r="M384" s="17" t="s">
        <v>1012</v>
      </c>
      <c r="N384" s="17" t="s">
        <v>2363</v>
      </c>
      <c r="O384" s="18" t="s">
        <v>1017</v>
      </c>
      <c r="P384" s="18" t="s">
        <v>25</v>
      </c>
      <c r="Q384" s="32">
        <f t="shared" si="10"/>
        <v>16</v>
      </c>
      <c r="R384" s="32">
        <f t="shared" si="11"/>
        <v>11</v>
      </c>
      <c r="S384" s="21" t="s">
        <v>3053</v>
      </c>
    </row>
    <row r="385" spans="1:19" x14ac:dyDescent="0.25">
      <c r="A385" s="2">
        <v>383</v>
      </c>
      <c r="B385" s="3" t="s">
        <v>490</v>
      </c>
      <c r="C385" s="17" t="s">
        <v>880</v>
      </c>
      <c r="D385" s="17" t="s">
        <v>1011</v>
      </c>
      <c r="E385" s="17" t="s">
        <v>3065</v>
      </c>
      <c r="F385" s="17" t="s">
        <v>2364</v>
      </c>
      <c r="G385" s="17" t="s">
        <v>2337</v>
      </c>
      <c r="H385" s="17" t="s">
        <v>2360</v>
      </c>
      <c r="I385" s="17" t="s">
        <v>22</v>
      </c>
      <c r="J385" s="18" t="s">
        <v>2365</v>
      </c>
      <c r="K385" s="17" t="s">
        <v>23</v>
      </c>
      <c r="L385" s="17" t="s">
        <v>2362</v>
      </c>
      <c r="M385" s="17" t="s">
        <v>1012</v>
      </c>
      <c r="N385" s="17" t="s">
        <v>2363</v>
      </c>
      <c r="O385" s="18" t="s">
        <v>1017</v>
      </c>
      <c r="P385" s="18" t="s">
        <v>25</v>
      </c>
      <c r="Q385" s="32">
        <f t="shared" si="10"/>
        <v>16</v>
      </c>
      <c r="R385" s="32">
        <f t="shared" si="11"/>
        <v>11</v>
      </c>
      <c r="S385" s="21" t="s">
        <v>3053</v>
      </c>
    </row>
    <row r="386" spans="1:19" x14ac:dyDescent="0.25">
      <c r="A386" s="3">
        <v>384</v>
      </c>
      <c r="B386" s="3" t="s">
        <v>490</v>
      </c>
      <c r="C386" s="17" t="s">
        <v>881</v>
      </c>
      <c r="D386" s="17" t="s">
        <v>1011</v>
      </c>
      <c r="E386" s="17" t="s">
        <v>3065</v>
      </c>
      <c r="F386" s="17" t="s">
        <v>2366</v>
      </c>
      <c r="G386" s="17" t="s">
        <v>2337</v>
      </c>
      <c r="H386" s="17" t="s">
        <v>2360</v>
      </c>
      <c r="I386" s="17" t="s">
        <v>28</v>
      </c>
      <c r="J386" s="18" t="s">
        <v>2367</v>
      </c>
      <c r="K386" s="17" t="s">
        <v>23</v>
      </c>
      <c r="L386" s="17" t="s">
        <v>2362</v>
      </c>
      <c r="M386" s="17" t="s">
        <v>1012</v>
      </c>
      <c r="N386" s="17" t="s">
        <v>2363</v>
      </c>
      <c r="O386" s="18" t="s">
        <v>1017</v>
      </c>
      <c r="P386" s="18" t="s">
        <v>25</v>
      </c>
      <c r="Q386" s="32">
        <f t="shared" si="10"/>
        <v>16</v>
      </c>
      <c r="R386" s="32">
        <f t="shared" si="11"/>
        <v>11</v>
      </c>
      <c r="S386" s="21" t="s">
        <v>3053</v>
      </c>
    </row>
    <row r="387" spans="1:19" x14ac:dyDescent="0.25">
      <c r="A387" s="2">
        <v>385</v>
      </c>
      <c r="B387" s="3" t="s">
        <v>490</v>
      </c>
      <c r="C387" s="17" t="s">
        <v>882</v>
      </c>
      <c r="D387" s="17" t="s">
        <v>1011</v>
      </c>
      <c r="E387" s="17" t="s">
        <v>3066</v>
      </c>
      <c r="F387" s="17" t="s">
        <v>2368</v>
      </c>
      <c r="G387" s="17" t="s">
        <v>2369</v>
      </c>
      <c r="H387" s="17" t="s">
        <v>60</v>
      </c>
      <c r="I387" s="17" t="s">
        <v>26</v>
      </c>
      <c r="J387" s="18" t="s">
        <v>2370</v>
      </c>
      <c r="K387" s="17" t="s">
        <v>23</v>
      </c>
      <c r="L387" s="17" t="s">
        <v>2371</v>
      </c>
      <c r="M387" s="17" t="s">
        <v>1012</v>
      </c>
      <c r="N387" s="17" t="s">
        <v>2372</v>
      </c>
      <c r="O387" s="18" t="s">
        <v>1017</v>
      </c>
      <c r="P387" s="18" t="s">
        <v>25</v>
      </c>
      <c r="Q387" s="32">
        <f t="shared" ref="Q387:Q450" si="12">LEN(L387)</f>
        <v>16</v>
      </c>
      <c r="R387" s="32">
        <f t="shared" ref="R387:R450" si="13">LEN(N387)</f>
        <v>15</v>
      </c>
      <c r="S387" s="21" t="s">
        <v>2915</v>
      </c>
    </row>
    <row r="388" spans="1:19" x14ac:dyDescent="0.25">
      <c r="A388" s="3">
        <v>386</v>
      </c>
      <c r="B388" s="3" t="s">
        <v>490</v>
      </c>
      <c r="C388" s="17" t="s">
        <v>883</v>
      </c>
      <c r="D388" s="17" t="s">
        <v>1011</v>
      </c>
      <c r="E388" s="17" t="s">
        <v>3067</v>
      </c>
      <c r="F388" s="17" t="s">
        <v>2373</v>
      </c>
      <c r="G388" s="17" t="s">
        <v>2374</v>
      </c>
      <c r="H388" s="17" t="s">
        <v>37</v>
      </c>
      <c r="I388" s="17" t="s">
        <v>26</v>
      </c>
      <c r="J388" s="18" t="s">
        <v>2375</v>
      </c>
      <c r="K388" s="17" t="s">
        <v>23</v>
      </c>
      <c r="L388" s="17" t="s">
        <v>2376</v>
      </c>
      <c r="M388" s="17" t="s">
        <v>1012</v>
      </c>
      <c r="N388" s="17" t="s">
        <v>2377</v>
      </c>
      <c r="O388" s="18" t="s">
        <v>1017</v>
      </c>
      <c r="P388" s="18" t="s">
        <v>25</v>
      </c>
      <c r="Q388" s="32">
        <f t="shared" si="12"/>
        <v>16</v>
      </c>
      <c r="R388" s="32">
        <f t="shared" si="13"/>
        <v>11</v>
      </c>
      <c r="S388" s="21" t="s">
        <v>3068</v>
      </c>
    </row>
    <row r="389" spans="1:19" x14ac:dyDescent="0.25">
      <c r="A389" s="2">
        <v>387</v>
      </c>
      <c r="B389" s="3" t="s">
        <v>494</v>
      </c>
      <c r="C389" s="17" t="s">
        <v>884</v>
      </c>
      <c r="D389" s="17" t="s">
        <v>1011</v>
      </c>
      <c r="E389" s="17"/>
      <c r="F389" s="17" t="s">
        <v>2378</v>
      </c>
      <c r="G389" s="17" t="s">
        <v>2379</v>
      </c>
      <c r="H389" s="17" t="s">
        <v>39</v>
      </c>
      <c r="I389" s="17" t="s">
        <v>26</v>
      </c>
      <c r="J389" s="18" t="s">
        <v>2380</v>
      </c>
      <c r="K389" s="17" t="s">
        <v>255</v>
      </c>
      <c r="L389" s="17" t="s">
        <v>2381</v>
      </c>
      <c r="M389" s="17" t="s">
        <v>1012</v>
      </c>
      <c r="N389" s="17" t="s">
        <v>2382</v>
      </c>
      <c r="O389" s="18" t="s">
        <v>257</v>
      </c>
      <c r="P389" s="18" t="s">
        <v>258</v>
      </c>
      <c r="Q389" s="18">
        <f t="shared" si="12"/>
        <v>10</v>
      </c>
      <c r="R389" s="18">
        <f t="shared" si="13"/>
        <v>11</v>
      </c>
    </row>
    <row r="390" spans="1:19" x14ac:dyDescent="0.25">
      <c r="A390" s="3">
        <v>388</v>
      </c>
      <c r="B390" s="3" t="s">
        <v>490</v>
      </c>
      <c r="C390" s="17" t="s">
        <v>885</v>
      </c>
      <c r="D390" s="17" t="s">
        <v>1011</v>
      </c>
      <c r="E390" s="17" t="s">
        <v>3069</v>
      </c>
      <c r="F390" s="17" t="s">
        <v>2383</v>
      </c>
      <c r="G390" s="17" t="s">
        <v>2384</v>
      </c>
      <c r="H390" s="17" t="s">
        <v>26</v>
      </c>
      <c r="I390" s="17" t="s">
        <v>26</v>
      </c>
      <c r="J390" s="18" t="s">
        <v>2385</v>
      </c>
      <c r="K390" s="17" t="s">
        <v>23</v>
      </c>
      <c r="L390" s="17" t="s">
        <v>2386</v>
      </c>
      <c r="M390" s="17" t="s">
        <v>1012</v>
      </c>
      <c r="N390" s="17" t="s">
        <v>2387</v>
      </c>
      <c r="O390" s="18" t="s">
        <v>1017</v>
      </c>
      <c r="P390" s="18" t="s">
        <v>25</v>
      </c>
      <c r="Q390" s="32">
        <f t="shared" si="12"/>
        <v>16</v>
      </c>
      <c r="R390" s="32">
        <f t="shared" si="13"/>
        <v>11</v>
      </c>
      <c r="S390" s="21" t="s">
        <v>3070</v>
      </c>
    </row>
    <row r="391" spans="1:19" x14ac:dyDescent="0.25">
      <c r="A391" s="2">
        <v>389</v>
      </c>
      <c r="B391" s="3" t="s">
        <v>490</v>
      </c>
      <c r="C391" s="17" t="s">
        <v>886</v>
      </c>
      <c r="D391" s="17" t="s">
        <v>1011</v>
      </c>
      <c r="E391" s="17" t="s">
        <v>3069</v>
      </c>
      <c r="F391" s="17" t="s">
        <v>2388</v>
      </c>
      <c r="G391" s="17" t="s">
        <v>2384</v>
      </c>
      <c r="H391" s="17" t="s">
        <v>26</v>
      </c>
      <c r="I391" s="17" t="s">
        <v>22</v>
      </c>
      <c r="J391" s="18" t="s">
        <v>2389</v>
      </c>
      <c r="K391" s="17" t="s">
        <v>23</v>
      </c>
      <c r="L391" s="17" t="s">
        <v>2386</v>
      </c>
      <c r="M391" s="17" t="s">
        <v>1012</v>
      </c>
      <c r="N391" s="17" t="s">
        <v>2387</v>
      </c>
      <c r="O391" s="18" t="s">
        <v>1017</v>
      </c>
      <c r="P391" s="18" t="s">
        <v>25</v>
      </c>
      <c r="Q391" s="32">
        <f t="shared" si="12"/>
        <v>16</v>
      </c>
      <c r="R391" s="32">
        <f t="shared" si="13"/>
        <v>11</v>
      </c>
      <c r="S391" s="21" t="s">
        <v>3070</v>
      </c>
    </row>
    <row r="392" spans="1:19" x14ac:dyDescent="0.25">
      <c r="A392" s="3">
        <v>390</v>
      </c>
      <c r="B392" s="3" t="s">
        <v>490</v>
      </c>
      <c r="C392" s="17" t="s">
        <v>887</v>
      </c>
      <c r="D392" s="17" t="s">
        <v>1011</v>
      </c>
      <c r="E392" s="17" t="s">
        <v>3069</v>
      </c>
      <c r="F392" s="17" t="s">
        <v>103</v>
      </c>
      <c r="G392" s="17" t="s">
        <v>2384</v>
      </c>
      <c r="H392" s="17" t="s">
        <v>26</v>
      </c>
      <c r="I392" s="17" t="s">
        <v>28</v>
      </c>
      <c r="J392" s="18" t="s">
        <v>2390</v>
      </c>
      <c r="K392" s="17" t="s">
        <v>23</v>
      </c>
      <c r="L392" s="17" t="s">
        <v>2386</v>
      </c>
      <c r="M392" s="17" t="s">
        <v>1012</v>
      </c>
      <c r="N392" s="17" t="s">
        <v>2387</v>
      </c>
      <c r="O392" s="18" t="s">
        <v>1017</v>
      </c>
      <c r="P392" s="18" t="s">
        <v>25</v>
      </c>
      <c r="Q392" s="32">
        <f t="shared" si="12"/>
        <v>16</v>
      </c>
      <c r="R392" s="32">
        <f t="shared" si="13"/>
        <v>11</v>
      </c>
      <c r="S392" s="21" t="s">
        <v>3070</v>
      </c>
    </row>
    <row r="393" spans="1:19" x14ac:dyDescent="0.25">
      <c r="A393" s="2">
        <v>391</v>
      </c>
      <c r="B393" s="3" t="s">
        <v>490</v>
      </c>
      <c r="C393" s="17" t="s">
        <v>888</v>
      </c>
      <c r="D393" s="17" t="s">
        <v>1011</v>
      </c>
      <c r="E393" s="17" t="s">
        <v>3069</v>
      </c>
      <c r="F393" s="17" t="s">
        <v>2391</v>
      </c>
      <c r="G393" s="17" t="s">
        <v>2384</v>
      </c>
      <c r="H393" s="17" t="s">
        <v>26</v>
      </c>
      <c r="I393" s="17" t="s">
        <v>27</v>
      </c>
      <c r="J393" s="18" t="s">
        <v>2392</v>
      </c>
      <c r="K393" s="17" t="s">
        <v>23</v>
      </c>
      <c r="L393" s="17" t="s">
        <v>2386</v>
      </c>
      <c r="M393" s="17" t="s">
        <v>1012</v>
      </c>
      <c r="N393" s="17" t="s">
        <v>2387</v>
      </c>
      <c r="O393" s="18" t="s">
        <v>1017</v>
      </c>
      <c r="P393" s="18" t="s">
        <v>25</v>
      </c>
      <c r="Q393" s="32">
        <f t="shared" si="12"/>
        <v>16</v>
      </c>
      <c r="R393" s="32">
        <f t="shared" si="13"/>
        <v>11</v>
      </c>
      <c r="S393" s="21" t="s">
        <v>3070</v>
      </c>
    </row>
    <row r="394" spans="1:19" x14ac:dyDescent="0.25">
      <c r="A394" s="3">
        <v>392</v>
      </c>
      <c r="B394" s="3" t="s">
        <v>490</v>
      </c>
      <c r="C394" s="17" t="s">
        <v>889</v>
      </c>
      <c r="D394" s="17" t="s">
        <v>1011</v>
      </c>
      <c r="E394" s="17" t="s">
        <v>3071</v>
      </c>
      <c r="F394" s="17" t="s">
        <v>2393</v>
      </c>
      <c r="G394" s="17" t="s">
        <v>2394</v>
      </c>
      <c r="H394" s="17" t="s">
        <v>27</v>
      </c>
      <c r="I394" s="17" t="s">
        <v>22</v>
      </c>
      <c r="J394" s="18" t="s">
        <v>2395</v>
      </c>
      <c r="K394" s="17" t="s">
        <v>23</v>
      </c>
      <c r="L394" s="17" t="s">
        <v>2396</v>
      </c>
      <c r="M394" s="17" t="s">
        <v>1012</v>
      </c>
      <c r="N394" s="17" t="s">
        <v>2397</v>
      </c>
      <c r="O394" s="18" t="s">
        <v>1017</v>
      </c>
      <c r="P394" s="18" t="s">
        <v>25</v>
      </c>
      <c r="Q394" s="32">
        <f t="shared" si="12"/>
        <v>16</v>
      </c>
      <c r="R394" s="32">
        <f t="shared" si="13"/>
        <v>14</v>
      </c>
      <c r="S394" s="21" t="s">
        <v>3072</v>
      </c>
    </row>
    <row r="395" spans="1:19" x14ac:dyDescent="0.25">
      <c r="A395" s="2">
        <v>393</v>
      </c>
      <c r="B395" s="3" t="s">
        <v>490</v>
      </c>
      <c r="C395" s="17" t="s">
        <v>890</v>
      </c>
      <c r="D395" s="17" t="s">
        <v>1011</v>
      </c>
      <c r="E395" s="17" t="s">
        <v>3073</v>
      </c>
      <c r="F395" s="17" t="s">
        <v>2398</v>
      </c>
      <c r="G395" s="17" t="s">
        <v>2399</v>
      </c>
      <c r="H395" s="17" t="s">
        <v>35</v>
      </c>
      <c r="I395" s="17" t="s">
        <v>26</v>
      </c>
      <c r="J395" s="18" t="s">
        <v>2400</v>
      </c>
      <c r="K395" s="17" t="s">
        <v>23</v>
      </c>
      <c r="L395" s="17" t="s">
        <v>2401</v>
      </c>
      <c r="M395" s="17" t="s">
        <v>1012</v>
      </c>
      <c r="N395" s="17" t="s">
        <v>2402</v>
      </c>
      <c r="O395" s="18" t="s">
        <v>1017</v>
      </c>
      <c r="P395" s="18" t="s">
        <v>25</v>
      </c>
      <c r="Q395" s="32">
        <f t="shared" si="12"/>
        <v>16</v>
      </c>
      <c r="R395" s="32">
        <f t="shared" si="13"/>
        <v>15</v>
      </c>
      <c r="S395" s="21" t="s">
        <v>3074</v>
      </c>
    </row>
    <row r="396" spans="1:19" x14ac:dyDescent="0.25">
      <c r="A396" s="3">
        <v>394</v>
      </c>
      <c r="B396" s="3" t="s">
        <v>490</v>
      </c>
      <c r="C396" s="17" t="s">
        <v>891</v>
      </c>
      <c r="D396" s="17" t="s">
        <v>1011</v>
      </c>
      <c r="E396" s="17" t="s">
        <v>3075</v>
      </c>
      <c r="F396" s="17" t="s">
        <v>2403</v>
      </c>
      <c r="G396" s="17" t="s">
        <v>2404</v>
      </c>
      <c r="H396" s="17" t="s">
        <v>34</v>
      </c>
      <c r="I396" s="17" t="s">
        <v>26</v>
      </c>
      <c r="J396" s="18" t="s">
        <v>2405</v>
      </c>
      <c r="K396" s="17" t="s">
        <v>23</v>
      </c>
      <c r="L396" s="17" t="s">
        <v>2406</v>
      </c>
      <c r="M396" s="17" t="s">
        <v>1012</v>
      </c>
      <c r="N396" s="17" t="s">
        <v>2407</v>
      </c>
      <c r="O396" s="18" t="s">
        <v>1017</v>
      </c>
      <c r="P396" s="18" t="s">
        <v>25</v>
      </c>
      <c r="Q396" s="32">
        <f t="shared" si="12"/>
        <v>16</v>
      </c>
      <c r="R396" s="32">
        <f t="shared" si="13"/>
        <v>13</v>
      </c>
      <c r="S396" s="21" t="s">
        <v>3076</v>
      </c>
    </row>
    <row r="397" spans="1:19" x14ac:dyDescent="0.25">
      <c r="A397" s="2">
        <v>395</v>
      </c>
      <c r="B397" s="3" t="s">
        <v>490</v>
      </c>
      <c r="C397" s="17" t="s">
        <v>892</v>
      </c>
      <c r="D397" s="17" t="s">
        <v>1011</v>
      </c>
      <c r="E397" s="17" t="s">
        <v>3077</v>
      </c>
      <c r="F397" s="17" t="s">
        <v>2408</v>
      </c>
      <c r="G397" s="17" t="s">
        <v>2409</v>
      </c>
      <c r="H397" s="17" t="s">
        <v>22</v>
      </c>
      <c r="I397" s="17" t="s">
        <v>26</v>
      </c>
      <c r="J397" s="18" t="s">
        <v>2410</v>
      </c>
      <c r="K397" s="17" t="s">
        <v>23</v>
      </c>
      <c r="L397" s="17" t="s">
        <v>2411</v>
      </c>
      <c r="M397" s="17" t="s">
        <v>1012</v>
      </c>
      <c r="N397" s="17" t="s">
        <v>2412</v>
      </c>
      <c r="O397" s="18" t="s">
        <v>1017</v>
      </c>
      <c r="P397" s="18" t="s">
        <v>25</v>
      </c>
      <c r="Q397" s="32">
        <f t="shared" si="12"/>
        <v>16</v>
      </c>
      <c r="R397" s="32">
        <f t="shared" si="13"/>
        <v>14</v>
      </c>
      <c r="S397" s="21" t="s">
        <v>3104</v>
      </c>
    </row>
    <row r="398" spans="1:19" x14ac:dyDescent="0.25">
      <c r="A398" s="3">
        <v>396</v>
      </c>
      <c r="B398" s="3" t="s">
        <v>490</v>
      </c>
      <c r="C398" s="17" t="s">
        <v>893</v>
      </c>
      <c r="D398" s="17" t="s">
        <v>1011</v>
      </c>
      <c r="E398" s="17" t="s">
        <v>3105</v>
      </c>
      <c r="F398" s="17" t="s">
        <v>2413</v>
      </c>
      <c r="G398" s="17" t="s">
        <v>2414</v>
      </c>
      <c r="H398" s="17" t="s">
        <v>33</v>
      </c>
      <c r="I398" s="17" t="s">
        <v>26</v>
      </c>
      <c r="J398" s="18" t="s">
        <v>2415</v>
      </c>
      <c r="K398" s="17" t="s">
        <v>23</v>
      </c>
      <c r="L398" s="17" t="s">
        <v>2416</v>
      </c>
      <c r="M398" s="17" t="s">
        <v>1012</v>
      </c>
      <c r="N398" s="17" t="s">
        <v>2417</v>
      </c>
      <c r="O398" s="18" t="s">
        <v>1017</v>
      </c>
      <c r="P398" s="18" t="s">
        <v>25</v>
      </c>
      <c r="Q398" s="32">
        <f t="shared" si="12"/>
        <v>16</v>
      </c>
      <c r="R398" s="32">
        <f t="shared" si="13"/>
        <v>15</v>
      </c>
      <c r="S398" s="21" t="s">
        <v>3046</v>
      </c>
    </row>
    <row r="399" spans="1:19" x14ac:dyDescent="0.25">
      <c r="A399" s="2">
        <v>397</v>
      </c>
      <c r="B399" s="3" t="s">
        <v>490</v>
      </c>
      <c r="C399" s="17" t="s">
        <v>894</v>
      </c>
      <c r="D399" s="17" t="s">
        <v>1011</v>
      </c>
      <c r="E399" s="17" t="s">
        <v>3106</v>
      </c>
      <c r="F399" s="17" t="s">
        <v>2418</v>
      </c>
      <c r="G399" s="17" t="s">
        <v>2419</v>
      </c>
      <c r="H399" s="17" t="s">
        <v>28</v>
      </c>
      <c r="I399" s="17" t="s">
        <v>22</v>
      </c>
      <c r="J399" s="18" t="s">
        <v>2420</v>
      </c>
      <c r="K399" s="17" t="s">
        <v>23</v>
      </c>
      <c r="L399" s="17" t="s">
        <v>2421</v>
      </c>
      <c r="M399" s="17" t="s">
        <v>1012</v>
      </c>
      <c r="N399" s="17" t="s">
        <v>2422</v>
      </c>
      <c r="O399" s="18" t="s">
        <v>1017</v>
      </c>
      <c r="P399" s="18" t="s">
        <v>25</v>
      </c>
      <c r="Q399" s="32">
        <f t="shared" si="12"/>
        <v>16</v>
      </c>
      <c r="R399" s="32">
        <f t="shared" si="13"/>
        <v>15</v>
      </c>
      <c r="S399" s="21" t="s">
        <v>2915</v>
      </c>
    </row>
    <row r="400" spans="1:19" x14ac:dyDescent="0.25">
      <c r="A400" s="3">
        <v>398</v>
      </c>
      <c r="B400" s="3" t="s">
        <v>494</v>
      </c>
      <c r="C400" s="17" t="s">
        <v>895</v>
      </c>
      <c r="D400" s="17" t="s">
        <v>1011</v>
      </c>
      <c r="E400" s="17"/>
      <c r="F400" s="17" t="s">
        <v>2423</v>
      </c>
      <c r="G400" s="17" t="s">
        <v>2424</v>
      </c>
      <c r="H400" s="17" t="s">
        <v>32</v>
      </c>
      <c r="I400" s="17" t="s">
        <v>26</v>
      </c>
      <c r="J400" s="18" t="s">
        <v>2425</v>
      </c>
      <c r="K400" s="17" t="s">
        <v>255</v>
      </c>
      <c r="L400" s="17" t="s">
        <v>2426</v>
      </c>
      <c r="M400" s="17" t="s">
        <v>1012</v>
      </c>
      <c r="N400" s="17" t="s">
        <v>2427</v>
      </c>
      <c r="O400" s="18" t="s">
        <v>257</v>
      </c>
      <c r="P400" s="18" t="s">
        <v>258</v>
      </c>
      <c r="Q400" s="18">
        <f t="shared" si="12"/>
        <v>10</v>
      </c>
      <c r="R400" s="18">
        <f t="shared" si="13"/>
        <v>11</v>
      </c>
    </row>
    <row r="401" spans="1:19" x14ac:dyDescent="0.25">
      <c r="A401" s="2">
        <v>399</v>
      </c>
      <c r="B401" s="3" t="s">
        <v>490</v>
      </c>
      <c r="C401" s="17" t="s">
        <v>896</v>
      </c>
      <c r="D401" s="17" t="s">
        <v>1011</v>
      </c>
      <c r="E401" s="17" t="s">
        <v>3107</v>
      </c>
      <c r="F401" s="17" t="s">
        <v>2428</v>
      </c>
      <c r="G401" s="17" t="s">
        <v>2429</v>
      </c>
      <c r="H401" s="17" t="s">
        <v>32</v>
      </c>
      <c r="I401" s="17" t="s">
        <v>28</v>
      </c>
      <c r="J401" s="18" t="s">
        <v>2430</v>
      </c>
      <c r="K401" s="17" t="s">
        <v>23</v>
      </c>
      <c r="L401" s="17" t="s">
        <v>2431</v>
      </c>
      <c r="M401" s="17" t="s">
        <v>1012</v>
      </c>
      <c r="N401" s="17" t="s">
        <v>2432</v>
      </c>
      <c r="O401" s="18" t="s">
        <v>1017</v>
      </c>
      <c r="P401" s="18" t="s">
        <v>25</v>
      </c>
      <c r="Q401" s="32">
        <f t="shared" si="12"/>
        <v>16</v>
      </c>
      <c r="R401" s="32">
        <f t="shared" si="13"/>
        <v>11</v>
      </c>
      <c r="S401" s="21" t="s">
        <v>2912</v>
      </c>
    </row>
    <row r="402" spans="1:19" x14ac:dyDescent="0.25">
      <c r="A402" s="3">
        <v>400</v>
      </c>
      <c r="B402" s="3" t="s">
        <v>490</v>
      </c>
      <c r="C402" s="17" t="s">
        <v>897</v>
      </c>
      <c r="D402" s="17" t="s">
        <v>1011</v>
      </c>
      <c r="E402" s="17" t="s">
        <v>3107</v>
      </c>
      <c r="F402" s="17" t="s">
        <v>2433</v>
      </c>
      <c r="G402" s="17" t="s">
        <v>2429</v>
      </c>
      <c r="H402" s="17" t="s">
        <v>2434</v>
      </c>
      <c r="I402" s="17" t="s">
        <v>26</v>
      </c>
      <c r="J402" s="18" t="s">
        <v>2435</v>
      </c>
      <c r="K402" s="17" t="s">
        <v>23</v>
      </c>
      <c r="L402" s="17" t="s">
        <v>2436</v>
      </c>
      <c r="M402" s="17" t="s">
        <v>1012</v>
      </c>
      <c r="N402" s="17" t="s">
        <v>2437</v>
      </c>
      <c r="O402" s="18" t="s">
        <v>1017</v>
      </c>
      <c r="P402" s="18" t="s">
        <v>25</v>
      </c>
      <c r="Q402" s="32">
        <f t="shared" si="12"/>
        <v>16</v>
      </c>
      <c r="R402" s="32">
        <f t="shared" si="13"/>
        <v>13</v>
      </c>
      <c r="S402" s="21" t="s">
        <v>3108</v>
      </c>
    </row>
    <row r="403" spans="1:19" x14ac:dyDescent="0.25">
      <c r="A403" s="2">
        <v>401</v>
      </c>
      <c r="B403" s="3" t="s">
        <v>490</v>
      </c>
      <c r="C403" s="17" t="s">
        <v>898</v>
      </c>
      <c r="D403" s="17" t="s">
        <v>1011</v>
      </c>
      <c r="E403" s="17" t="s">
        <v>3109</v>
      </c>
      <c r="F403" s="17" t="s">
        <v>2438</v>
      </c>
      <c r="G403" s="17" t="s">
        <v>2439</v>
      </c>
      <c r="H403" s="17" t="s">
        <v>82</v>
      </c>
      <c r="I403" s="17" t="s">
        <v>28</v>
      </c>
      <c r="J403" s="18" t="s">
        <v>2440</v>
      </c>
      <c r="K403" s="17" t="s">
        <v>23</v>
      </c>
      <c r="L403" s="17" t="s">
        <v>2441</v>
      </c>
      <c r="M403" s="17" t="s">
        <v>1012</v>
      </c>
      <c r="N403" s="17" t="s">
        <v>2442</v>
      </c>
      <c r="O403" s="18" t="s">
        <v>1017</v>
      </c>
      <c r="P403" s="18" t="s">
        <v>25</v>
      </c>
      <c r="Q403" s="32">
        <f t="shared" si="12"/>
        <v>16</v>
      </c>
      <c r="R403" s="32">
        <f t="shared" si="13"/>
        <v>14</v>
      </c>
      <c r="S403" s="21" t="s">
        <v>3046</v>
      </c>
    </row>
    <row r="404" spans="1:19" x14ac:dyDescent="0.25">
      <c r="A404" s="3">
        <v>402</v>
      </c>
      <c r="B404" s="3" t="s">
        <v>490</v>
      </c>
      <c r="C404" s="17" t="s">
        <v>899</v>
      </c>
      <c r="D404" s="17" t="s">
        <v>1011</v>
      </c>
      <c r="E404" s="17" t="s">
        <v>3110</v>
      </c>
      <c r="F404" s="17" t="s">
        <v>2443</v>
      </c>
      <c r="G404" s="17" t="s">
        <v>2444</v>
      </c>
      <c r="H404" s="17" t="s">
        <v>31</v>
      </c>
      <c r="I404" s="17" t="s">
        <v>26</v>
      </c>
      <c r="J404" s="18" t="s">
        <v>2445</v>
      </c>
      <c r="K404" s="17" t="s">
        <v>23</v>
      </c>
      <c r="L404" s="17" t="s">
        <v>2446</v>
      </c>
      <c r="M404" s="17" t="s">
        <v>1012</v>
      </c>
      <c r="N404" s="17" t="s">
        <v>2447</v>
      </c>
      <c r="O404" s="18" t="s">
        <v>1017</v>
      </c>
      <c r="P404" s="18" t="s">
        <v>25</v>
      </c>
      <c r="Q404" s="32">
        <f t="shared" si="12"/>
        <v>16</v>
      </c>
      <c r="R404" s="32">
        <f t="shared" si="13"/>
        <v>11</v>
      </c>
      <c r="S404" s="21" t="s">
        <v>3111</v>
      </c>
    </row>
    <row r="405" spans="1:19" x14ac:dyDescent="0.25">
      <c r="A405" s="2">
        <v>403</v>
      </c>
      <c r="B405" s="3" t="s">
        <v>490</v>
      </c>
      <c r="C405" s="17" t="s">
        <v>900</v>
      </c>
      <c r="D405" s="17" t="s">
        <v>1011</v>
      </c>
      <c r="E405" s="17" t="s">
        <v>3110</v>
      </c>
      <c r="F405" s="17" t="s">
        <v>2448</v>
      </c>
      <c r="G405" s="17" t="s">
        <v>2444</v>
      </c>
      <c r="H405" s="17" t="s">
        <v>30</v>
      </c>
      <c r="I405" s="17" t="s">
        <v>26</v>
      </c>
      <c r="J405" s="18" t="s">
        <v>2449</v>
      </c>
      <c r="K405" s="17" t="s">
        <v>23</v>
      </c>
      <c r="L405" s="17" t="s">
        <v>2450</v>
      </c>
      <c r="M405" s="17" t="s">
        <v>1012</v>
      </c>
      <c r="N405" s="17" t="s">
        <v>2451</v>
      </c>
      <c r="O405" s="18" t="s">
        <v>1017</v>
      </c>
      <c r="P405" s="18" t="s">
        <v>25</v>
      </c>
      <c r="Q405" s="32">
        <f t="shared" si="12"/>
        <v>16</v>
      </c>
      <c r="R405" s="32">
        <f t="shared" si="13"/>
        <v>11</v>
      </c>
      <c r="S405" s="21" t="s">
        <v>3112</v>
      </c>
    </row>
    <row r="406" spans="1:19" x14ac:dyDescent="0.25">
      <c r="A406" s="3">
        <v>404</v>
      </c>
      <c r="B406" s="3" t="s">
        <v>490</v>
      </c>
      <c r="C406" s="17" t="s">
        <v>901</v>
      </c>
      <c r="D406" s="17" t="s">
        <v>1011</v>
      </c>
      <c r="E406" s="17"/>
      <c r="F406" s="17" t="s">
        <v>103</v>
      </c>
      <c r="G406" s="17" t="s">
        <v>2444</v>
      </c>
      <c r="H406" s="17" t="s">
        <v>30</v>
      </c>
      <c r="I406" s="17" t="s">
        <v>22</v>
      </c>
      <c r="J406" s="18" t="s">
        <v>2452</v>
      </c>
      <c r="K406" s="17" t="s">
        <v>23</v>
      </c>
      <c r="L406" s="17" t="s">
        <v>2450</v>
      </c>
      <c r="M406" s="17" t="s">
        <v>1012</v>
      </c>
      <c r="N406" s="17" t="s">
        <v>2451</v>
      </c>
      <c r="O406" s="18" t="s">
        <v>1017</v>
      </c>
      <c r="P406" s="18" t="s">
        <v>25</v>
      </c>
      <c r="Q406" s="32">
        <f t="shared" si="12"/>
        <v>16</v>
      </c>
      <c r="R406" s="32">
        <f t="shared" si="13"/>
        <v>11</v>
      </c>
      <c r="S406" s="21"/>
    </row>
    <row r="407" spans="1:19" x14ac:dyDescent="0.25">
      <c r="A407" s="2">
        <v>405</v>
      </c>
      <c r="B407" s="3" t="s">
        <v>490</v>
      </c>
      <c r="C407" s="17" t="s">
        <v>902</v>
      </c>
      <c r="D407" s="17" t="s">
        <v>1011</v>
      </c>
      <c r="E407" s="17" t="s">
        <v>3113</v>
      </c>
      <c r="F407" s="17" t="s">
        <v>2453</v>
      </c>
      <c r="G407" s="17" t="s">
        <v>2454</v>
      </c>
      <c r="H407" s="17" t="s">
        <v>2455</v>
      </c>
      <c r="I407" s="17" t="s">
        <v>26</v>
      </c>
      <c r="J407" s="18" t="s">
        <v>2456</v>
      </c>
      <c r="K407" s="17" t="s">
        <v>23</v>
      </c>
      <c r="L407" s="17" t="s">
        <v>2457</v>
      </c>
      <c r="M407" s="17" t="s">
        <v>1012</v>
      </c>
      <c r="N407" s="17" t="s">
        <v>2458</v>
      </c>
      <c r="O407" s="18" t="s">
        <v>1017</v>
      </c>
      <c r="P407" s="18" t="s">
        <v>25</v>
      </c>
      <c r="Q407" s="32">
        <f t="shared" si="12"/>
        <v>16</v>
      </c>
      <c r="R407" s="32">
        <f t="shared" si="13"/>
        <v>10</v>
      </c>
      <c r="S407" s="21" t="s">
        <v>3114</v>
      </c>
    </row>
    <row r="408" spans="1:19" x14ac:dyDescent="0.25">
      <c r="A408" s="3">
        <v>406</v>
      </c>
      <c r="B408" s="3" t="s">
        <v>490</v>
      </c>
      <c r="C408" s="17" t="s">
        <v>903</v>
      </c>
      <c r="D408" s="17" t="s">
        <v>1011</v>
      </c>
      <c r="E408" s="17" t="s">
        <v>3113</v>
      </c>
      <c r="F408" s="17" t="s">
        <v>2459</v>
      </c>
      <c r="G408" s="17" t="s">
        <v>2454</v>
      </c>
      <c r="H408" s="17" t="s">
        <v>2455</v>
      </c>
      <c r="I408" s="17" t="s">
        <v>22</v>
      </c>
      <c r="J408" s="18" t="s">
        <v>2460</v>
      </c>
      <c r="K408" s="17" t="s">
        <v>23</v>
      </c>
      <c r="L408" s="17" t="s">
        <v>2457</v>
      </c>
      <c r="M408" s="17" t="s">
        <v>1012</v>
      </c>
      <c r="N408" s="17" t="s">
        <v>2458</v>
      </c>
      <c r="O408" s="18" t="s">
        <v>1017</v>
      </c>
      <c r="P408" s="18" t="s">
        <v>25</v>
      </c>
      <c r="Q408" s="32">
        <f t="shared" si="12"/>
        <v>16</v>
      </c>
      <c r="R408" s="32">
        <f t="shared" si="13"/>
        <v>10</v>
      </c>
      <c r="S408" s="21" t="s">
        <v>2915</v>
      </c>
    </row>
    <row r="409" spans="1:19" x14ac:dyDescent="0.25">
      <c r="A409" s="2">
        <v>407</v>
      </c>
      <c r="B409" s="3" t="s">
        <v>490</v>
      </c>
      <c r="C409" s="17" t="s">
        <v>904</v>
      </c>
      <c r="D409" s="17" t="s">
        <v>1011</v>
      </c>
      <c r="E409" s="17" t="s">
        <v>3113</v>
      </c>
      <c r="F409" s="17" t="s">
        <v>2461</v>
      </c>
      <c r="G409" s="17" t="s">
        <v>2454</v>
      </c>
      <c r="H409" s="17" t="s">
        <v>2462</v>
      </c>
      <c r="I409" s="17" t="s">
        <v>26</v>
      </c>
      <c r="J409" s="18" t="s">
        <v>2463</v>
      </c>
      <c r="K409" s="17" t="s">
        <v>23</v>
      </c>
      <c r="L409" s="17" t="s">
        <v>2464</v>
      </c>
      <c r="M409" s="17" t="s">
        <v>1012</v>
      </c>
      <c r="N409" s="17" t="s">
        <v>2465</v>
      </c>
      <c r="O409" s="18" t="s">
        <v>1017</v>
      </c>
      <c r="P409" s="18" t="s">
        <v>25</v>
      </c>
      <c r="Q409" s="32">
        <f t="shared" si="12"/>
        <v>16</v>
      </c>
      <c r="R409" s="32">
        <f t="shared" si="13"/>
        <v>11</v>
      </c>
      <c r="S409" s="21" t="s">
        <v>2915</v>
      </c>
    </row>
    <row r="410" spans="1:19" x14ac:dyDescent="0.25">
      <c r="A410" s="3">
        <v>408</v>
      </c>
      <c r="B410" s="3" t="s">
        <v>490</v>
      </c>
      <c r="C410" s="17" t="s">
        <v>905</v>
      </c>
      <c r="D410" s="17" t="s">
        <v>1011</v>
      </c>
      <c r="E410" s="17" t="s">
        <v>3115</v>
      </c>
      <c r="F410" s="17" t="s">
        <v>2466</v>
      </c>
      <c r="G410" s="17" t="s">
        <v>2467</v>
      </c>
      <c r="H410" s="17" t="s">
        <v>36</v>
      </c>
      <c r="I410" s="17" t="s">
        <v>26</v>
      </c>
      <c r="J410" s="18" t="s">
        <v>2468</v>
      </c>
      <c r="K410" s="17" t="s">
        <v>23</v>
      </c>
      <c r="L410" s="17" t="s">
        <v>2469</v>
      </c>
      <c r="M410" s="17" t="s">
        <v>1012</v>
      </c>
      <c r="N410" s="17" t="s">
        <v>2470</v>
      </c>
      <c r="O410" s="18" t="s">
        <v>1017</v>
      </c>
      <c r="P410" s="18" t="s">
        <v>25</v>
      </c>
      <c r="Q410" s="32">
        <f t="shared" si="12"/>
        <v>16</v>
      </c>
      <c r="R410" s="32">
        <f t="shared" si="13"/>
        <v>14</v>
      </c>
      <c r="S410" s="21" t="s">
        <v>3046</v>
      </c>
    </row>
    <row r="411" spans="1:19" x14ac:dyDescent="0.25">
      <c r="A411" s="2">
        <v>409</v>
      </c>
      <c r="B411" s="3" t="s">
        <v>490</v>
      </c>
      <c r="C411" s="17" t="s">
        <v>906</v>
      </c>
      <c r="D411" s="17" t="s">
        <v>1011</v>
      </c>
      <c r="E411" s="17" t="s">
        <v>3116</v>
      </c>
      <c r="F411" s="17" t="s">
        <v>2471</v>
      </c>
      <c r="G411" s="17" t="s">
        <v>2472</v>
      </c>
      <c r="H411" s="17" t="s">
        <v>1553</v>
      </c>
      <c r="I411" s="17" t="s">
        <v>26</v>
      </c>
      <c r="J411" s="18" t="s">
        <v>2473</v>
      </c>
      <c r="K411" s="17" t="s">
        <v>23</v>
      </c>
      <c r="L411" s="17" t="s">
        <v>2474</v>
      </c>
      <c r="M411" s="17" t="s">
        <v>1012</v>
      </c>
      <c r="N411" s="17" t="s">
        <v>2475</v>
      </c>
      <c r="O411" s="18" t="s">
        <v>1017</v>
      </c>
      <c r="P411" s="18" t="s">
        <v>25</v>
      </c>
      <c r="Q411" s="32">
        <f t="shared" si="12"/>
        <v>16</v>
      </c>
      <c r="R411" s="32">
        <f t="shared" si="13"/>
        <v>11</v>
      </c>
      <c r="S411" s="21" t="s">
        <v>3046</v>
      </c>
    </row>
    <row r="412" spans="1:19" x14ac:dyDescent="0.25">
      <c r="A412" s="3">
        <v>410</v>
      </c>
      <c r="B412" s="3" t="s">
        <v>490</v>
      </c>
      <c r="C412" s="17" t="s">
        <v>907</v>
      </c>
      <c r="D412" s="17" t="s">
        <v>1011</v>
      </c>
      <c r="E412" s="17" t="s">
        <v>3116</v>
      </c>
      <c r="F412" s="17" t="s">
        <v>2476</v>
      </c>
      <c r="G412" s="17" t="s">
        <v>2472</v>
      </c>
      <c r="H412" s="17" t="s">
        <v>1553</v>
      </c>
      <c r="I412" s="17" t="s">
        <v>22</v>
      </c>
      <c r="J412" s="18" t="s">
        <v>2477</v>
      </c>
      <c r="K412" s="17" t="s">
        <v>23</v>
      </c>
      <c r="L412" s="17" t="s">
        <v>2474</v>
      </c>
      <c r="M412" s="17" t="s">
        <v>1012</v>
      </c>
      <c r="N412" s="17" t="s">
        <v>2475</v>
      </c>
      <c r="O412" s="18" t="s">
        <v>1017</v>
      </c>
      <c r="P412" s="18" t="s">
        <v>25</v>
      </c>
      <c r="Q412" s="32">
        <f t="shared" si="12"/>
        <v>16</v>
      </c>
      <c r="R412" s="32">
        <f t="shared" si="13"/>
        <v>11</v>
      </c>
      <c r="S412" s="21" t="s">
        <v>3046</v>
      </c>
    </row>
    <row r="413" spans="1:19" s="14" customFormat="1" x14ac:dyDescent="0.25">
      <c r="A413" s="10">
        <v>411</v>
      </c>
      <c r="B413" s="11" t="s">
        <v>490</v>
      </c>
      <c r="C413" s="19" t="s">
        <v>908</v>
      </c>
      <c r="D413" s="19" t="s">
        <v>1011</v>
      </c>
      <c r="E413" s="19" t="s">
        <v>3116</v>
      </c>
      <c r="F413" s="19" t="s">
        <v>2478</v>
      </c>
      <c r="G413" s="19" t="s">
        <v>2472</v>
      </c>
      <c r="H413" s="19" t="s">
        <v>1568</v>
      </c>
      <c r="I413" s="19" t="s">
        <v>26</v>
      </c>
      <c r="J413" s="20" t="s">
        <v>2479</v>
      </c>
      <c r="K413" s="19" t="s">
        <v>23</v>
      </c>
      <c r="L413" s="19" t="s">
        <v>2480</v>
      </c>
      <c r="M413" s="19" t="s">
        <v>1012</v>
      </c>
      <c r="N413" s="19" t="s">
        <v>2481</v>
      </c>
      <c r="O413" s="20" t="s">
        <v>1017</v>
      </c>
      <c r="P413" s="20" t="s">
        <v>25</v>
      </c>
      <c r="Q413" s="33">
        <f t="shared" si="12"/>
        <v>16</v>
      </c>
      <c r="R413" s="33">
        <f t="shared" si="13"/>
        <v>11</v>
      </c>
      <c r="S413" s="28" t="s">
        <v>3046</v>
      </c>
    </row>
    <row r="414" spans="1:19" s="14" customFormat="1" x14ac:dyDescent="0.25">
      <c r="A414" s="11">
        <v>412</v>
      </c>
      <c r="B414" s="11" t="s">
        <v>490</v>
      </c>
      <c r="C414" s="19" t="s">
        <v>909</v>
      </c>
      <c r="D414" s="19" t="s">
        <v>1011</v>
      </c>
      <c r="E414" s="19"/>
      <c r="F414" s="19" t="s">
        <v>2482</v>
      </c>
      <c r="G414" s="19" t="s">
        <v>2483</v>
      </c>
      <c r="H414" s="19" t="s">
        <v>26</v>
      </c>
      <c r="I414" s="19" t="s">
        <v>22</v>
      </c>
      <c r="J414" s="20" t="s">
        <v>2484</v>
      </c>
      <c r="K414" s="19" t="s">
        <v>23</v>
      </c>
      <c r="L414" s="19" t="s">
        <v>2485</v>
      </c>
      <c r="M414" s="19" t="s">
        <v>1012</v>
      </c>
      <c r="N414" s="19" t="s">
        <v>2486</v>
      </c>
      <c r="O414" s="20" t="s">
        <v>1017</v>
      </c>
      <c r="P414" s="20" t="s">
        <v>25</v>
      </c>
      <c r="Q414" s="33">
        <f t="shared" si="12"/>
        <v>16</v>
      </c>
      <c r="R414" s="33">
        <f t="shared" si="13"/>
        <v>13</v>
      </c>
      <c r="S414" s="11" t="s">
        <v>492</v>
      </c>
    </row>
    <row r="415" spans="1:19" x14ac:dyDescent="0.25">
      <c r="A415" s="2">
        <v>413</v>
      </c>
      <c r="B415" s="11" t="s">
        <v>490</v>
      </c>
      <c r="C415" s="17" t="s">
        <v>910</v>
      </c>
      <c r="D415" s="17" t="s">
        <v>1011</v>
      </c>
      <c r="E415" s="17"/>
      <c r="F415" s="17" t="s">
        <v>2487</v>
      </c>
      <c r="G415" s="17" t="s">
        <v>2488</v>
      </c>
      <c r="H415" s="17" t="s">
        <v>2489</v>
      </c>
      <c r="I415" s="17" t="s">
        <v>26</v>
      </c>
      <c r="J415" s="18" t="s">
        <v>2490</v>
      </c>
      <c r="K415" s="17" t="s">
        <v>23</v>
      </c>
      <c r="L415" s="17" t="s">
        <v>2491</v>
      </c>
      <c r="M415" s="17" t="s">
        <v>1012</v>
      </c>
      <c r="N415" s="17" t="s">
        <v>2492</v>
      </c>
      <c r="O415" s="18" t="s">
        <v>1017</v>
      </c>
      <c r="P415" s="18" t="s">
        <v>25</v>
      </c>
      <c r="Q415" s="32">
        <f t="shared" si="12"/>
        <v>16</v>
      </c>
      <c r="R415" s="32">
        <f t="shared" si="13"/>
        <v>13</v>
      </c>
      <c r="S415" s="3" t="s">
        <v>492</v>
      </c>
    </row>
    <row r="416" spans="1:19" x14ac:dyDescent="0.25">
      <c r="A416" s="3">
        <v>414</v>
      </c>
      <c r="B416" s="11" t="s">
        <v>490</v>
      </c>
      <c r="C416" s="17" t="s">
        <v>911</v>
      </c>
      <c r="D416" s="17" t="s">
        <v>1011</v>
      </c>
      <c r="E416" s="17"/>
      <c r="F416" s="17" t="s">
        <v>2493</v>
      </c>
      <c r="G416" s="17" t="s">
        <v>2488</v>
      </c>
      <c r="H416" s="17" t="s">
        <v>2494</v>
      </c>
      <c r="I416" s="17" t="s">
        <v>26</v>
      </c>
      <c r="J416" s="18" t="s">
        <v>2495</v>
      </c>
      <c r="K416" s="17" t="s">
        <v>255</v>
      </c>
      <c r="L416" s="17" t="s">
        <v>2496</v>
      </c>
      <c r="M416" s="17" t="s">
        <v>1012</v>
      </c>
      <c r="N416" s="17" t="s">
        <v>2497</v>
      </c>
      <c r="O416" s="18" t="s">
        <v>257</v>
      </c>
      <c r="P416" s="18" t="s">
        <v>258</v>
      </c>
      <c r="Q416" s="18">
        <f t="shared" si="12"/>
        <v>10</v>
      </c>
      <c r="R416" s="18">
        <f t="shared" si="13"/>
        <v>11</v>
      </c>
      <c r="S416" s="3" t="s">
        <v>493</v>
      </c>
    </row>
    <row r="417" spans="1:19" x14ac:dyDescent="0.25">
      <c r="A417" s="2">
        <v>415</v>
      </c>
      <c r="B417" s="11" t="s">
        <v>490</v>
      </c>
      <c r="C417" s="17" t="s">
        <v>912</v>
      </c>
      <c r="D417" s="17" t="s">
        <v>1011</v>
      </c>
      <c r="E417" s="17"/>
      <c r="F417" s="17" t="s">
        <v>2498</v>
      </c>
      <c r="G417" s="17" t="s">
        <v>2488</v>
      </c>
      <c r="H417" s="17" t="s">
        <v>2499</v>
      </c>
      <c r="I417" s="17" t="s">
        <v>26</v>
      </c>
      <c r="J417" s="18" t="s">
        <v>2500</v>
      </c>
      <c r="K417" s="17" t="s">
        <v>23</v>
      </c>
      <c r="L417" s="17" t="s">
        <v>2501</v>
      </c>
      <c r="M417" s="17" t="s">
        <v>1012</v>
      </c>
      <c r="N417" s="17" t="s">
        <v>2502</v>
      </c>
      <c r="O417" s="18" t="s">
        <v>1017</v>
      </c>
      <c r="P417" s="18" t="s">
        <v>25</v>
      </c>
      <c r="Q417" s="32">
        <f t="shared" si="12"/>
        <v>16</v>
      </c>
      <c r="R417" s="32">
        <f t="shared" si="13"/>
        <v>11</v>
      </c>
      <c r="S417" s="3" t="s">
        <v>493</v>
      </c>
    </row>
    <row r="418" spans="1:19" s="14" customFormat="1" x14ac:dyDescent="0.25">
      <c r="A418" s="11">
        <v>416</v>
      </c>
      <c r="B418" s="11" t="s">
        <v>490</v>
      </c>
      <c r="C418" s="17" t="s">
        <v>913</v>
      </c>
      <c r="D418" s="17" t="s">
        <v>1011</v>
      </c>
      <c r="E418" s="17"/>
      <c r="F418" s="17" t="s">
        <v>2503</v>
      </c>
      <c r="G418" s="17" t="s">
        <v>2488</v>
      </c>
      <c r="H418" s="17" t="s">
        <v>2499</v>
      </c>
      <c r="I418" s="17" t="s">
        <v>22</v>
      </c>
      <c r="J418" s="18" t="s">
        <v>2504</v>
      </c>
      <c r="K418" s="17" t="s">
        <v>23</v>
      </c>
      <c r="L418" s="17" t="s">
        <v>2501</v>
      </c>
      <c r="M418" s="17" t="s">
        <v>1012</v>
      </c>
      <c r="N418" s="17" t="s">
        <v>2502</v>
      </c>
      <c r="O418" s="18" t="s">
        <v>1017</v>
      </c>
      <c r="P418" s="18" t="s">
        <v>25</v>
      </c>
      <c r="Q418" s="32">
        <f t="shared" si="12"/>
        <v>16</v>
      </c>
      <c r="R418" s="32">
        <f t="shared" si="13"/>
        <v>11</v>
      </c>
      <c r="S418" s="11" t="s">
        <v>493</v>
      </c>
    </row>
    <row r="419" spans="1:19" x14ac:dyDescent="0.25">
      <c r="A419" s="2">
        <v>417</v>
      </c>
      <c r="B419" s="11" t="s">
        <v>490</v>
      </c>
      <c r="C419" s="17" t="s">
        <v>914</v>
      </c>
      <c r="D419" s="17" t="s">
        <v>1011</v>
      </c>
      <c r="E419" s="17"/>
      <c r="F419" s="17" t="s">
        <v>2505</v>
      </c>
      <c r="G419" s="17" t="s">
        <v>2488</v>
      </c>
      <c r="H419" s="17" t="s">
        <v>2506</v>
      </c>
      <c r="I419" s="17" t="s">
        <v>26</v>
      </c>
      <c r="J419" s="18" t="s">
        <v>2507</v>
      </c>
      <c r="K419" s="17" t="s">
        <v>23</v>
      </c>
      <c r="L419" s="17" t="s">
        <v>2508</v>
      </c>
      <c r="M419" s="17" t="s">
        <v>1012</v>
      </c>
      <c r="N419" s="17" t="s">
        <v>2509</v>
      </c>
      <c r="O419" s="18" t="s">
        <v>1017</v>
      </c>
      <c r="P419" s="18" t="s">
        <v>25</v>
      </c>
      <c r="Q419" s="32">
        <f t="shared" si="12"/>
        <v>16</v>
      </c>
      <c r="R419" s="32">
        <f t="shared" si="13"/>
        <v>11</v>
      </c>
      <c r="S419" s="11" t="s">
        <v>493</v>
      </c>
    </row>
    <row r="420" spans="1:19" x14ac:dyDescent="0.25">
      <c r="A420" s="3">
        <v>418</v>
      </c>
      <c r="B420" s="11" t="s">
        <v>490</v>
      </c>
      <c r="C420" s="17" t="s">
        <v>915</v>
      </c>
      <c r="D420" s="17" t="s">
        <v>1011</v>
      </c>
      <c r="E420" s="17"/>
      <c r="F420" s="17" t="s">
        <v>2510</v>
      </c>
      <c r="G420" s="17" t="s">
        <v>2488</v>
      </c>
      <c r="H420" s="17" t="s">
        <v>2506</v>
      </c>
      <c r="I420" s="17" t="s">
        <v>22</v>
      </c>
      <c r="J420" s="18" t="s">
        <v>2511</v>
      </c>
      <c r="K420" s="17" t="s">
        <v>23</v>
      </c>
      <c r="L420" s="17" t="s">
        <v>2508</v>
      </c>
      <c r="M420" s="17" t="s">
        <v>1012</v>
      </c>
      <c r="N420" s="17" t="s">
        <v>2509</v>
      </c>
      <c r="O420" s="18" t="s">
        <v>1017</v>
      </c>
      <c r="P420" s="18" t="s">
        <v>25</v>
      </c>
      <c r="Q420" s="32">
        <f t="shared" si="12"/>
        <v>16</v>
      </c>
      <c r="R420" s="32">
        <f t="shared" si="13"/>
        <v>11</v>
      </c>
      <c r="S420" s="3" t="s">
        <v>492</v>
      </c>
    </row>
    <row r="421" spans="1:19" x14ac:dyDescent="0.25">
      <c r="A421" s="2">
        <v>419</v>
      </c>
      <c r="B421" s="11" t="s">
        <v>490</v>
      </c>
      <c r="C421" s="17" t="s">
        <v>916</v>
      </c>
      <c r="D421" s="17" t="s">
        <v>1011</v>
      </c>
      <c r="E421" s="17"/>
      <c r="F421" s="17" t="s">
        <v>2512</v>
      </c>
      <c r="G421" s="17" t="s">
        <v>2488</v>
      </c>
      <c r="H421" s="17" t="s">
        <v>2506</v>
      </c>
      <c r="I421" s="17" t="s">
        <v>28</v>
      </c>
      <c r="J421" s="18" t="s">
        <v>2513</v>
      </c>
      <c r="K421" s="17" t="s">
        <v>23</v>
      </c>
      <c r="L421" s="17" t="s">
        <v>2508</v>
      </c>
      <c r="M421" s="17" t="s">
        <v>1012</v>
      </c>
      <c r="N421" s="17" t="s">
        <v>2509</v>
      </c>
      <c r="O421" s="18" t="s">
        <v>1017</v>
      </c>
      <c r="P421" s="18" t="s">
        <v>25</v>
      </c>
      <c r="Q421" s="32">
        <f t="shared" si="12"/>
        <v>16</v>
      </c>
      <c r="R421" s="32">
        <f t="shared" si="13"/>
        <v>11</v>
      </c>
      <c r="S421" s="3" t="s">
        <v>492</v>
      </c>
    </row>
    <row r="422" spans="1:19" x14ac:dyDescent="0.25">
      <c r="A422" s="3">
        <v>420</v>
      </c>
      <c r="B422" s="11" t="s">
        <v>490</v>
      </c>
      <c r="C422" s="17" t="s">
        <v>917</v>
      </c>
      <c r="D422" s="17" t="s">
        <v>1011</v>
      </c>
      <c r="E422" s="17"/>
      <c r="F422" s="17" t="s">
        <v>2514</v>
      </c>
      <c r="G422" s="17" t="s">
        <v>2488</v>
      </c>
      <c r="H422" s="17" t="s">
        <v>2515</v>
      </c>
      <c r="I422" s="17" t="s">
        <v>26</v>
      </c>
      <c r="J422" s="18" t="s">
        <v>2516</v>
      </c>
      <c r="K422" s="17" t="s">
        <v>23</v>
      </c>
      <c r="L422" s="17" t="s">
        <v>2517</v>
      </c>
      <c r="M422" s="17" t="s">
        <v>1012</v>
      </c>
      <c r="N422" s="17" t="s">
        <v>2518</v>
      </c>
      <c r="O422" s="18" t="s">
        <v>1017</v>
      </c>
      <c r="P422" s="18" t="s">
        <v>25</v>
      </c>
      <c r="Q422" s="32">
        <f t="shared" si="12"/>
        <v>16</v>
      </c>
      <c r="R422" s="32">
        <f t="shared" si="13"/>
        <v>13</v>
      </c>
      <c r="S422" s="15" t="s">
        <v>492</v>
      </c>
    </row>
    <row r="423" spans="1:19" x14ac:dyDescent="0.25">
      <c r="A423" s="2">
        <v>421</v>
      </c>
      <c r="B423" s="11" t="s">
        <v>490</v>
      </c>
      <c r="C423" s="17" t="s">
        <v>918</v>
      </c>
      <c r="D423" s="17" t="s">
        <v>1011</v>
      </c>
      <c r="E423" s="17"/>
      <c r="F423" s="17" t="s">
        <v>2519</v>
      </c>
      <c r="G423" s="17" t="s">
        <v>2488</v>
      </c>
      <c r="H423" s="17" t="s">
        <v>1210</v>
      </c>
      <c r="I423" s="17" t="s">
        <v>26</v>
      </c>
      <c r="J423" s="18" t="s">
        <v>2520</v>
      </c>
      <c r="K423" s="17" t="s">
        <v>23</v>
      </c>
      <c r="L423" s="17" t="s">
        <v>2521</v>
      </c>
      <c r="M423" s="17" t="s">
        <v>1012</v>
      </c>
      <c r="N423" s="17" t="s">
        <v>2522</v>
      </c>
      <c r="O423" s="18" t="s">
        <v>1017</v>
      </c>
      <c r="P423" s="18" t="s">
        <v>25</v>
      </c>
      <c r="Q423" s="32">
        <f t="shared" si="12"/>
        <v>16</v>
      </c>
      <c r="R423" s="32">
        <f t="shared" si="13"/>
        <v>12</v>
      </c>
      <c r="S423" s="15" t="s">
        <v>492</v>
      </c>
    </row>
    <row r="424" spans="1:19" x14ac:dyDescent="0.25">
      <c r="A424" s="3">
        <v>422</v>
      </c>
      <c r="B424" s="11" t="s">
        <v>490</v>
      </c>
      <c r="C424" s="17" t="s">
        <v>919</v>
      </c>
      <c r="D424" s="17" t="s">
        <v>1011</v>
      </c>
      <c r="E424" s="17"/>
      <c r="F424" s="17" t="s">
        <v>2523</v>
      </c>
      <c r="G424" s="17" t="s">
        <v>2488</v>
      </c>
      <c r="H424" s="17" t="s">
        <v>1992</v>
      </c>
      <c r="I424" s="17" t="s">
        <v>26</v>
      </c>
      <c r="J424" s="18" t="s">
        <v>2524</v>
      </c>
      <c r="K424" s="17" t="s">
        <v>23</v>
      </c>
      <c r="L424" s="17" t="s">
        <v>2525</v>
      </c>
      <c r="M424" s="17" t="s">
        <v>1012</v>
      </c>
      <c r="N424" s="17" t="s">
        <v>2526</v>
      </c>
      <c r="O424" s="18" t="s">
        <v>1017</v>
      </c>
      <c r="P424" s="18" t="s">
        <v>25</v>
      </c>
      <c r="Q424" s="32">
        <f t="shared" si="12"/>
        <v>16</v>
      </c>
      <c r="R424" s="32">
        <f t="shared" si="13"/>
        <v>7</v>
      </c>
      <c r="S424" s="15" t="s">
        <v>492</v>
      </c>
    </row>
    <row r="425" spans="1:19" x14ac:dyDescent="0.25">
      <c r="A425" s="2">
        <v>423</v>
      </c>
      <c r="B425" s="11" t="s">
        <v>490</v>
      </c>
      <c r="C425" s="17" t="s">
        <v>920</v>
      </c>
      <c r="D425" s="17" t="s">
        <v>1011</v>
      </c>
      <c r="E425" s="17"/>
      <c r="F425" s="17" t="s">
        <v>2527</v>
      </c>
      <c r="G425" s="17" t="s">
        <v>2488</v>
      </c>
      <c r="H425" s="17" t="s">
        <v>2528</v>
      </c>
      <c r="I425" s="17" t="s">
        <v>26</v>
      </c>
      <c r="J425" s="18" t="s">
        <v>2529</v>
      </c>
      <c r="K425" s="17" t="s">
        <v>23</v>
      </c>
      <c r="L425" s="17" t="s">
        <v>2530</v>
      </c>
      <c r="M425" s="17" t="s">
        <v>1012</v>
      </c>
      <c r="N425" s="17" t="s">
        <v>2531</v>
      </c>
      <c r="O425" s="18" t="s">
        <v>1017</v>
      </c>
      <c r="P425" s="18" t="s">
        <v>25</v>
      </c>
      <c r="Q425" s="32">
        <f t="shared" si="12"/>
        <v>16</v>
      </c>
      <c r="R425" s="32">
        <f t="shared" si="13"/>
        <v>13</v>
      </c>
      <c r="S425" s="15" t="s">
        <v>495</v>
      </c>
    </row>
    <row r="426" spans="1:19" x14ac:dyDescent="0.25">
      <c r="A426" s="3">
        <v>424</v>
      </c>
      <c r="B426" s="11" t="s">
        <v>490</v>
      </c>
      <c r="C426" s="17" t="s">
        <v>921</v>
      </c>
      <c r="D426" s="17" t="s">
        <v>1011</v>
      </c>
      <c r="E426" s="17"/>
      <c r="F426" s="17" t="s">
        <v>2532</v>
      </c>
      <c r="G426" s="17" t="s">
        <v>2533</v>
      </c>
      <c r="H426" s="17" t="s">
        <v>26</v>
      </c>
      <c r="I426" s="17" t="s">
        <v>22</v>
      </c>
      <c r="J426" s="18" t="s">
        <v>2534</v>
      </c>
      <c r="K426" s="17" t="s">
        <v>23</v>
      </c>
      <c r="L426" s="17" t="s">
        <v>2535</v>
      </c>
      <c r="M426" s="17" t="s">
        <v>1012</v>
      </c>
      <c r="N426" s="17" t="s">
        <v>2536</v>
      </c>
      <c r="O426" s="18" t="s">
        <v>1017</v>
      </c>
      <c r="P426" s="18" t="s">
        <v>25</v>
      </c>
      <c r="Q426" s="32">
        <f t="shared" si="12"/>
        <v>16</v>
      </c>
      <c r="R426" s="32">
        <f t="shared" si="13"/>
        <v>15</v>
      </c>
      <c r="S426" s="15" t="s">
        <v>492</v>
      </c>
    </row>
    <row r="427" spans="1:19" x14ac:dyDescent="0.25">
      <c r="A427" s="2">
        <v>425</v>
      </c>
      <c r="B427" s="11" t="s">
        <v>490</v>
      </c>
      <c r="C427" s="17" t="s">
        <v>922</v>
      </c>
      <c r="D427" s="17" t="s">
        <v>1011</v>
      </c>
      <c r="E427" s="17"/>
      <c r="F427" s="17" t="s">
        <v>2537</v>
      </c>
      <c r="G427" s="17" t="s">
        <v>2538</v>
      </c>
      <c r="H427" s="17" t="s">
        <v>22</v>
      </c>
      <c r="I427" s="17" t="s">
        <v>26</v>
      </c>
      <c r="J427" s="18" t="s">
        <v>2539</v>
      </c>
      <c r="K427" s="17" t="s">
        <v>23</v>
      </c>
      <c r="L427" s="17" t="s">
        <v>2540</v>
      </c>
      <c r="M427" s="17" t="s">
        <v>1012</v>
      </c>
      <c r="N427" s="17" t="s">
        <v>2541</v>
      </c>
      <c r="O427" s="18" t="s">
        <v>1017</v>
      </c>
      <c r="P427" s="18" t="s">
        <v>25</v>
      </c>
      <c r="Q427" s="32">
        <f t="shared" si="12"/>
        <v>16</v>
      </c>
      <c r="R427" s="32">
        <f t="shared" si="13"/>
        <v>15</v>
      </c>
      <c r="S427" s="15" t="s">
        <v>492</v>
      </c>
    </row>
    <row r="428" spans="1:19" x14ac:dyDescent="0.25">
      <c r="A428" s="3">
        <v>426</v>
      </c>
      <c r="B428" s="11" t="s">
        <v>490</v>
      </c>
      <c r="C428" s="17" t="s">
        <v>923</v>
      </c>
      <c r="D428" s="17" t="s">
        <v>1011</v>
      </c>
      <c r="E428" s="17"/>
      <c r="F428" s="17" t="s">
        <v>2542</v>
      </c>
      <c r="G428" s="17" t="s">
        <v>2538</v>
      </c>
      <c r="H428" s="17" t="s">
        <v>22</v>
      </c>
      <c r="I428" s="17" t="s">
        <v>22</v>
      </c>
      <c r="J428" s="18" t="s">
        <v>2543</v>
      </c>
      <c r="K428" s="17" t="s">
        <v>23</v>
      </c>
      <c r="L428" s="17" t="s">
        <v>2544</v>
      </c>
      <c r="M428" s="17" t="s">
        <v>1012</v>
      </c>
      <c r="N428" s="17" t="s">
        <v>2541</v>
      </c>
      <c r="O428" s="18" t="s">
        <v>1017</v>
      </c>
      <c r="P428" s="18" t="s">
        <v>25</v>
      </c>
      <c r="Q428" s="32">
        <f t="shared" si="12"/>
        <v>16</v>
      </c>
      <c r="R428" s="32">
        <f t="shared" si="13"/>
        <v>15</v>
      </c>
      <c r="S428" s="15" t="s">
        <v>492</v>
      </c>
    </row>
    <row r="429" spans="1:19" x14ac:dyDescent="0.25">
      <c r="A429" s="2">
        <v>427</v>
      </c>
      <c r="B429" s="11" t="s">
        <v>490</v>
      </c>
      <c r="C429" s="17" t="s">
        <v>924</v>
      </c>
      <c r="D429" s="17" t="s">
        <v>1011</v>
      </c>
      <c r="E429" s="17"/>
      <c r="F429" s="17" t="s">
        <v>2545</v>
      </c>
      <c r="G429" s="17" t="s">
        <v>2546</v>
      </c>
      <c r="H429" s="17" t="s">
        <v>26</v>
      </c>
      <c r="I429" s="17" t="s">
        <v>26</v>
      </c>
      <c r="J429" s="18" t="s">
        <v>2547</v>
      </c>
      <c r="K429" s="17" t="s">
        <v>23</v>
      </c>
      <c r="L429" s="17" t="s">
        <v>2548</v>
      </c>
      <c r="M429" s="17" t="s">
        <v>1012</v>
      </c>
      <c r="N429" s="17" t="s">
        <v>2549</v>
      </c>
      <c r="O429" s="18" t="s">
        <v>1017</v>
      </c>
      <c r="P429" s="18" t="s">
        <v>25</v>
      </c>
      <c r="Q429" s="32">
        <f t="shared" si="12"/>
        <v>16</v>
      </c>
      <c r="R429" s="32">
        <f t="shared" si="13"/>
        <v>11</v>
      </c>
      <c r="S429" s="15" t="s">
        <v>492</v>
      </c>
    </row>
    <row r="430" spans="1:19" x14ac:dyDescent="0.25">
      <c r="A430" s="3">
        <v>428</v>
      </c>
      <c r="B430" s="11" t="s">
        <v>490</v>
      </c>
      <c r="C430" s="17" t="s">
        <v>925</v>
      </c>
      <c r="D430" s="17" t="s">
        <v>1011</v>
      </c>
      <c r="E430" s="17"/>
      <c r="F430" s="17" t="s">
        <v>2550</v>
      </c>
      <c r="G430" s="17" t="s">
        <v>2551</v>
      </c>
      <c r="H430" s="17" t="s">
        <v>26</v>
      </c>
      <c r="I430" s="17" t="s">
        <v>26</v>
      </c>
      <c r="J430" s="18" t="s">
        <v>2552</v>
      </c>
      <c r="K430" s="17" t="s">
        <v>23</v>
      </c>
      <c r="L430" s="17" t="s">
        <v>2553</v>
      </c>
      <c r="M430" s="17" t="s">
        <v>1012</v>
      </c>
      <c r="N430" s="17" t="s">
        <v>2554</v>
      </c>
      <c r="O430" s="18" t="s">
        <v>1017</v>
      </c>
      <c r="P430" s="18" t="s">
        <v>25</v>
      </c>
      <c r="Q430" s="32">
        <f t="shared" si="12"/>
        <v>16</v>
      </c>
      <c r="R430" s="32">
        <f t="shared" si="13"/>
        <v>11</v>
      </c>
      <c r="S430" s="15" t="s">
        <v>492</v>
      </c>
    </row>
    <row r="431" spans="1:19" x14ac:dyDescent="0.25">
      <c r="A431" s="2">
        <v>429</v>
      </c>
      <c r="B431" s="11" t="s">
        <v>490</v>
      </c>
      <c r="C431" s="17" t="s">
        <v>926</v>
      </c>
      <c r="D431" s="17" t="s">
        <v>1011</v>
      </c>
      <c r="E431" s="17"/>
      <c r="F431" s="17" t="s">
        <v>2555</v>
      </c>
      <c r="G431" s="17" t="s">
        <v>2551</v>
      </c>
      <c r="H431" s="17" t="s">
        <v>73</v>
      </c>
      <c r="I431" s="17" t="s">
        <v>22</v>
      </c>
      <c r="J431" s="18" t="s">
        <v>2556</v>
      </c>
      <c r="K431" s="17" t="s">
        <v>23</v>
      </c>
      <c r="L431" s="17" t="s">
        <v>2557</v>
      </c>
      <c r="M431" s="17" t="s">
        <v>1012</v>
      </c>
      <c r="N431" s="17" t="s">
        <v>2558</v>
      </c>
      <c r="O431" s="18" t="s">
        <v>1017</v>
      </c>
      <c r="P431" s="18" t="s">
        <v>25</v>
      </c>
      <c r="Q431" s="32">
        <f t="shared" si="12"/>
        <v>16</v>
      </c>
      <c r="R431" s="32">
        <f t="shared" si="13"/>
        <v>11</v>
      </c>
      <c r="S431" s="15" t="s">
        <v>492</v>
      </c>
    </row>
    <row r="432" spans="1:19" x14ac:dyDescent="0.25">
      <c r="A432" s="3">
        <v>430</v>
      </c>
      <c r="B432" s="11" t="s">
        <v>490</v>
      </c>
      <c r="C432" s="17" t="s">
        <v>927</v>
      </c>
      <c r="D432" s="17" t="s">
        <v>1011</v>
      </c>
      <c r="E432" s="17"/>
      <c r="F432" s="17" t="s">
        <v>2559</v>
      </c>
      <c r="G432" s="17" t="s">
        <v>2560</v>
      </c>
      <c r="H432" s="17" t="s">
        <v>73</v>
      </c>
      <c r="I432" s="17" t="s">
        <v>26</v>
      </c>
      <c r="J432" s="18" t="s">
        <v>2561</v>
      </c>
      <c r="K432" s="17" t="s">
        <v>23</v>
      </c>
      <c r="L432" s="17" t="s">
        <v>2562</v>
      </c>
      <c r="M432" s="17" t="s">
        <v>1012</v>
      </c>
      <c r="N432" s="17" t="s">
        <v>2563</v>
      </c>
      <c r="O432" s="18" t="s">
        <v>1017</v>
      </c>
      <c r="P432" s="18" t="s">
        <v>25</v>
      </c>
      <c r="Q432" s="32">
        <f t="shared" si="12"/>
        <v>16</v>
      </c>
      <c r="R432" s="32">
        <f t="shared" si="13"/>
        <v>15</v>
      </c>
      <c r="S432" s="15" t="s">
        <v>492</v>
      </c>
    </row>
    <row r="433" spans="1:19" x14ac:dyDescent="0.25">
      <c r="A433" s="2">
        <v>431</v>
      </c>
      <c r="B433" s="11" t="s">
        <v>490</v>
      </c>
      <c r="C433" s="17" t="s">
        <v>928</v>
      </c>
      <c r="D433" s="17" t="s">
        <v>1011</v>
      </c>
      <c r="E433" s="17"/>
      <c r="F433" s="17" t="s">
        <v>2564</v>
      </c>
      <c r="G433" s="17" t="s">
        <v>2560</v>
      </c>
      <c r="H433" s="17" t="s">
        <v>73</v>
      </c>
      <c r="I433" s="17" t="s">
        <v>22</v>
      </c>
      <c r="J433" s="18" t="s">
        <v>2565</v>
      </c>
      <c r="K433" s="17" t="s">
        <v>23</v>
      </c>
      <c r="L433" s="17" t="s">
        <v>2562</v>
      </c>
      <c r="M433" s="17" t="s">
        <v>1012</v>
      </c>
      <c r="N433" s="17" t="s">
        <v>2563</v>
      </c>
      <c r="O433" s="18" t="s">
        <v>1017</v>
      </c>
      <c r="P433" s="18" t="s">
        <v>25</v>
      </c>
      <c r="Q433" s="32">
        <f t="shared" si="12"/>
        <v>16</v>
      </c>
      <c r="R433" s="32">
        <f t="shared" si="13"/>
        <v>15</v>
      </c>
      <c r="S433" s="15" t="s">
        <v>492</v>
      </c>
    </row>
    <row r="434" spans="1:19" x14ac:dyDescent="0.25">
      <c r="A434" s="3">
        <v>432</v>
      </c>
      <c r="B434" s="11" t="s">
        <v>490</v>
      </c>
      <c r="C434" s="17" t="s">
        <v>929</v>
      </c>
      <c r="D434" s="17" t="s">
        <v>1011</v>
      </c>
      <c r="E434" s="17"/>
      <c r="F434" s="17" t="s">
        <v>2566</v>
      </c>
      <c r="G434" s="17" t="s">
        <v>2567</v>
      </c>
      <c r="H434" s="17" t="s">
        <v>30</v>
      </c>
      <c r="I434" s="17" t="s">
        <v>26</v>
      </c>
      <c r="J434" s="18" t="s">
        <v>2568</v>
      </c>
      <c r="K434" s="17" t="s">
        <v>23</v>
      </c>
      <c r="L434" s="17" t="s">
        <v>2569</v>
      </c>
      <c r="M434" s="17" t="s">
        <v>1012</v>
      </c>
      <c r="N434" s="17" t="s">
        <v>2570</v>
      </c>
      <c r="O434" s="18" t="s">
        <v>1017</v>
      </c>
      <c r="P434" s="18" t="s">
        <v>25</v>
      </c>
      <c r="Q434" s="32">
        <f t="shared" si="12"/>
        <v>16</v>
      </c>
      <c r="R434" s="32">
        <f t="shared" si="13"/>
        <v>11</v>
      </c>
      <c r="S434" s="15" t="s">
        <v>492</v>
      </c>
    </row>
    <row r="435" spans="1:19" x14ac:dyDescent="0.25">
      <c r="A435" s="2">
        <v>433</v>
      </c>
      <c r="B435" s="11" t="s">
        <v>490</v>
      </c>
      <c r="C435" s="17" t="s">
        <v>930</v>
      </c>
      <c r="D435" s="17" t="s">
        <v>1011</v>
      </c>
      <c r="E435" s="17"/>
      <c r="F435" s="17" t="s">
        <v>2571</v>
      </c>
      <c r="G435" s="17" t="s">
        <v>2567</v>
      </c>
      <c r="H435" s="17" t="s">
        <v>55</v>
      </c>
      <c r="I435" s="17" t="s">
        <v>26</v>
      </c>
      <c r="J435" s="18" t="s">
        <v>2572</v>
      </c>
      <c r="K435" s="17" t="s">
        <v>23</v>
      </c>
      <c r="L435" s="17" t="s">
        <v>2573</v>
      </c>
      <c r="M435" s="17" t="s">
        <v>1012</v>
      </c>
      <c r="N435" s="17" t="s">
        <v>2574</v>
      </c>
      <c r="O435" s="18" t="s">
        <v>1017</v>
      </c>
      <c r="P435" s="18" t="s">
        <v>25</v>
      </c>
      <c r="Q435" s="32">
        <f t="shared" si="12"/>
        <v>16</v>
      </c>
      <c r="R435" s="32">
        <f t="shared" si="13"/>
        <v>11</v>
      </c>
      <c r="S435" s="15" t="s">
        <v>492</v>
      </c>
    </row>
    <row r="436" spans="1:19" x14ac:dyDescent="0.25">
      <c r="A436" s="3">
        <v>434</v>
      </c>
      <c r="B436" s="11" t="s">
        <v>490</v>
      </c>
      <c r="C436" s="17" t="s">
        <v>931</v>
      </c>
      <c r="D436" s="17" t="s">
        <v>1011</v>
      </c>
      <c r="E436" s="17"/>
      <c r="F436" s="17" t="s">
        <v>2575</v>
      </c>
      <c r="G436" s="17" t="s">
        <v>2567</v>
      </c>
      <c r="H436" s="17" t="s">
        <v>55</v>
      </c>
      <c r="I436" s="17" t="s">
        <v>22</v>
      </c>
      <c r="J436" s="18" t="s">
        <v>2576</v>
      </c>
      <c r="K436" s="17" t="s">
        <v>23</v>
      </c>
      <c r="L436" s="17" t="s">
        <v>2573</v>
      </c>
      <c r="M436" s="17" t="s">
        <v>1012</v>
      </c>
      <c r="N436" s="17" t="s">
        <v>2574</v>
      </c>
      <c r="O436" s="18" t="s">
        <v>1017</v>
      </c>
      <c r="P436" s="18" t="s">
        <v>25</v>
      </c>
      <c r="Q436" s="32">
        <f t="shared" si="12"/>
        <v>16</v>
      </c>
      <c r="R436" s="32">
        <f t="shared" si="13"/>
        <v>11</v>
      </c>
      <c r="S436" s="15" t="s">
        <v>492</v>
      </c>
    </row>
    <row r="437" spans="1:19" x14ac:dyDescent="0.25">
      <c r="A437" s="2">
        <v>435</v>
      </c>
      <c r="B437" s="11" t="s">
        <v>490</v>
      </c>
      <c r="C437" s="17" t="s">
        <v>932</v>
      </c>
      <c r="D437" s="17" t="s">
        <v>1011</v>
      </c>
      <c r="E437" s="17"/>
      <c r="F437" s="17" t="s">
        <v>2577</v>
      </c>
      <c r="G437" s="17" t="s">
        <v>2567</v>
      </c>
      <c r="H437" s="17" t="s">
        <v>55</v>
      </c>
      <c r="I437" s="17" t="s">
        <v>28</v>
      </c>
      <c r="J437" s="18" t="s">
        <v>2578</v>
      </c>
      <c r="K437" s="17" t="s">
        <v>23</v>
      </c>
      <c r="L437" s="17" t="s">
        <v>2573</v>
      </c>
      <c r="M437" s="17" t="s">
        <v>1012</v>
      </c>
      <c r="N437" s="17" t="s">
        <v>2574</v>
      </c>
      <c r="O437" s="18" t="s">
        <v>1017</v>
      </c>
      <c r="P437" s="18" t="s">
        <v>25</v>
      </c>
      <c r="Q437" s="32">
        <f t="shared" si="12"/>
        <v>16</v>
      </c>
      <c r="R437" s="32">
        <f t="shared" si="13"/>
        <v>11</v>
      </c>
      <c r="S437" s="15" t="s">
        <v>492</v>
      </c>
    </row>
    <row r="438" spans="1:19" x14ac:dyDescent="0.25">
      <c r="A438" s="3">
        <v>436</v>
      </c>
      <c r="B438" s="11" t="s">
        <v>490</v>
      </c>
      <c r="C438" s="17" t="s">
        <v>933</v>
      </c>
      <c r="D438" s="17" t="s">
        <v>1011</v>
      </c>
      <c r="E438" s="17"/>
      <c r="F438" s="17" t="s">
        <v>2579</v>
      </c>
      <c r="G438" s="17" t="s">
        <v>2580</v>
      </c>
      <c r="H438" s="17" t="s">
        <v>27</v>
      </c>
      <c r="I438" s="17" t="s">
        <v>26</v>
      </c>
      <c r="J438" s="18" t="s">
        <v>2581</v>
      </c>
      <c r="K438" s="17" t="s">
        <v>23</v>
      </c>
      <c r="L438" s="17" t="s">
        <v>2582</v>
      </c>
      <c r="M438" s="17" t="s">
        <v>1012</v>
      </c>
      <c r="N438" s="17" t="s">
        <v>2583</v>
      </c>
      <c r="O438" s="18" t="s">
        <v>1017</v>
      </c>
      <c r="P438" s="18" t="s">
        <v>25</v>
      </c>
      <c r="Q438" s="32">
        <f t="shared" si="12"/>
        <v>16</v>
      </c>
      <c r="R438" s="32">
        <f t="shared" si="13"/>
        <v>15</v>
      </c>
      <c r="S438" s="15" t="s">
        <v>492</v>
      </c>
    </row>
    <row r="439" spans="1:19" x14ac:dyDescent="0.25">
      <c r="A439" s="2">
        <v>437</v>
      </c>
      <c r="B439" s="11" t="s">
        <v>490</v>
      </c>
      <c r="C439" s="17" t="s">
        <v>934</v>
      </c>
      <c r="D439" s="17" t="s">
        <v>1011</v>
      </c>
      <c r="E439" s="17"/>
      <c r="F439" s="17" t="s">
        <v>2584</v>
      </c>
      <c r="G439" s="17" t="s">
        <v>2585</v>
      </c>
      <c r="H439" s="17" t="s">
        <v>26</v>
      </c>
      <c r="I439" s="17" t="s">
        <v>26</v>
      </c>
      <c r="J439" s="18" t="s">
        <v>2586</v>
      </c>
      <c r="K439" s="17" t="s">
        <v>23</v>
      </c>
      <c r="L439" s="17" t="s">
        <v>2587</v>
      </c>
      <c r="M439" s="17" t="s">
        <v>1012</v>
      </c>
      <c r="N439" s="17" t="s">
        <v>2588</v>
      </c>
      <c r="O439" s="18" t="s">
        <v>1017</v>
      </c>
      <c r="P439" s="18" t="s">
        <v>25</v>
      </c>
      <c r="Q439" s="32">
        <f t="shared" si="12"/>
        <v>16</v>
      </c>
      <c r="R439" s="32">
        <f t="shared" si="13"/>
        <v>11</v>
      </c>
      <c r="S439" s="15" t="s">
        <v>492</v>
      </c>
    </row>
    <row r="440" spans="1:19" x14ac:dyDescent="0.25">
      <c r="A440" s="3">
        <v>438</v>
      </c>
      <c r="B440" s="11" t="s">
        <v>490</v>
      </c>
      <c r="C440" s="17" t="s">
        <v>935</v>
      </c>
      <c r="D440" s="17" t="s">
        <v>1011</v>
      </c>
      <c r="E440" s="17"/>
      <c r="F440" s="17" t="s">
        <v>2589</v>
      </c>
      <c r="G440" s="17" t="s">
        <v>2590</v>
      </c>
      <c r="H440" s="17" t="s">
        <v>28</v>
      </c>
      <c r="I440" s="17" t="s">
        <v>26</v>
      </c>
      <c r="J440" s="18" t="s">
        <v>2591</v>
      </c>
      <c r="K440" s="17" t="s">
        <v>23</v>
      </c>
      <c r="L440" s="17" t="s">
        <v>2592</v>
      </c>
      <c r="M440" s="17" t="s">
        <v>1012</v>
      </c>
      <c r="N440" s="17" t="s">
        <v>2593</v>
      </c>
      <c r="O440" s="18" t="s">
        <v>1017</v>
      </c>
      <c r="P440" s="18" t="s">
        <v>25</v>
      </c>
      <c r="Q440" s="32">
        <f t="shared" si="12"/>
        <v>16</v>
      </c>
      <c r="R440" s="32">
        <f t="shared" si="13"/>
        <v>11</v>
      </c>
      <c r="S440" s="15" t="s">
        <v>492</v>
      </c>
    </row>
    <row r="441" spans="1:19" x14ac:dyDescent="0.25">
      <c r="A441" s="2">
        <v>439</v>
      </c>
      <c r="B441" s="11" t="s">
        <v>490</v>
      </c>
      <c r="C441" s="17" t="s">
        <v>936</v>
      </c>
      <c r="D441" s="17" t="s">
        <v>1011</v>
      </c>
      <c r="E441" s="17"/>
      <c r="F441" s="17" t="s">
        <v>2594</v>
      </c>
      <c r="G441" s="17" t="s">
        <v>2590</v>
      </c>
      <c r="H441" s="17" t="s">
        <v>28</v>
      </c>
      <c r="I441" s="17" t="s">
        <v>22</v>
      </c>
      <c r="J441" s="18" t="s">
        <v>2595</v>
      </c>
      <c r="K441" s="17" t="s">
        <v>23</v>
      </c>
      <c r="L441" s="17" t="s">
        <v>2592</v>
      </c>
      <c r="M441" s="17" t="s">
        <v>1012</v>
      </c>
      <c r="N441" s="17" t="s">
        <v>2593</v>
      </c>
      <c r="O441" s="18" t="s">
        <v>1017</v>
      </c>
      <c r="P441" s="18" t="s">
        <v>25</v>
      </c>
      <c r="Q441" s="32">
        <f t="shared" si="12"/>
        <v>16</v>
      </c>
      <c r="R441" s="32">
        <f t="shared" si="13"/>
        <v>11</v>
      </c>
      <c r="S441" s="15" t="s">
        <v>492</v>
      </c>
    </row>
    <row r="442" spans="1:19" x14ac:dyDescent="0.25">
      <c r="A442" s="3">
        <v>440</v>
      </c>
      <c r="B442" s="11" t="s">
        <v>490</v>
      </c>
      <c r="C442" s="17" t="s">
        <v>937</v>
      </c>
      <c r="D442" s="17" t="s">
        <v>1011</v>
      </c>
      <c r="E442" s="17"/>
      <c r="F442" s="17" t="s">
        <v>2596</v>
      </c>
      <c r="G442" s="17" t="s">
        <v>2590</v>
      </c>
      <c r="H442" s="17" t="s">
        <v>28</v>
      </c>
      <c r="I442" s="17" t="s">
        <v>28</v>
      </c>
      <c r="J442" s="18" t="s">
        <v>2597</v>
      </c>
      <c r="K442" s="17" t="s">
        <v>23</v>
      </c>
      <c r="L442" s="17" t="s">
        <v>2592</v>
      </c>
      <c r="M442" s="17" t="s">
        <v>1012</v>
      </c>
      <c r="N442" s="17" t="s">
        <v>2593</v>
      </c>
      <c r="O442" s="18" t="s">
        <v>1017</v>
      </c>
      <c r="P442" s="18" t="s">
        <v>25</v>
      </c>
      <c r="Q442" s="32">
        <f t="shared" si="12"/>
        <v>16</v>
      </c>
      <c r="R442" s="32">
        <f t="shared" si="13"/>
        <v>11</v>
      </c>
      <c r="S442" s="15" t="s">
        <v>492</v>
      </c>
    </row>
    <row r="443" spans="1:19" x14ac:dyDescent="0.25">
      <c r="A443" s="2">
        <v>441</v>
      </c>
      <c r="B443" s="11" t="s">
        <v>490</v>
      </c>
      <c r="C443" s="17" t="s">
        <v>938</v>
      </c>
      <c r="D443" s="17" t="s">
        <v>1011</v>
      </c>
      <c r="E443" s="17"/>
      <c r="F443" s="17" t="s">
        <v>2598</v>
      </c>
      <c r="G443" s="17" t="s">
        <v>2590</v>
      </c>
      <c r="H443" s="17" t="s">
        <v>28</v>
      </c>
      <c r="I443" s="17" t="s">
        <v>27</v>
      </c>
      <c r="J443" s="18" t="s">
        <v>2599</v>
      </c>
      <c r="K443" s="17" t="s">
        <v>23</v>
      </c>
      <c r="L443" s="17" t="s">
        <v>2592</v>
      </c>
      <c r="M443" s="17" t="s">
        <v>1012</v>
      </c>
      <c r="N443" s="17" t="s">
        <v>2593</v>
      </c>
      <c r="O443" s="18" t="s">
        <v>1017</v>
      </c>
      <c r="P443" s="18" t="s">
        <v>25</v>
      </c>
      <c r="Q443" s="32">
        <f t="shared" si="12"/>
        <v>16</v>
      </c>
      <c r="R443" s="32">
        <f t="shared" si="13"/>
        <v>11</v>
      </c>
      <c r="S443" s="15" t="s">
        <v>492</v>
      </c>
    </row>
    <row r="444" spans="1:19" x14ac:dyDescent="0.25">
      <c r="A444" s="3">
        <v>442</v>
      </c>
      <c r="B444" s="11" t="s">
        <v>490</v>
      </c>
      <c r="C444" s="17" t="s">
        <v>939</v>
      </c>
      <c r="D444" s="17" t="s">
        <v>1011</v>
      </c>
      <c r="E444" s="17"/>
      <c r="F444" s="17" t="s">
        <v>2600</v>
      </c>
      <c r="G444" s="17" t="s">
        <v>2590</v>
      </c>
      <c r="H444" s="17" t="s">
        <v>63</v>
      </c>
      <c r="I444" s="17" t="s">
        <v>26</v>
      </c>
      <c r="J444" s="18" t="s">
        <v>2601</v>
      </c>
      <c r="K444" s="17" t="s">
        <v>23</v>
      </c>
      <c r="L444" s="17" t="s">
        <v>2602</v>
      </c>
      <c r="M444" s="17" t="s">
        <v>1012</v>
      </c>
      <c r="N444" s="17" t="s">
        <v>2603</v>
      </c>
      <c r="O444" s="18" t="s">
        <v>1017</v>
      </c>
      <c r="P444" s="18" t="s">
        <v>25</v>
      </c>
      <c r="Q444" s="32">
        <f t="shared" si="12"/>
        <v>16</v>
      </c>
      <c r="R444" s="32">
        <f t="shared" si="13"/>
        <v>13</v>
      </c>
      <c r="S444" s="15" t="s">
        <v>492</v>
      </c>
    </row>
    <row r="445" spans="1:19" x14ac:dyDescent="0.25">
      <c r="A445" s="2">
        <v>443</v>
      </c>
      <c r="B445" s="11" t="s">
        <v>490</v>
      </c>
      <c r="C445" s="17" t="s">
        <v>940</v>
      </c>
      <c r="D445" s="17" t="s">
        <v>1011</v>
      </c>
      <c r="E445" s="17"/>
      <c r="F445" s="17" t="s">
        <v>2604</v>
      </c>
      <c r="G445" s="17" t="s">
        <v>2590</v>
      </c>
      <c r="H445" s="17" t="s">
        <v>63</v>
      </c>
      <c r="I445" s="17" t="s">
        <v>22</v>
      </c>
      <c r="J445" s="18" t="s">
        <v>2605</v>
      </c>
      <c r="K445" s="17" t="s">
        <v>23</v>
      </c>
      <c r="L445" s="17" t="s">
        <v>2602</v>
      </c>
      <c r="M445" s="17" t="s">
        <v>1012</v>
      </c>
      <c r="N445" s="17" t="s">
        <v>2603</v>
      </c>
      <c r="O445" s="18" t="s">
        <v>1017</v>
      </c>
      <c r="P445" s="18" t="s">
        <v>25</v>
      </c>
      <c r="Q445" s="32">
        <f t="shared" si="12"/>
        <v>16</v>
      </c>
      <c r="R445" s="32">
        <f t="shared" si="13"/>
        <v>13</v>
      </c>
      <c r="S445" s="15" t="s">
        <v>492</v>
      </c>
    </row>
    <row r="446" spans="1:19" x14ac:dyDescent="0.25">
      <c r="A446" s="3">
        <v>444</v>
      </c>
      <c r="B446" s="11" t="s">
        <v>490</v>
      </c>
      <c r="C446" s="17" t="s">
        <v>941</v>
      </c>
      <c r="D446" s="17" t="s">
        <v>1011</v>
      </c>
      <c r="E446" s="17"/>
      <c r="F446" s="17" t="s">
        <v>2606</v>
      </c>
      <c r="G446" s="17" t="s">
        <v>2607</v>
      </c>
      <c r="H446" s="17" t="s">
        <v>41</v>
      </c>
      <c r="I446" s="17" t="s">
        <v>26</v>
      </c>
      <c r="J446" s="18" t="s">
        <v>2608</v>
      </c>
      <c r="K446" s="17" t="s">
        <v>23</v>
      </c>
      <c r="L446" s="17" t="s">
        <v>2609</v>
      </c>
      <c r="M446" s="17" t="s">
        <v>1012</v>
      </c>
      <c r="N446" s="17" t="s">
        <v>2610</v>
      </c>
      <c r="O446" s="18" t="s">
        <v>1017</v>
      </c>
      <c r="P446" s="18" t="s">
        <v>25</v>
      </c>
      <c r="Q446" s="32">
        <f t="shared" si="12"/>
        <v>16</v>
      </c>
      <c r="R446" s="32">
        <f t="shared" si="13"/>
        <v>11</v>
      </c>
      <c r="S446" s="15" t="s">
        <v>492</v>
      </c>
    </row>
    <row r="447" spans="1:19" x14ac:dyDescent="0.25">
      <c r="A447" s="2">
        <v>445</v>
      </c>
      <c r="B447" s="11" t="s">
        <v>490</v>
      </c>
      <c r="C447" s="17" t="s">
        <v>942</v>
      </c>
      <c r="D447" s="17" t="s">
        <v>1011</v>
      </c>
      <c r="E447" s="17"/>
      <c r="F447" s="17" t="s">
        <v>2611</v>
      </c>
      <c r="G447" s="17" t="s">
        <v>2607</v>
      </c>
      <c r="H447" s="17" t="s">
        <v>41</v>
      </c>
      <c r="I447" s="17" t="s">
        <v>22</v>
      </c>
      <c r="J447" s="18" t="s">
        <v>2612</v>
      </c>
      <c r="K447" s="17" t="s">
        <v>23</v>
      </c>
      <c r="L447" s="17" t="s">
        <v>2609</v>
      </c>
      <c r="M447" s="17" t="s">
        <v>1012</v>
      </c>
      <c r="N447" s="17" t="s">
        <v>2610</v>
      </c>
      <c r="O447" s="18" t="s">
        <v>1017</v>
      </c>
      <c r="P447" s="18" t="s">
        <v>25</v>
      </c>
      <c r="Q447" s="32">
        <f t="shared" si="12"/>
        <v>16</v>
      </c>
      <c r="R447" s="32">
        <f t="shared" si="13"/>
        <v>11</v>
      </c>
      <c r="S447" s="15" t="s">
        <v>492</v>
      </c>
    </row>
    <row r="448" spans="1:19" x14ac:dyDescent="0.25">
      <c r="A448" s="3">
        <v>446</v>
      </c>
      <c r="B448" s="11" t="s">
        <v>490</v>
      </c>
      <c r="C448" s="17" t="s">
        <v>943</v>
      </c>
      <c r="D448" s="17" t="s">
        <v>1011</v>
      </c>
      <c r="E448" s="17"/>
      <c r="F448" s="17" t="s">
        <v>2613</v>
      </c>
      <c r="G448" s="17" t="s">
        <v>2607</v>
      </c>
      <c r="H448" s="17" t="s">
        <v>34</v>
      </c>
      <c r="I448" s="17" t="s">
        <v>26</v>
      </c>
      <c r="J448" s="18" t="s">
        <v>2614</v>
      </c>
      <c r="K448" s="17" t="s">
        <v>23</v>
      </c>
      <c r="L448" s="17" t="s">
        <v>2615</v>
      </c>
      <c r="M448" s="17" t="s">
        <v>1012</v>
      </c>
      <c r="N448" s="17" t="s">
        <v>2616</v>
      </c>
      <c r="O448" s="18" t="s">
        <v>1017</v>
      </c>
      <c r="P448" s="18" t="s">
        <v>25</v>
      </c>
      <c r="Q448" s="32">
        <f t="shared" si="12"/>
        <v>16</v>
      </c>
      <c r="R448" s="32">
        <f t="shared" si="13"/>
        <v>11</v>
      </c>
      <c r="S448" s="15" t="s">
        <v>492</v>
      </c>
    </row>
    <row r="449" spans="1:19" x14ac:dyDescent="0.25">
      <c r="A449" s="2">
        <v>447</v>
      </c>
      <c r="B449" s="11" t="s">
        <v>490</v>
      </c>
      <c r="C449" s="17" t="s">
        <v>944</v>
      </c>
      <c r="D449" s="17" t="s">
        <v>1011</v>
      </c>
      <c r="E449" s="17"/>
      <c r="F449" s="17" t="s">
        <v>2617</v>
      </c>
      <c r="G449" s="17" t="s">
        <v>2607</v>
      </c>
      <c r="H449" s="17" t="s">
        <v>34</v>
      </c>
      <c r="I449" s="17" t="s">
        <v>22</v>
      </c>
      <c r="J449" s="18" t="s">
        <v>2618</v>
      </c>
      <c r="K449" s="17" t="s">
        <v>23</v>
      </c>
      <c r="L449" s="17" t="s">
        <v>2615</v>
      </c>
      <c r="M449" s="17" t="s">
        <v>1012</v>
      </c>
      <c r="N449" s="17" t="s">
        <v>2616</v>
      </c>
      <c r="O449" s="18" t="s">
        <v>1017</v>
      </c>
      <c r="P449" s="18" t="s">
        <v>25</v>
      </c>
      <c r="Q449" s="32">
        <f t="shared" si="12"/>
        <v>16</v>
      </c>
      <c r="R449" s="32">
        <f t="shared" si="13"/>
        <v>11</v>
      </c>
      <c r="S449" s="15" t="s">
        <v>492</v>
      </c>
    </row>
    <row r="450" spans="1:19" x14ac:dyDescent="0.25">
      <c r="A450" s="3">
        <v>448</v>
      </c>
      <c r="B450" s="11" t="s">
        <v>490</v>
      </c>
      <c r="C450" s="17" t="s">
        <v>945</v>
      </c>
      <c r="D450" s="17" t="s">
        <v>1011</v>
      </c>
      <c r="E450" s="17"/>
      <c r="F450" s="17" t="s">
        <v>2619</v>
      </c>
      <c r="G450" s="17" t="s">
        <v>2620</v>
      </c>
      <c r="H450" s="17" t="s">
        <v>41</v>
      </c>
      <c r="I450" s="17" t="s">
        <v>26</v>
      </c>
      <c r="J450" s="18" t="s">
        <v>2621</v>
      </c>
      <c r="K450" s="17" t="s">
        <v>23</v>
      </c>
      <c r="L450" s="17" t="s">
        <v>2622</v>
      </c>
      <c r="M450" s="17" t="s">
        <v>1012</v>
      </c>
      <c r="N450" s="17" t="s">
        <v>2623</v>
      </c>
      <c r="O450" s="18" t="s">
        <v>1017</v>
      </c>
      <c r="P450" s="18" t="s">
        <v>25</v>
      </c>
      <c r="Q450" s="32">
        <f t="shared" si="12"/>
        <v>16</v>
      </c>
      <c r="R450" s="32">
        <f t="shared" si="13"/>
        <v>11</v>
      </c>
      <c r="S450" s="15" t="s">
        <v>492</v>
      </c>
    </row>
    <row r="451" spans="1:19" x14ac:dyDescent="0.25">
      <c r="A451" s="2">
        <v>449</v>
      </c>
      <c r="B451" s="11" t="s">
        <v>490</v>
      </c>
      <c r="C451" s="17" t="s">
        <v>946</v>
      </c>
      <c r="D451" s="17" t="s">
        <v>1011</v>
      </c>
      <c r="E451" s="17"/>
      <c r="F451" s="17" t="s">
        <v>2624</v>
      </c>
      <c r="G451" s="17" t="s">
        <v>2625</v>
      </c>
      <c r="H451" s="17" t="s">
        <v>1401</v>
      </c>
      <c r="I451" s="17" t="s">
        <v>26</v>
      </c>
      <c r="J451" s="18" t="s">
        <v>2626</v>
      </c>
      <c r="K451" s="17" t="s">
        <v>23</v>
      </c>
      <c r="L451" s="17" t="s">
        <v>2627</v>
      </c>
      <c r="M451" s="17" t="s">
        <v>1012</v>
      </c>
      <c r="N451" s="17" t="s">
        <v>2628</v>
      </c>
      <c r="O451" s="18" t="s">
        <v>1017</v>
      </c>
      <c r="P451" s="18" t="s">
        <v>25</v>
      </c>
      <c r="Q451" s="32">
        <f t="shared" ref="Q451:Q514" si="14">LEN(L451)</f>
        <v>16</v>
      </c>
      <c r="R451" s="32">
        <f t="shared" ref="R451:R514" si="15">LEN(N451)</f>
        <v>10</v>
      </c>
      <c r="S451" s="15" t="s">
        <v>492</v>
      </c>
    </row>
    <row r="452" spans="1:19" x14ac:dyDescent="0.25">
      <c r="A452" s="3">
        <v>450</v>
      </c>
      <c r="B452" s="11" t="s">
        <v>490</v>
      </c>
      <c r="C452" s="17" t="s">
        <v>947</v>
      </c>
      <c r="D452" s="17" t="s">
        <v>1011</v>
      </c>
      <c r="E452" s="17"/>
      <c r="F452" s="17" t="s">
        <v>2629</v>
      </c>
      <c r="G452" s="17" t="s">
        <v>2625</v>
      </c>
      <c r="H452" s="17" t="s">
        <v>108</v>
      </c>
      <c r="I452" s="17" t="s">
        <v>26</v>
      </c>
      <c r="J452" s="18" t="s">
        <v>2630</v>
      </c>
      <c r="K452" s="17" t="s">
        <v>23</v>
      </c>
      <c r="L452" s="17" t="s">
        <v>2631</v>
      </c>
      <c r="M452" s="17" t="s">
        <v>1012</v>
      </c>
      <c r="N452" s="17" t="s">
        <v>2632</v>
      </c>
      <c r="O452" s="18" t="s">
        <v>1017</v>
      </c>
      <c r="P452" s="18" t="s">
        <v>25</v>
      </c>
      <c r="Q452" s="32">
        <f t="shared" si="14"/>
        <v>16</v>
      </c>
      <c r="R452" s="32">
        <f t="shared" si="15"/>
        <v>12</v>
      </c>
      <c r="S452" s="15" t="s">
        <v>492</v>
      </c>
    </row>
    <row r="453" spans="1:19" x14ac:dyDescent="0.25">
      <c r="A453" s="2">
        <v>451</v>
      </c>
      <c r="B453" s="11" t="s">
        <v>490</v>
      </c>
      <c r="C453" s="17" t="s">
        <v>948</v>
      </c>
      <c r="D453" s="17" t="s">
        <v>1011</v>
      </c>
      <c r="E453" s="17"/>
      <c r="F453" s="17" t="s">
        <v>2633</v>
      </c>
      <c r="G453" s="17" t="s">
        <v>2625</v>
      </c>
      <c r="H453" s="17" t="s">
        <v>2351</v>
      </c>
      <c r="I453" s="17" t="s">
        <v>26</v>
      </c>
      <c r="J453" s="18" t="s">
        <v>2634</v>
      </c>
      <c r="K453" s="17" t="s">
        <v>23</v>
      </c>
      <c r="L453" s="17" t="s">
        <v>2635</v>
      </c>
      <c r="M453" s="17" t="s">
        <v>1012</v>
      </c>
      <c r="N453" s="17" t="s">
        <v>2636</v>
      </c>
      <c r="O453" s="18" t="s">
        <v>1017</v>
      </c>
      <c r="P453" s="18" t="s">
        <v>25</v>
      </c>
      <c r="Q453" s="32">
        <f t="shared" si="14"/>
        <v>16</v>
      </c>
      <c r="R453" s="32">
        <f t="shared" si="15"/>
        <v>11</v>
      </c>
      <c r="S453" s="15" t="s">
        <v>492</v>
      </c>
    </row>
    <row r="454" spans="1:19" x14ac:dyDescent="0.25">
      <c r="A454" s="3">
        <v>452</v>
      </c>
      <c r="B454" s="11" t="s">
        <v>490</v>
      </c>
      <c r="C454" s="17" t="s">
        <v>949</v>
      </c>
      <c r="D454" s="17" t="s">
        <v>1011</v>
      </c>
      <c r="E454" s="17"/>
      <c r="F454" s="17" t="s">
        <v>2637</v>
      </c>
      <c r="G454" s="17" t="s">
        <v>2625</v>
      </c>
      <c r="H454" s="17" t="s">
        <v>2638</v>
      </c>
      <c r="I454" s="17" t="s">
        <v>26</v>
      </c>
      <c r="J454" s="18" t="s">
        <v>2639</v>
      </c>
      <c r="K454" s="17" t="s">
        <v>23</v>
      </c>
      <c r="L454" s="17" t="s">
        <v>2640</v>
      </c>
      <c r="M454" s="17" t="s">
        <v>1012</v>
      </c>
      <c r="N454" s="17" t="s">
        <v>2641</v>
      </c>
      <c r="O454" s="18" t="s">
        <v>1017</v>
      </c>
      <c r="P454" s="18" t="s">
        <v>25</v>
      </c>
      <c r="Q454" s="32">
        <f t="shared" si="14"/>
        <v>16</v>
      </c>
      <c r="R454" s="32">
        <f t="shared" si="15"/>
        <v>11</v>
      </c>
      <c r="S454" s="15" t="s">
        <v>492</v>
      </c>
    </row>
    <row r="455" spans="1:19" x14ac:dyDescent="0.25">
      <c r="A455" s="2">
        <v>453</v>
      </c>
      <c r="B455" s="11" t="s">
        <v>490</v>
      </c>
      <c r="C455" s="17" t="s">
        <v>950</v>
      </c>
      <c r="D455" s="17" t="s">
        <v>1011</v>
      </c>
      <c r="E455" s="17"/>
      <c r="F455" s="17" t="s">
        <v>2642</v>
      </c>
      <c r="G455" s="17" t="s">
        <v>2625</v>
      </c>
      <c r="H455" s="17" t="s">
        <v>2638</v>
      </c>
      <c r="I455" s="17" t="s">
        <v>22</v>
      </c>
      <c r="J455" s="18" t="s">
        <v>2643</v>
      </c>
      <c r="K455" s="17" t="s">
        <v>23</v>
      </c>
      <c r="L455" s="17" t="s">
        <v>2640</v>
      </c>
      <c r="M455" s="17" t="s">
        <v>1012</v>
      </c>
      <c r="N455" s="17" t="s">
        <v>2641</v>
      </c>
      <c r="O455" s="18" t="s">
        <v>1017</v>
      </c>
      <c r="P455" s="18" t="s">
        <v>25</v>
      </c>
      <c r="Q455" s="32">
        <f t="shared" si="14"/>
        <v>16</v>
      </c>
      <c r="R455" s="32">
        <f t="shared" si="15"/>
        <v>11</v>
      </c>
      <c r="S455" s="15" t="s">
        <v>492</v>
      </c>
    </row>
    <row r="456" spans="1:19" x14ac:dyDescent="0.25">
      <c r="A456" s="3">
        <v>454</v>
      </c>
      <c r="B456" s="11" t="s">
        <v>490</v>
      </c>
      <c r="C456" s="17" t="s">
        <v>951</v>
      </c>
      <c r="D456" s="17" t="s">
        <v>1011</v>
      </c>
      <c r="E456" s="17"/>
      <c r="F456" s="17" t="s">
        <v>2644</v>
      </c>
      <c r="G456" s="17" t="s">
        <v>2625</v>
      </c>
      <c r="H456" s="17" t="s">
        <v>2645</v>
      </c>
      <c r="I456" s="17" t="s">
        <v>26</v>
      </c>
      <c r="J456" s="18" t="s">
        <v>2646</v>
      </c>
      <c r="K456" s="17" t="s">
        <v>23</v>
      </c>
      <c r="L456" s="17" t="s">
        <v>2647</v>
      </c>
      <c r="M456" s="17" t="s">
        <v>1012</v>
      </c>
      <c r="N456" s="17" t="s">
        <v>2648</v>
      </c>
      <c r="O456" s="18" t="s">
        <v>1017</v>
      </c>
      <c r="P456" s="18" t="s">
        <v>25</v>
      </c>
      <c r="Q456" s="32">
        <f t="shared" si="14"/>
        <v>16</v>
      </c>
      <c r="R456" s="32">
        <f t="shared" si="15"/>
        <v>11</v>
      </c>
      <c r="S456" s="15" t="s">
        <v>495</v>
      </c>
    </row>
    <row r="457" spans="1:19" x14ac:dyDescent="0.25">
      <c r="A457" s="2">
        <v>455</v>
      </c>
      <c r="B457" s="11" t="s">
        <v>490</v>
      </c>
      <c r="C457" s="17" t="s">
        <v>952</v>
      </c>
      <c r="D457" s="17" t="s">
        <v>1011</v>
      </c>
      <c r="E457" s="17"/>
      <c r="F457" s="17" t="s">
        <v>2649</v>
      </c>
      <c r="G457" s="17" t="s">
        <v>2625</v>
      </c>
      <c r="H457" s="17" t="s">
        <v>2650</v>
      </c>
      <c r="I457" s="17" t="s">
        <v>26</v>
      </c>
      <c r="J457" s="18" t="s">
        <v>2651</v>
      </c>
      <c r="K457" s="17" t="s">
        <v>23</v>
      </c>
      <c r="L457" s="17" t="s">
        <v>2652</v>
      </c>
      <c r="M457" s="17" t="s">
        <v>1012</v>
      </c>
      <c r="N457" s="17" t="s">
        <v>2653</v>
      </c>
      <c r="O457" s="18" t="s">
        <v>1017</v>
      </c>
      <c r="P457" s="18" t="s">
        <v>25</v>
      </c>
      <c r="Q457" s="32">
        <f t="shared" si="14"/>
        <v>16</v>
      </c>
      <c r="R457" s="32">
        <f t="shared" si="15"/>
        <v>11</v>
      </c>
      <c r="S457" s="15" t="s">
        <v>492</v>
      </c>
    </row>
    <row r="458" spans="1:19" x14ac:dyDescent="0.25">
      <c r="A458" s="3">
        <v>456</v>
      </c>
      <c r="B458" s="11" t="s">
        <v>490</v>
      </c>
      <c r="C458" s="17" t="s">
        <v>953</v>
      </c>
      <c r="D458" s="17" t="s">
        <v>1011</v>
      </c>
      <c r="E458" s="17"/>
      <c r="F458" s="17" t="s">
        <v>2654</v>
      </c>
      <c r="G458" s="17" t="s">
        <v>2625</v>
      </c>
      <c r="H458" s="17" t="s">
        <v>2655</v>
      </c>
      <c r="I458" s="17" t="s">
        <v>26</v>
      </c>
      <c r="J458" s="18" t="s">
        <v>2656</v>
      </c>
      <c r="K458" s="17" t="s">
        <v>23</v>
      </c>
      <c r="L458" s="17" t="s">
        <v>2657</v>
      </c>
      <c r="M458" s="17" t="s">
        <v>1012</v>
      </c>
      <c r="N458" s="17" t="s">
        <v>2658</v>
      </c>
      <c r="O458" s="18" t="s">
        <v>1017</v>
      </c>
      <c r="P458" s="18" t="s">
        <v>25</v>
      </c>
      <c r="Q458" s="32">
        <f t="shared" si="14"/>
        <v>16</v>
      </c>
      <c r="R458" s="32">
        <f t="shared" si="15"/>
        <v>15</v>
      </c>
      <c r="S458" s="15" t="s">
        <v>492</v>
      </c>
    </row>
    <row r="459" spans="1:19" x14ac:dyDescent="0.25">
      <c r="A459" s="2">
        <v>457</v>
      </c>
      <c r="B459" s="11" t="s">
        <v>490</v>
      </c>
      <c r="C459" s="17" t="s">
        <v>954</v>
      </c>
      <c r="D459" s="17" t="s">
        <v>1011</v>
      </c>
      <c r="E459" s="17"/>
      <c r="F459" s="17" t="s">
        <v>2659</v>
      </c>
      <c r="G459" s="17" t="s">
        <v>2625</v>
      </c>
      <c r="H459" s="17" t="s">
        <v>2660</v>
      </c>
      <c r="I459" s="17" t="s">
        <v>26</v>
      </c>
      <c r="J459" s="18" t="s">
        <v>2661</v>
      </c>
      <c r="K459" s="17" t="s">
        <v>23</v>
      </c>
      <c r="L459" s="17" t="s">
        <v>2662</v>
      </c>
      <c r="M459" s="17" t="s">
        <v>1012</v>
      </c>
      <c r="N459" s="17" t="s">
        <v>2663</v>
      </c>
      <c r="O459" s="18" t="s">
        <v>1017</v>
      </c>
      <c r="P459" s="18" t="s">
        <v>25</v>
      </c>
      <c r="Q459" s="32">
        <f t="shared" si="14"/>
        <v>16</v>
      </c>
      <c r="R459" s="32">
        <f t="shared" si="15"/>
        <v>12</v>
      </c>
      <c r="S459" s="15" t="s">
        <v>492</v>
      </c>
    </row>
    <row r="460" spans="1:19" x14ac:dyDescent="0.25">
      <c r="A460" s="3">
        <v>458</v>
      </c>
      <c r="B460" s="11" t="s">
        <v>490</v>
      </c>
      <c r="C460" s="17" t="s">
        <v>955</v>
      </c>
      <c r="D460" s="17" t="s">
        <v>1011</v>
      </c>
      <c r="E460" s="17"/>
      <c r="F460" s="17" t="s">
        <v>2664</v>
      </c>
      <c r="G460" s="17" t="s">
        <v>2625</v>
      </c>
      <c r="H460" s="17" t="s">
        <v>2665</v>
      </c>
      <c r="I460" s="17" t="s">
        <v>22</v>
      </c>
      <c r="J460" s="18" t="s">
        <v>2666</v>
      </c>
      <c r="K460" s="17" t="s">
        <v>23</v>
      </c>
      <c r="L460" s="17" t="s">
        <v>2667</v>
      </c>
      <c r="M460" s="17" t="s">
        <v>1012</v>
      </c>
      <c r="N460" s="17" t="s">
        <v>2668</v>
      </c>
      <c r="O460" s="18" t="s">
        <v>1017</v>
      </c>
      <c r="P460" s="18" t="s">
        <v>25</v>
      </c>
      <c r="Q460" s="32">
        <f t="shared" si="14"/>
        <v>16</v>
      </c>
      <c r="R460" s="32">
        <f t="shared" si="15"/>
        <v>14</v>
      </c>
      <c r="S460" s="15" t="s">
        <v>492</v>
      </c>
    </row>
    <row r="461" spans="1:19" x14ac:dyDescent="0.25">
      <c r="A461" s="2">
        <v>459</v>
      </c>
      <c r="B461" s="11" t="s">
        <v>490</v>
      </c>
      <c r="C461" s="17" t="s">
        <v>956</v>
      </c>
      <c r="D461" s="17" t="s">
        <v>1011</v>
      </c>
      <c r="E461" s="17"/>
      <c r="F461" s="17" t="s">
        <v>2669</v>
      </c>
      <c r="G461" s="17" t="s">
        <v>2625</v>
      </c>
      <c r="H461" s="17" t="s">
        <v>1678</v>
      </c>
      <c r="I461" s="17" t="s">
        <v>26</v>
      </c>
      <c r="J461" s="18" t="s">
        <v>2670</v>
      </c>
      <c r="K461" s="17" t="s">
        <v>23</v>
      </c>
      <c r="L461" s="17" t="s">
        <v>2671</v>
      </c>
      <c r="M461" s="17" t="s">
        <v>1012</v>
      </c>
      <c r="N461" s="17" t="s">
        <v>2672</v>
      </c>
      <c r="O461" s="18" t="s">
        <v>1017</v>
      </c>
      <c r="P461" s="18" t="s">
        <v>25</v>
      </c>
      <c r="Q461" s="32">
        <f t="shared" si="14"/>
        <v>16</v>
      </c>
      <c r="R461" s="32">
        <f t="shared" si="15"/>
        <v>14</v>
      </c>
      <c r="S461" s="15" t="s">
        <v>492</v>
      </c>
    </row>
    <row r="462" spans="1:19" x14ac:dyDescent="0.25">
      <c r="A462" s="3">
        <v>460</v>
      </c>
      <c r="B462" s="11" t="s">
        <v>490</v>
      </c>
      <c r="C462" s="17" t="s">
        <v>957</v>
      </c>
      <c r="D462" s="17" t="s">
        <v>1011</v>
      </c>
      <c r="E462" s="17"/>
      <c r="F462" s="17" t="s">
        <v>2673</v>
      </c>
      <c r="G462" s="17" t="s">
        <v>2625</v>
      </c>
      <c r="H462" s="17" t="s">
        <v>2674</v>
      </c>
      <c r="I462" s="17" t="s">
        <v>26</v>
      </c>
      <c r="J462" s="18" t="s">
        <v>2675</v>
      </c>
      <c r="K462" s="17" t="s">
        <v>23</v>
      </c>
      <c r="L462" s="17" t="s">
        <v>2676</v>
      </c>
      <c r="M462" s="17" t="s">
        <v>1012</v>
      </c>
      <c r="N462" s="17" t="s">
        <v>2677</v>
      </c>
      <c r="O462" s="18" t="s">
        <v>1017</v>
      </c>
      <c r="P462" s="18" t="s">
        <v>25</v>
      </c>
      <c r="Q462" s="32">
        <f t="shared" si="14"/>
        <v>16</v>
      </c>
      <c r="R462" s="32">
        <f t="shared" si="15"/>
        <v>15</v>
      </c>
      <c r="S462" s="15" t="s">
        <v>492</v>
      </c>
    </row>
    <row r="463" spans="1:19" x14ac:dyDescent="0.25">
      <c r="A463" s="2">
        <v>461</v>
      </c>
      <c r="B463" s="11" t="s">
        <v>490</v>
      </c>
      <c r="C463" s="17" t="s">
        <v>958</v>
      </c>
      <c r="D463" s="17" t="s">
        <v>1011</v>
      </c>
      <c r="E463" s="17"/>
      <c r="F463" s="17" t="s">
        <v>2678</v>
      </c>
      <c r="G463" s="17" t="s">
        <v>2625</v>
      </c>
      <c r="H463" s="17" t="s">
        <v>2679</v>
      </c>
      <c r="I463" s="17" t="s">
        <v>26</v>
      </c>
      <c r="J463" s="18" t="s">
        <v>2680</v>
      </c>
      <c r="K463" s="17" t="s">
        <v>23</v>
      </c>
      <c r="L463" s="17" t="s">
        <v>2681</v>
      </c>
      <c r="M463" s="17" t="s">
        <v>1012</v>
      </c>
      <c r="N463" s="17" t="s">
        <v>2682</v>
      </c>
      <c r="O463" s="18" t="s">
        <v>1017</v>
      </c>
      <c r="P463" s="18" t="s">
        <v>25</v>
      </c>
      <c r="Q463" s="32">
        <f t="shared" si="14"/>
        <v>16</v>
      </c>
      <c r="R463" s="32">
        <f t="shared" si="15"/>
        <v>11</v>
      </c>
      <c r="S463" s="15" t="s">
        <v>493</v>
      </c>
    </row>
    <row r="464" spans="1:19" x14ac:dyDescent="0.25">
      <c r="A464" s="3">
        <v>462</v>
      </c>
      <c r="B464" s="11" t="s">
        <v>490</v>
      </c>
      <c r="C464" s="17" t="s">
        <v>959</v>
      </c>
      <c r="D464" s="17" t="s">
        <v>1011</v>
      </c>
      <c r="E464" s="17"/>
      <c r="F464" s="17" t="s">
        <v>2683</v>
      </c>
      <c r="G464" s="17" t="s">
        <v>2625</v>
      </c>
      <c r="H464" s="17" t="s">
        <v>2684</v>
      </c>
      <c r="I464" s="17" t="s">
        <v>26</v>
      </c>
      <c r="J464" s="18" t="s">
        <v>2685</v>
      </c>
      <c r="K464" s="17" t="s">
        <v>23</v>
      </c>
      <c r="L464" s="17" t="s">
        <v>2686</v>
      </c>
      <c r="M464" s="17" t="s">
        <v>1012</v>
      </c>
      <c r="N464" s="17" t="s">
        <v>2687</v>
      </c>
      <c r="O464" s="18" t="s">
        <v>1017</v>
      </c>
      <c r="P464" s="18" t="s">
        <v>25</v>
      </c>
      <c r="Q464" s="32">
        <f t="shared" si="14"/>
        <v>16</v>
      </c>
      <c r="R464" s="32">
        <f t="shared" si="15"/>
        <v>11</v>
      </c>
      <c r="S464" s="15" t="s">
        <v>492</v>
      </c>
    </row>
    <row r="465" spans="1:19" x14ac:dyDescent="0.25">
      <c r="A465" s="2">
        <v>463</v>
      </c>
      <c r="B465" s="11" t="s">
        <v>490</v>
      </c>
      <c r="C465" s="17" t="s">
        <v>960</v>
      </c>
      <c r="D465" s="17" t="s">
        <v>1011</v>
      </c>
      <c r="E465" s="17"/>
      <c r="F465" s="17" t="s">
        <v>2688</v>
      </c>
      <c r="G465" s="17" t="s">
        <v>2625</v>
      </c>
      <c r="H465" s="17" t="s">
        <v>2689</v>
      </c>
      <c r="I465" s="17" t="s">
        <v>26</v>
      </c>
      <c r="J465" s="18" t="s">
        <v>2690</v>
      </c>
      <c r="K465" s="17" t="s">
        <v>23</v>
      </c>
      <c r="L465" s="17" t="s">
        <v>2691</v>
      </c>
      <c r="M465" s="17" t="s">
        <v>1012</v>
      </c>
      <c r="N465" s="17" t="s">
        <v>2692</v>
      </c>
      <c r="O465" s="18" t="s">
        <v>1017</v>
      </c>
      <c r="P465" s="18" t="s">
        <v>25</v>
      </c>
      <c r="Q465" s="32">
        <f t="shared" si="14"/>
        <v>16</v>
      </c>
      <c r="R465" s="32">
        <f t="shared" si="15"/>
        <v>15</v>
      </c>
      <c r="S465" s="15" t="s">
        <v>492</v>
      </c>
    </row>
    <row r="466" spans="1:19" x14ac:dyDescent="0.25">
      <c r="A466" s="3">
        <v>464</v>
      </c>
      <c r="B466" s="11" t="s">
        <v>490</v>
      </c>
      <c r="C466" s="17" t="s">
        <v>961</v>
      </c>
      <c r="D466" s="17" t="s">
        <v>1011</v>
      </c>
      <c r="E466" s="17"/>
      <c r="F466" s="17" t="s">
        <v>2693</v>
      </c>
      <c r="G466" s="17" t="s">
        <v>2625</v>
      </c>
      <c r="H466" s="17" t="s">
        <v>2694</v>
      </c>
      <c r="I466" s="17" t="s">
        <v>26</v>
      </c>
      <c r="J466" s="18" t="s">
        <v>2695</v>
      </c>
      <c r="K466" s="17" t="s">
        <v>23</v>
      </c>
      <c r="L466" s="17" t="s">
        <v>2696</v>
      </c>
      <c r="M466" s="17" t="s">
        <v>1012</v>
      </c>
      <c r="N466" s="17" t="s">
        <v>2697</v>
      </c>
      <c r="O466" s="18" t="s">
        <v>1017</v>
      </c>
      <c r="P466" s="18" t="s">
        <v>25</v>
      </c>
      <c r="Q466" s="32">
        <f t="shared" si="14"/>
        <v>16</v>
      </c>
      <c r="R466" s="32">
        <f t="shared" si="15"/>
        <v>11</v>
      </c>
      <c r="S466" s="15" t="s">
        <v>492</v>
      </c>
    </row>
    <row r="467" spans="1:19" x14ac:dyDescent="0.25">
      <c r="A467" s="2">
        <v>465</v>
      </c>
      <c r="B467" s="11" t="s">
        <v>490</v>
      </c>
      <c r="C467" s="17" t="s">
        <v>962</v>
      </c>
      <c r="D467" s="17" t="s">
        <v>1011</v>
      </c>
      <c r="E467" s="17"/>
      <c r="F467" s="17" t="s">
        <v>2698</v>
      </c>
      <c r="G467" s="17" t="s">
        <v>2625</v>
      </c>
      <c r="H467" s="17" t="s">
        <v>2699</v>
      </c>
      <c r="I467" s="17" t="s">
        <v>26</v>
      </c>
      <c r="J467" s="18" t="s">
        <v>2700</v>
      </c>
      <c r="K467" s="17" t="s">
        <v>23</v>
      </c>
      <c r="L467" s="17" t="s">
        <v>2701</v>
      </c>
      <c r="M467" s="17" t="s">
        <v>1012</v>
      </c>
      <c r="N467" s="17" t="s">
        <v>2702</v>
      </c>
      <c r="O467" s="18" t="s">
        <v>1017</v>
      </c>
      <c r="P467" s="18" t="s">
        <v>25</v>
      </c>
      <c r="Q467" s="32">
        <f t="shared" si="14"/>
        <v>16</v>
      </c>
      <c r="R467" s="32">
        <f t="shared" si="15"/>
        <v>12</v>
      </c>
      <c r="S467" s="15" t="s">
        <v>493</v>
      </c>
    </row>
    <row r="468" spans="1:19" x14ac:dyDescent="0.25">
      <c r="A468" s="3">
        <v>466</v>
      </c>
      <c r="B468" s="11" t="s">
        <v>490</v>
      </c>
      <c r="C468" s="17" t="s">
        <v>963</v>
      </c>
      <c r="D468" s="17" t="s">
        <v>1011</v>
      </c>
      <c r="E468" s="17"/>
      <c r="F468" s="17" t="s">
        <v>2703</v>
      </c>
      <c r="G468" s="17" t="s">
        <v>2625</v>
      </c>
      <c r="H468" s="17" t="s">
        <v>2704</v>
      </c>
      <c r="I468" s="17" t="s">
        <v>26</v>
      </c>
      <c r="J468" s="18" t="s">
        <v>2705</v>
      </c>
      <c r="K468" s="17" t="s">
        <v>23</v>
      </c>
      <c r="L468" s="17" t="s">
        <v>2706</v>
      </c>
      <c r="M468" s="17" t="s">
        <v>1012</v>
      </c>
      <c r="N468" s="17" t="s">
        <v>2707</v>
      </c>
      <c r="O468" s="18" t="s">
        <v>1017</v>
      </c>
      <c r="P468" s="18" t="s">
        <v>25</v>
      </c>
      <c r="Q468" s="32">
        <f t="shared" si="14"/>
        <v>16</v>
      </c>
      <c r="R468" s="32">
        <f t="shared" si="15"/>
        <v>11</v>
      </c>
      <c r="S468" s="15" t="s">
        <v>492</v>
      </c>
    </row>
    <row r="469" spans="1:19" x14ac:dyDescent="0.25">
      <c r="A469" s="2">
        <v>467</v>
      </c>
      <c r="B469" s="11" t="s">
        <v>490</v>
      </c>
      <c r="C469" s="17" t="s">
        <v>964</v>
      </c>
      <c r="D469" s="17" t="s">
        <v>1011</v>
      </c>
      <c r="E469" s="17"/>
      <c r="F469" s="17" t="s">
        <v>2708</v>
      </c>
      <c r="G469" s="17" t="s">
        <v>2625</v>
      </c>
      <c r="H469" s="17" t="s">
        <v>2709</v>
      </c>
      <c r="I469" s="17" t="s">
        <v>26</v>
      </c>
      <c r="J469" s="18" t="s">
        <v>2710</v>
      </c>
      <c r="K469" s="17" t="s">
        <v>23</v>
      </c>
      <c r="L469" s="17" t="s">
        <v>2711</v>
      </c>
      <c r="M469" s="17" t="s">
        <v>1012</v>
      </c>
      <c r="N469" s="17" t="s">
        <v>2712</v>
      </c>
      <c r="O469" s="18" t="s">
        <v>1017</v>
      </c>
      <c r="P469" s="18" t="s">
        <v>25</v>
      </c>
      <c r="Q469" s="32">
        <f t="shared" si="14"/>
        <v>16</v>
      </c>
      <c r="R469" s="32">
        <f t="shared" si="15"/>
        <v>11</v>
      </c>
      <c r="S469" s="15" t="s">
        <v>495</v>
      </c>
    </row>
    <row r="470" spans="1:19" x14ac:dyDescent="0.25">
      <c r="A470" s="3">
        <v>468</v>
      </c>
      <c r="B470" s="11" t="s">
        <v>490</v>
      </c>
      <c r="C470" s="17" t="s">
        <v>965</v>
      </c>
      <c r="D470" s="17" t="s">
        <v>1011</v>
      </c>
      <c r="E470" s="17"/>
      <c r="F470" s="17" t="s">
        <v>2713</v>
      </c>
      <c r="G470" s="17" t="s">
        <v>2625</v>
      </c>
      <c r="H470" s="17" t="s">
        <v>2714</v>
      </c>
      <c r="I470" s="17" t="s">
        <v>26</v>
      </c>
      <c r="J470" s="18" t="s">
        <v>2715</v>
      </c>
      <c r="K470" s="17" t="s">
        <v>23</v>
      </c>
      <c r="L470" s="17" t="s">
        <v>2716</v>
      </c>
      <c r="M470" s="17" t="s">
        <v>1012</v>
      </c>
      <c r="N470" s="17" t="s">
        <v>2717</v>
      </c>
      <c r="O470" s="18" t="s">
        <v>1017</v>
      </c>
      <c r="P470" s="18" t="s">
        <v>25</v>
      </c>
      <c r="Q470" s="32">
        <f t="shared" si="14"/>
        <v>16</v>
      </c>
      <c r="R470" s="32">
        <f t="shared" si="15"/>
        <v>15</v>
      </c>
      <c r="S470" s="15" t="s">
        <v>492</v>
      </c>
    </row>
    <row r="471" spans="1:19" x14ac:dyDescent="0.25">
      <c r="A471" s="2">
        <v>469</v>
      </c>
      <c r="B471" s="11" t="s">
        <v>490</v>
      </c>
      <c r="C471" s="17" t="s">
        <v>966</v>
      </c>
      <c r="D471" s="17" t="s">
        <v>1011</v>
      </c>
      <c r="E471" s="17"/>
      <c r="F471" s="17" t="s">
        <v>2718</v>
      </c>
      <c r="G471" s="17" t="s">
        <v>2625</v>
      </c>
      <c r="H471" s="17" t="s">
        <v>2719</v>
      </c>
      <c r="I471" s="17" t="s">
        <v>26</v>
      </c>
      <c r="J471" s="18" t="s">
        <v>2720</v>
      </c>
      <c r="K471" s="17" t="s">
        <v>23</v>
      </c>
      <c r="L471" s="17" t="s">
        <v>2721</v>
      </c>
      <c r="M471" s="17" t="s">
        <v>1012</v>
      </c>
      <c r="N471" s="17" t="s">
        <v>2722</v>
      </c>
      <c r="O471" s="18" t="s">
        <v>1017</v>
      </c>
      <c r="P471" s="18" t="s">
        <v>25</v>
      </c>
      <c r="Q471" s="32">
        <f t="shared" si="14"/>
        <v>16</v>
      </c>
      <c r="R471" s="32">
        <f t="shared" si="15"/>
        <v>11</v>
      </c>
      <c r="S471" s="15" t="s">
        <v>493</v>
      </c>
    </row>
    <row r="472" spans="1:19" x14ac:dyDescent="0.25">
      <c r="A472" s="3">
        <v>470</v>
      </c>
      <c r="B472" s="11" t="s">
        <v>490</v>
      </c>
      <c r="C472" s="17" t="s">
        <v>967</v>
      </c>
      <c r="D472" s="17" t="s">
        <v>1011</v>
      </c>
      <c r="E472" s="17"/>
      <c r="F472" s="17" t="s">
        <v>2723</v>
      </c>
      <c r="G472" s="17" t="s">
        <v>2625</v>
      </c>
      <c r="H472" s="17" t="s">
        <v>2724</v>
      </c>
      <c r="I472" s="17" t="s">
        <v>26</v>
      </c>
      <c r="J472" s="18" t="s">
        <v>2725</v>
      </c>
      <c r="K472" s="17" t="s">
        <v>23</v>
      </c>
      <c r="L472" s="17" t="s">
        <v>2726</v>
      </c>
      <c r="M472" s="17" t="s">
        <v>1012</v>
      </c>
      <c r="N472" s="17" t="s">
        <v>2727</v>
      </c>
      <c r="O472" s="18" t="s">
        <v>1017</v>
      </c>
      <c r="P472" s="18" t="s">
        <v>25</v>
      </c>
      <c r="Q472" s="32">
        <f t="shared" si="14"/>
        <v>16</v>
      </c>
      <c r="R472" s="32">
        <f t="shared" si="15"/>
        <v>14</v>
      </c>
      <c r="S472" s="15" t="s">
        <v>493</v>
      </c>
    </row>
    <row r="473" spans="1:19" s="14" customFormat="1" x14ac:dyDescent="0.25">
      <c r="A473" s="10">
        <v>471</v>
      </c>
      <c r="B473" s="11" t="s">
        <v>490</v>
      </c>
      <c r="C473" s="17" t="s">
        <v>968</v>
      </c>
      <c r="D473" s="17" t="s">
        <v>1011</v>
      </c>
      <c r="E473" s="17"/>
      <c r="F473" s="17" t="s">
        <v>2728</v>
      </c>
      <c r="G473" s="17" t="s">
        <v>2729</v>
      </c>
      <c r="H473" s="17" t="s">
        <v>27</v>
      </c>
      <c r="I473" s="17" t="s">
        <v>26</v>
      </c>
      <c r="J473" s="18" t="s">
        <v>2730</v>
      </c>
      <c r="K473" s="17" t="s">
        <v>23</v>
      </c>
      <c r="L473" s="17" t="s">
        <v>2731</v>
      </c>
      <c r="M473" s="17" t="s">
        <v>1012</v>
      </c>
      <c r="N473" s="17" t="s">
        <v>2732</v>
      </c>
      <c r="O473" s="18" t="s">
        <v>1017</v>
      </c>
      <c r="P473" s="18" t="s">
        <v>25</v>
      </c>
      <c r="Q473" s="32">
        <f t="shared" si="14"/>
        <v>16</v>
      </c>
      <c r="R473" s="32">
        <f t="shared" si="15"/>
        <v>15</v>
      </c>
      <c r="S473" s="16" t="s">
        <v>492</v>
      </c>
    </row>
    <row r="474" spans="1:19" x14ac:dyDescent="0.25">
      <c r="A474" s="3">
        <v>472</v>
      </c>
      <c r="B474" s="11" t="s">
        <v>490</v>
      </c>
      <c r="C474" s="17" t="s">
        <v>969</v>
      </c>
      <c r="D474" s="17" t="s">
        <v>1011</v>
      </c>
      <c r="E474" s="17"/>
      <c r="F474" s="17" t="s">
        <v>103</v>
      </c>
      <c r="G474" s="17" t="s">
        <v>2733</v>
      </c>
      <c r="H474" s="17" t="s">
        <v>22</v>
      </c>
      <c r="I474" s="17" t="s">
        <v>28</v>
      </c>
      <c r="J474" s="18" t="s">
        <v>2734</v>
      </c>
      <c r="K474" s="17" t="s">
        <v>23</v>
      </c>
      <c r="L474" s="17" t="s">
        <v>2735</v>
      </c>
      <c r="M474" s="17" t="s">
        <v>1012</v>
      </c>
      <c r="N474" s="17" t="s">
        <v>2736</v>
      </c>
      <c r="O474" s="18" t="s">
        <v>1017</v>
      </c>
      <c r="P474" s="18" t="s">
        <v>25</v>
      </c>
      <c r="Q474" s="32">
        <f t="shared" si="14"/>
        <v>16</v>
      </c>
      <c r="R474" s="32">
        <f t="shared" si="15"/>
        <v>13</v>
      </c>
      <c r="S474" s="15" t="s">
        <v>492</v>
      </c>
    </row>
    <row r="475" spans="1:19" x14ac:dyDescent="0.25">
      <c r="A475" s="2">
        <v>473</v>
      </c>
      <c r="B475" s="11" t="s">
        <v>490</v>
      </c>
      <c r="C475" s="17" t="s">
        <v>970</v>
      </c>
      <c r="D475" s="17" t="s">
        <v>1011</v>
      </c>
      <c r="E475" s="17"/>
      <c r="F475" s="17" t="s">
        <v>103</v>
      </c>
      <c r="G475" s="17" t="s">
        <v>2737</v>
      </c>
      <c r="H475" s="17" t="s">
        <v>26</v>
      </c>
      <c r="I475" s="17" t="s">
        <v>22</v>
      </c>
      <c r="J475" s="18" t="s">
        <v>2738</v>
      </c>
      <c r="K475" s="17" t="s">
        <v>23</v>
      </c>
      <c r="L475" s="17" t="s">
        <v>2739</v>
      </c>
      <c r="M475" s="17" t="s">
        <v>1012</v>
      </c>
      <c r="N475" s="17" t="s">
        <v>2740</v>
      </c>
      <c r="O475" s="18" t="s">
        <v>1017</v>
      </c>
      <c r="P475" s="18" t="s">
        <v>25</v>
      </c>
      <c r="Q475" s="32">
        <f t="shared" si="14"/>
        <v>16</v>
      </c>
      <c r="R475" s="32">
        <f t="shared" si="15"/>
        <v>11</v>
      </c>
      <c r="S475" s="15" t="s">
        <v>492</v>
      </c>
    </row>
    <row r="476" spans="1:19" x14ac:dyDescent="0.25">
      <c r="A476" s="3">
        <v>474</v>
      </c>
      <c r="B476" s="11" t="s">
        <v>490</v>
      </c>
      <c r="C476" s="17" t="s">
        <v>971</v>
      </c>
      <c r="D476" s="17" t="s">
        <v>1011</v>
      </c>
      <c r="E476" s="17"/>
      <c r="F476" s="17" t="s">
        <v>2741</v>
      </c>
      <c r="G476" s="17" t="s">
        <v>2737</v>
      </c>
      <c r="H476" s="17" t="s">
        <v>37</v>
      </c>
      <c r="I476" s="17" t="s">
        <v>26</v>
      </c>
      <c r="J476" s="18" t="s">
        <v>2742</v>
      </c>
      <c r="K476" s="17" t="s">
        <v>255</v>
      </c>
      <c r="L476" s="17" t="s">
        <v>2743</v>
      </c>
      <c r="M476" s="17" t="s">
        <v>1012</v>
      </c>
      <c r="N476" s="17" t="s">
        <v>2744</v>
      </c>
      <c r="O476" s="18" t="s">
        <v>257</v>
      </c>
      <c r="P476" s="18" t="s">
        <v>258</v>
      </c>
      <c r="Q476" s="18">
        <f t="shared" si="14"/>
        <v>10</v>
      </c>
      <c r="R476" s="18">
        <f t="shared" si="15"/>
        <v>11</v>
      </c>
      <c r="S476" s="15" t="s">
        <v>492</v>
      </c>
    </row>
    <row r="477" spans="1:19" x14ac:dyDescent="0.25">
      <c r="A477" s="2">
        <v>475</v>
      </c>
      <c r="B477" s="11" t="s">
        <v>490</v>
      </c>
      <c r="C477" s="17" t="s">
        <v>972</v>
      </c>
      <c r="D477" s="17" t="s">
        <v>1011</v>
      </c>
      <c r="E477" s="17"/>
      <c r="F477" s="17" t="e">
        <v>#N/A</v>
      </c>
      <c r="G477" s="17" t="s">
        <v>2745</v>
      </c>
      <c r="H477" s="17" t="s">
        <v>41</v>
      </c>
      <c r="I477" s="17" t="s">
        <v>26</v>
      </c>
      <c r="J477" s="18" t="s">
        <v>2746</v>
      </c>
      <c r="K477" s="17" t="s">
        <v>23</v>
      </c>
      <c r="L477" s="17" t="s">
        <v>2747</v>
      </c>
      <c r="M477" s="17" t="s">
        <v>1012</v>
      </c>
      <c r="N477" s="17" t="s">
        <v>2748</v>
      </c>
      <c r="O477" s="18" t="s">
        <v>1017</v>
      </c>
      <c r="P477" s="18" t="s">
        <v>25</v>
      </c>
      <c r="Q477" s="32">
        <f t="shared" si="14"/>
        <v>16</v>
      </c>
      <c r="R477" s="32">
        <f t="shared" si="15"/>
        <v>11</v>
      </c>
      <c r="S477" s="15" t="s">
        <v>492</v>
      </c>
    </row>
    <row r="478" spans="1:19" x14ac:dyDescent="0.25">
      <c r="A478" s="3">
        <v>476</v>
      </c>
      <c r="B478" s="11" t="s">
        <v>490</v>
      </c>
      <c r="C478" s="17" t="s">
        <v>973</v>
      </c>
      <c r="D478" s="17" t="s">
        <v>1011</v>
      </c>
      <c r="E478" s="17"/>
      <c r="F478" s="17" t="s">
        <v>2749</v>
      </c>
      <c r="G478" s="17" t="s">
        <v>2750</v>
      </c>
      <c r="H478" s="17" t="s">
        <v>73</v>
      </c>
      <c r="I478" s="17" t="s">
        <v>26</v>
      </c>
      <c r="J478" s="18" t="s">
        <v>2751</v>
      </c>
      <c r="K478" s="17" t="s">
        <v>255</v>
      </c>
      <c r="L478" s="17" t="s">
        <v>2752</v>
      </c>
      <c r="M478" s="17" t="s">
        <v>1012</v>
      </c>
      <c r="N478" s="17" t="s">
        <v>2753</v>
      </c>
      <c r="O478" s="18" t="s">
        <v>257</v>
      </c>
      <c r="P478" s="18" t="s">
        <v>258</v>
      </c>
      <c r="Q478" s="18">
        <f t="shared" si="14"/>
        <v>10</v>
      </c>
      <c r="R478" s="18">
        <f t="shared" si="15"/>
        <v>11</v>
      </c>
      <c r="S478" s="15" t="s">
        <v>495</v>
      </c>
    </row>
    <row r="479" spans="1:19" x14ac:dyDescent="0.25">
      <c r="A479" s="2">
        <v>477</v>
      </c>
      <c r="B479" s="11" t="s">
        <v>490</v>
      </c>
      <c r="C479" s="17" t="s">
        <v>974</v>
      </c>
      <c r="D479" s="17" t="s">
        <v>1011</v>
      </c>
      <c r="E479" s="17"/>
      <c r="F479" s="17" t="s">
        <v>2754</v>
      </c>
      <c r="G479" s="17" t="s">
        <v>2755</v>
      </c>
      <c r="H479" s="17" t="s">
        <v>72</v>
      </c>
      <c r="I479" s="17" t="s">
        <v>26</v>
      </c>
      <c r="J479" s="18" t="s">
        <v>2756</v>
      </c>
      <c r="K479" s="17" t="s">
        <v>23</v>
      </c>
      <c r="L479" s="17" t="s">
        <v>2757</v>
      </c>
      <c r="M479" s="17" t="s">
        <v>1012</v>
      </c>
      <c r="N479" s="17" t="s">
        <v>2758</v>
      </c>
      <c r="O479" s="18" t="s">
        <v>1017</v>
      </c>
      <c r="P479" s="18" t="s">
        <v>25</v>
      </c>
      <c r="Q479" s="32">
        <f t="shared" si="14"/>
        <v>16</v>
      </c>
      <c r="R479" s="32">
        <f t="shared" si="15"/>
        <v>14</v>
      </c>
      <c r="S479" s="15" t="s">
        <v>495</v>
      </c>
    </row>
    <row r="480" spans="1:19" x14ac:dyDescent="0.25">
      <c r="A480" s="3">
        <v>478</v>
      </c>
      <c r="B480" s="11" t="s">
        <v>490</v>
      </c>
      <c r="C480" s="17" t="s">
        <v>975</v>
      </c>
      <c r="D480" s="17" t="s">
        <v>1011</v>
      </c>
      <c r="E480" s="17"/>
      <c r="F480" s="17" t="s">
        <v>2759</v>
      </c>
      <c r="G480" s="17" t="s">
        <v>2760</v>
      </c>
      <c r="H480" s="17" t="s">
        <v>32</v>
      </c>
      <c r="I480" s="17" t="s">
        <v>26</v>
      </c>
      <c r="J480" s="18" t="s">
        <v>2761</v>
      </c>
      <c r="K480" s="17" t="s">
        <v>23</v>
      </c>
      <c r="L480" s="17" t="s">
        <v>2762</v>
      </c>
      <c r="M480" s="17" t="s">
        <v>1012</v>
      </c>
      <c r="N480" s="17" t="s">
        <v>2763</v>
      </c>
      <c r="O480" s="18" t="s">
        <v>1017</v>
      </c>
      <c r="P480" s="18" t="s">
        <v>25</v>
      </c>
      <c r="Q480" s="32">
        <f t="shared" si="14"/>
        <v>16</v>
      </c>
      <c r="R480" s="32">
        <f t="shared" si="15"/>
        <v>11</v>
      </c>
      <c r="S480" s="15" t="s">
        <v>493</v>
      </c>
    </row>
    <row r="481" spans="1:19" x14ac:dyDescent="0.25">
      <c r="A481" s="2">
        <v>479</v>
      </c>
      <c r="B481" s="11" t="s">
        <v>490</v>
      </c>
      <c r="C481" s="17" t="s">
        <v>976</v>
      </c>
      <c r="D481" s="17" t="s">
        <v>1011</v>
      </c>
      <c r="E481" s="17"/>
      <c r="F481" s="17" t="s">
        <v>2764</v>
      </c>
      <c r="G481" s="17" t="s">
        <v>2760</v>
      </c>
      <c r="H481" s="17" t="s">
        <v>51</v>
      </c>
      <c r="I481" s="17" t="s">
        <v>26</v>
      </c>
      <c r="J481" s="18" t="s">
        <v>2765</v>
      </c>
      <c r="K481" s="17" t="s">
        <v>23</v>
      </c>
      <c r="L481" s="17" t="s">
        <v>2766</v>
      </c>
      <c r="M481" s="17" t="s">
        <v>1012</v>
      </c>
      <c r="N481" s="17" t="s">
        <v>2767</v>
      </c>
      <c r="O481" s="18" t="s">
        <v>1017</v>
      </c>
      <c r="P481" s="18" t="s">
        <v>25</v>
      </c>
      <c r="Q481" s="32">
        <f t="shared" si="14"/>
        <v>16</v>
      </c>
      <c r="R481" s="32">
        <f t="shared" si="15"/>
        <v>11</v>
      </c>
      <c r="S481" s="15" t="s">
        <v>492</v>
      </c>
    </row>
    <row r="482" spans="1:19" x14ac:dyDescent="0.25">
      <c r="A482" s="3">
        <v>480</v>
      </c>
      <c r="B482" s="11" t="s">
        <v>490</v>
      </c>
      <c r="C482" s="17" t="s">
        <v>977</v>
      </c>
      <c r="D482" s="17" t="s">
        <v>1011</v>
      </c>
      <c r="E482" s="17"/>
      <c r="F482" s="17" t="s">
        <v>2768</v>
      </c>
      <c r="G482" s="17" t="s">
        <v>2769</v>
      </c>
      <c r="H482" s="17" t="s">
        <v>28</v>
      </c>
      <c r="I482" s="17" t="s">
        <v>26</v>
      </c>
      <c r="J482" s="18" t="s">
        <v>2770</v>
      </c>
      <c r="K482" s="17" t="s">
        <v>23</v>
      </c>
      <c r="L482" s="17" t="s">
        <v>2771</v>
      </c>
      <c r="M482" s="17" t="s">
        <v>1012</v>
      </c>
      <c r="N482" s="17" t="s">
        <v>2772</v>
      </c>
      <c r="O482" s="18" t="s">
        <v>1017</v>
      </c>
      <c r="P482" s="18" t="s">
        <v>25</v>
      </c>
      <c r="Q482" s="32">
        <f t="shared" si="14"/>
        <v>16</v>
      </c>
      <c r="R482" s="32">
        <f t="shared" si="15"/>
        <v>11</v>
      </c>
      <c r="S482" s="15" t="s">
        <v>492</v>
      </c>
    </row>
    <row r="483" spans="1:19" x14ac:dyDescent="0.25">
      <c r="A483" s="2">
        <v>481</v>
      </c>
      <c r="B483" s="11" t="s">
        <v>490</v>
      </c>
      <c r="C483" s="17" t="s">
        <v>978</v>
      </c>
      <c r="D483" s="17" t="s">
        <v>1011</v>
      </c>
      <c r="E483" s="17"/>
      <c r="F483" s="17" t="s">
        <v>2773</v>
      </c>
      <c r="G483" s="17" t="s">
        <v>2774</v>
      </c>
      <c r="H483" s="17" t="s">
        <v>53</v>
      </c>
      <c r="I483" s="17" t="s">
        <v>26</v>
      </c>
      <c r="J483" s="18" t="s">
        <v>2775</v>
      </c>
      <c r="K483" s="17" t="s">
        <v>255</v>
      </c>
      <c r="L483" s="17" t="s">
        <v>2776</v>
      </c>
      <c r="M483" s="17" t="s">
        <v>1012</v>
      </c>
      <c r="N483" s="17" t="s">
        <v>2777</v>
      </c>
      <c r="O483" s="18" t="s">
        <v>257</v>
      </c>
      <c r="P483" s="18" t="s">
        <v>258</v>
      </c>
      <c r="Q483" s="18">
        <f t="shared" si="14"/>
        <v>10</v>
      </c>
      <c r="R483" s="18">
        <f t="shared" si="15"/>
        <v>11</v>
      </c>
      <c r="S483" s="15" t="s">
        <v>492</v>
      </c>
    </row>
    <row r="484" spans="1:19" x14ac:dyDescent="0.25">
      <c r="A484" s="3">
        <v>482</v>
      </c>
      <c r="B484" s="11" t="s">
        <v>490</v>
      </c>
      <c r="C484" s="17" t="s">
        <v>979</v>
      </c>
      <c r="D484" s="17" t="s">
        <v>1011</v>
      </c>
      <c r="E484" s="17"/>
      <c r="F484" s="17" t="s">
        <v>2778</v>
      </c>
      <c r="G484" s="17" t="s">
        <v>2779</v>
      </c>
      <c r="H484" s="17" t="s">
        <v>52</v>
      </c>
      <c r="I484" s="17" t="s">
        <v>26</v>
      </c>
      <c r="J484" s="18" t="s">
        <v>2780</v>
      </c>
      <c r="K484" s="17" t="s">
        <v>23</v>
      </c>
      <c r="L484" s="17" t="s">
        <v>2781</v>
      </c>
      <c r="M484" s="17" t="s">
        <v>1012</v>
      </c>
      <c r="N484" s="17" t="s">
        <v>2782</v>
      </c>
      <c r="O484" s="18" t="s">
        <v>1017</v>
      </c>
      <c r="P484" s="18" t="s">
        <v>25</v>
      </c>
      <c r="Q484" s="32">
        <f t="shared" si="14"/>
        <v>16</v>
      </c>
      <c r="R484" s="32">
        <f t="shared" si="15"/>
        <v>13</v>
      </c>
      <c r="S484" s="15" t="s">
        <v>495</v>
      </c>
    </row>
    <row r="485" spans="1:19" x14ac:dyDescent="0.25">
      <c r="A485" s="2">
        <v>483</v>
      </c>
      <c r="B485" s="11" t="s">
        <v>490</v>
      </c>
      <c r="C485" s="17" t="s">
        <v>980</v>
      </c>
      <c r="D485" s="17" t="s">
        <v>1011</v>
      </c>
      <c r="E485" s="17"/>
      <c r="F485" s="17" t="s">
        <v>2783</v>
      </c>
      <c r="G485" s="17" t="s">
        <v>2784</v>
      </c>
      <c r="H485" s="17" t="s">
        <v>28</v>
      </c>
      <c r="I485" s="17" t="s">
        <v>26</v>
      </c>
      <c r="J485" s="18" t="s">
        <v>2785</v>
      </c>
      <c r="K485" s="17" t="s">
        <v>23</v>
      </c>
      <c r="L485" s="17" t="s">
        <v>2786</v>
      </c>
      <c r="M485" s="17" t="s">
        <v>1012</v>
      </c>
      <c r="N485" s="17" t="s">
        <v>2787</v>
      </c>
      <c r="O485" s="18" t="s">
        <v>1017</v>
      </c>
      <c r="P485" s="18" t="s">
        <v>25</v>
      </c>
      <c r="Q485" s="32">
        <f t="shared" si="14"/>
        <v>16</v>
      </c>
      <c r="R485" s="32">
        <f t="shared" si="15"/>
        <v>11</v>
      </c>
      <c r="S485" s="15" t="s">
        <v>492</v>
      </c>
    </row>
    <row r="486" spans="1:19" x14ac:dyDescent="0.25">
      <c r="A486" s="3">
        <v>484</v>
      </c>
      <c r="B486" s="11" t="s">
        <v>490</v>
      </c>
      <c r="C486" s="17" t="s">
        <v>981</v>
      </c>
      <c r="D486" s="17" t="s">
        <v>1011</v>
      </c>
      <c r="E486" s="17"/>
      <c r="F486" s="17" t="s">
        <v>2788</v>
      </c>
      <c r="G486" s="17" t="s">
        <v>2789</v>
      </c>
      <c r="H486" s="17" t="s">
        <v>26</v>
      </c>
      <c r="I486" s="17" t="s">
        <v>26</v>
      </c>
      <c r="J486" s="18" t="s">
        <v>2790</v>
      </c>
      <c r="K486" s="17" t="s">
        <v>23</v>
      </c>
      <c r="L486" s="17" t="s">
        <v>2791</v>
      </c>
      <c r="M486" s="17" t="s">
        <v>1012</v>
      </c>
      <c r="N486" s="17" t="s">
        <v>2792</v>
      </c>
      <c r="O486" s="18" t="s">
        <v>1017</v>
      </c>
      <c r="P486" s="18" t="s">
        <v>25</v>
      </c>
      <c r="Q486" s="32">
        <f t="shared" si="14"/>
        <v>16</v>
      </c>
      <c r="R486" s="32">
        <f t="shared" si="15"/>
        <v>11</v>
      </c>
      <c r="S486" s="15" t="s">
        <v>492</v>
      </c>
    </row>
    <row r="487" spans="1:19" x14ac:dyDescent="0.25">
      <c r="A487" s="2">
        <v>485</v>
      </c>
      <c r="B487" s="11" t="s">
        <v>490</v>
      </c>
      <c r="C487" s="17" t="s">
        <v>982</v>
      </c>
      <c r="D487" s="17" t="s">
        <v>1011</v>
      </c>
      <c r="E487" s="17"/>
      <c r="F487" s="17" t="s">
        <v>2793</v>
      </c>
      <c r="G487" s="17" t="s">
        <v>2789</v>
      </c>
      <c r="H487" s="17" t="s">
        <v>26</v>
      </c>
      <c r="I487" s="17" t="s">
        <v>22</v>
      </c>
      <c r="J487" s="18" t="s">
        <v>2794</v>
      </c>
      <c r="K487" s="17" t="s">
        <v>23</v>
      </c>
      <c r="L487" s="17" t="s">
        <v>2791</v>
      </c>
      <c r="M487" s="17" t="s">
        <v>1012</v>
      </c>
      <c r="N487" s="17" t="s">
        <v>2792</v>
      </c>
      <c r="O487" s="18" t="s">
        <v>1017</v>
      </c>
      <c r="P487" s="18" t="s">
        <v>25</v>
      </c>
      <c r="Q487" s="32">
        <f t="shared" si="14"/>
        <v>16</v>
      </c>
      <c r="R487" s="32">
        <f t="shared" si="15"/>
        <v>11</v>
      </c>
      <c r="S487" s="15" t="s">
        <v>492</v>
      </c>
    </row>
    <row r="488" spans="1:19" x14ac:dyDescent="0.25">
      <c r="A488" s="3">
        <v>486</v>
      </c>
      <c r="B488" s="11" t="s">
        <v>490</v>
      </c>
      <c r="C488" s="17" t="s">
        <v>983</v>
      </c>
      <c r="D488" s="17" t="s">
        <v>1011</v>
      </c>
      <c r="E488" s="17"/>
      <c r="F488" s="17" t="s">
        <v>2795</v>
      </c>
      <c r="G488" s="17" t="s">
        <v>2789</v>
      </c>
      <c r="H488" s="17" t="s">
        <v>26</v>
      </c>
      <c r="I488" s="17" t="s">
        <v>28</v>
      </c>
      <c r="J488" s="18" t="s">
        <v>2796</v>
      </c>
      <c r="K488" s="17" t="s">
        <v>23</v>
      </c>
      <c r="L488" s="17" t="s">
        <v>2791</v>
      </c>
      <c r="M488" s="17" t="s">
        <v>1012</v>
      </c>
      <c r="N488" s="17" t="s">
        <v>2792</v>
      </c>
      <c r="O488" s="18" t="s">
        <v>1017</v>
      </c>
      <c r="P488" s="18" t="s">
        <v>25</v>
      </c>
      <c r="Q488" s="32">
        <f t="shared" si="14"/>
        <v>16</v>
      </c>
      <c r="R488" s="32">
        <f t="shared" si="15"/>
        <v>11</v>
      </c>
      <c r="S488" s="15" t="s">
        <v>493</v>
      </c>
    </row>
    <row r="489" spans="1:19" x14ac:dyDescent="0.25">
      <c r="A489" s="2">
        <v>487</v>
      </c>
      <c r="B489" s="11" t="s">
        <v>490</v>
      </c>
      <c r="C489" s="17" t="s">
        <v>984</v>
      </c>
      <c r="D489" s="17" t="s">
        <v>1011</v>
      </c>
      <c r="E489" s="17"/>
      <c r="F489" s="17" t="s">
        <v>2797</v>
      </c>
      <c r="G489" s="17" t="s">
        <v>2798</v>
      </c>
      <c r="H489" s="17" t="s">
        <v>122</v>
      </c>
      <c r="I489" s="17" t="s">
        <v>26</v>
      </c>
      <c r="J489" s="18" t="s">
        <v>2799</v>
      </c>
      <c r="K489" s="17" t="s">
        <v>23</v>
      </c>
      <c r="L489" s="17" t="s">
        <v>2800</v>
      </c>
      <c r="M489" s="17" t="s">
        <v>1012</v>
      </c>
      <c r="N489" s="17" t="s">
        <v>2801</v>
      </c>
      <c r="O489" s="18" t="s">
        <v>1017</v>
      </c>
      <c r="P489" s="18" t="s">
        <v>25</v>
      </c>
      <c r="Q489" s="32">
        <f t="shared" si="14"/>
        <v>16</v>
      </c>
      <c r="R489" s="32">
        <f t="shared" si="15"/>
        <v>11</v>
      </c>
      <c r="S489" s="15" t="s">
        <v>493</v>
      </c>
    </row>
    <row r="490" spans="1:19" x14ac:dyDescent="0.25">
      <c r="A490" s="3">
        <v>488</v>
      </c>
      <c r="B490" s="11" t="s">
        <v>490</v>
      </c>
      <c r="C490" s="17" t="s">
        <v>985</v>
      </c>
      <c r="D490" s="17" t="s">
        <v>1011</v>
      </c>
      <c r="E490" s="17"/>
      <c r="F490" s="17" t="s">
        <v>2802</v>
      </c>
      <c r="G490" s="17" t="s">
        <v>2803</v>
      </c>
      <c r="H490" s="17" t="s">
        <v>22</v>
      </c>
      <c r="I490" s="17" t="s">
        <v>26</v>
      </c>
      <c r="J490" s="18" t="s">
        <v>2804</v>
      </c>
      <c r="K490" s="17" t="s">
        <v>23</v>
      </c>
      <c r="L490" s="17" t="s">
        <v>2805</v>
      </c>
      <c r="M490" s="17" t="s">
        <v>1012</v>
      </c>
      <c r="N490" s="17" t="s">
        <v>2806</v>
      </c>
      <c r="O490" s="18" t="s">
        <v>1017</v>
      </c>
      <c r="P490" s="18" t="s">
        <v>25</v>
      </c>
      <c r="Q490" s="32">
        <f t="shared" si="14"/>
        <v>16</v>
      </c>
      <c r="R490" s="32">
        <f t="shared" si="15"/>
        <v>11</v>
      </c>
      <c r="S490" s="15" t="s">
        <v>492</v>
      </c>
    </row>
    <row r="491" spans="1:19" x14ac:dyDescent="0.25">
      <c r="A491" s="2">
        <v>489</v>
      </c>
      <c r="B491" s="11" t="s">
        <v>490</v>
      </c>
      <c r="C491" s="17" t="s">
        <v>986</v>
      </c>
      <c r="D491" s="17" t="s">
        <v>1011</v>
      </c>
      <c r="E491" s="17"/>
      <c r="F491" s="17" t="s">
        <v>2807</v>
      </c>
      <c r="G491" s="17" t="s">
        <v>2808</v>
      </c>
      <c r="H491" s="17" t="s">
        <v>52</v>
      </c>
      <c r="I491" s="17" t="s">
        <v>26</v>
      </c>
      <c r="J491" s="18" t="s">
        <v>2809</v>
      </c>
      <c r="K491" s="17" t="s">
        <v>23</v>
      </c>
      <c r="L491" s="17" t="s">
        <v>2810</v>
      </c>
      <c r="M491" s="17" t="s">
        <v>1012</v>
      </c>
      <c r="N491" s="17" t="s">
        <v>2811</v>
      </c>
      <c r="O491" s="18" t="s">
        <v>1017</v>
      </c>
      <c r="P491" s="18" t="s">
        <v>25</v>
      </c>
      <c r="Q491" s="32">
        <f t="shared" si="14"/>
        <v>16</v>
      </c>
      <c r="R491" s="32">
        <f t="shared" si="15"/>
        <v>11</v>
      </c>
      <c r="S491" s="15" t="s">
        <v>492</v>
      </c>
    </row>
    <row r="492" spans="1:19" x14ac:dyDescent="0.25">
      <c r="A492" s="3">
        <v>490</v>
      </c>
      <c r="B492" s="11" t="s">
        <v>490</v>
      </c>
      <c r="C492" s="17" t="s">
        <v>987</v>
      </c>
      <c r="D492" s="17" t="s">
        <v>1011</v>
      </c>
      <c r="E492" s="17"/>
      <c r="F492" s="17" t="s">
        <v>2812</v>
      </c>
      <c r="G492" s="17" t="s">
        <v>2813</v>
      </c>
      <c r="H492" s="17" t="s">
        <v>27</v>
      </c>
      <c r="I492" s="17" t="s">
        <v>26</v>
      </c>
      <c r="J492" s="18" t="s">
        <v>2814</v>
      </c>
      <c r="K492" s="17" t="s">
        <v>23</v>
      </c>
      <c r="L492" s="17" t="s">
        <v>2815</v>
      </c>
      <c r="M492" s="17" t="s">
        <v>1012</v>
      </c>
      <c r="N492" s="17" t="s">
        <v>2816</v>
      </c>
      <c r="O492" s="18" t="s">
        <v>1017</v>
      </c>
      <c r="P492" s="18" t="s">
        <v>25</v>
      </c>
      <c r="Q492" s="32">
        <f t="shared" si="14"/>
        <v>16</v>
      </c>
      <c r="R492" s="32">
        <f t="shared" si="15"/>
        <v>15</v>
      </c>
      <c r="S492" s="15" t="s">
        <v>492</v>
      </c>
    </row>
    <row r="493" spans="1:19" x14ac:dyDescent="0.25">
      <c r="A493" s="2">
        <v>491</v>
      </c>
      <c r="B493" s="11" t="s">
        <v>490</v>
      </c>
      <c r="C493" s="17" t="s">
        <v>988</v>
      </c>
      <c r="D493" s="17" t="s">
        <v>1011</v>
      </c>
      <c r="E493" s="17"/>
      <c r="F493" s="17" t="s">
        <v>2817</v>
      </c>
      <c r="G493" s="17" t="s">
        <v>2813</v>
      </c>
      <c r="H493" s="17" t="s">
        <v>27</v>
      </c>
      <c r="I493" s="17" t="s">
        <v>28</v>
      </c>
      <c r="J493" s="18" t="s">
        <v>2818</v>
      </c>
      <c r="K493" s="17" t="s">
        <v>23</v>
      </c>
      <c r="L493" s="17" t="s">
        <v>2819</v>
      </c>
      <c r="M493" s="17" t="s">
        <v>1012</v>
      </c>
      <c r="N493" s="17" t="s">
        <v>2820</v>
      </c>
      <c r="O493" s="18" t="s">
        <v>1017</v>
      </c>
      <c r="P493" s="18" t="s">
        <v>25</v>
      </c>
      <c r="Q493" s="32">
        <f t="shared" si="14"/>
        <v>16</v>
      </c>
      <c r="R493" s="32">
        <f t="shared" si="15"/>
        <v>15</v>
      </c>
      <c r="S493" s="15" t="s">
        <v>492</v>
      </c>
    </row>
    <row r="494" spans="1:19" x14ac:dyDescent="0.25">
      <c r="A494" s="3">
        <v>492</v>
      </c>
      <c r="B494" s="11" t="s">
        <v>490</v>
      </c>
      <c r="C494" s="17" t="s">
        <v>989</v>
      </c>
      <c r="D494" s="17" t="s">
        <v>1011</v>
      </c>
      <c r="E494" s="17"/>
      <c r="F494" s="17" t="s">
        <v>2821</v>
      </c>
      <c r="G494" s="17" t="s">
        <v>2822</v>
      </c>
      <c r="H494" s="17" t="s">
        <v>28</v>
      </c>
      <c r="I494" s="17" t="s">
        <v>26</v>
      </c>
      <c r="J494" s="18" t="s">
        <v>2823</v>
      </c>
      <c r="K494" s="17" t="s">
        <v>23</v>
      </c>
      <c r="L494" s="17" t="s">
        <v>2824</v>
      </c>
      <c r="M494" s="17" t="s">
        <v>1012</v>
      </c>
      <c r="N494" s="17" t="s">
        <v>2824</v>
      </c>
      <c r="O494" s="18" t="s">
        <v>1017</v>
      </c>
      <c r="P494" s="18" t="s">
        <v>25</v>
      </c>
      <c r="Q494" s="32">
        <f t="shared" si="14"/>
        <v>16</v>
      </c>
      <c r="R494" s="32">
        <f t="shared" si="15"/>
        <v>16</v>
      </c>
      <c r="S494" s="15" t="s">
        <v>492</v>
      </c>
    </row>
    <row r="495" spans="1:19" x14ac:dyDescent="0.25">
      <c r="A495" s="2">
        <v>493</v>
      </c>
      <c r="B495" s="11" t="s">
        <v>490</v>
      </c>
      <c r="C495" s="17" t="s">
        <v>990</v>
      </c>
      <c r="D495" s="17" t="s">
        <v>1011</v>
      </c>
      <c r="E495" s="17"/>
      <c r="F495" s="17" t="s">
        <v>2825</v>
      </c>
      <c r="G495" s="17" t="s">
        <v>2826</v>
      </c>
      <c r="H495" s="17" t="s">
        <v>45</v>
      </c>
      <c r="I495" s="17" t="s">
        <v>26</v>
      </c>
      <c r="J495" s="18" t="s">
        <v>2827</v>
      </c>
      <c r="K495" s="17" t="s">
        <v>23</v>
      </c>
      <c r="L495" s="17" t="s">
        <v>2828</v>
      </c>
      <c r="M495" s="17" t="s">
        <v>1012</v>
      </c>
      <c r="N495" s="17" t="s">
        <v>2829</v>
      </c>
      <c r="O495" s="18" t="s">
        <v>1017</v>
      </c>
      <c r="P495" s="18" t="s">
        <v>25</v>
      </c>
      <c r="Q495" s="32">
        <f t="shared" si="14"/>
        <v>16</v>
      </c>
      <c r="R495" s="32">
        <f t="shared" si="15"/>
        <v>11</v>
      </c>
      <c r="S495" s="15" t="s">
        <v>492</v>
      </c>
    </row>
    <row r="496" spans="1:19" x14ac:dyDescent="0.25">
      <c r="A496" s="3">
        <v>494</v>
      </c>
      <c r="B496" s="11" t="s">
        <v>490</v>
      </c>
      <c r="C496" s="17" t="s">
        <v>991</v>
      </c>
      <c r="D496" s="17" t="s">
        <v>1011</v>
      </c>
      <c r="E496" s="17"/>
      <c r="F496" s="17" t="s">
        <v>2830</v>
      </c>
      <c r="G496" s="17" t="s">
        <v>2826</v>
      </c>
      <c r="H496" s="17" t="s">
        <v>45</v>
      </c>
      <c r="I496" s="17" t="s">
        <v>22</v>
      </c>
      <c r="J496" s="18" t="s">
        <v>2831</v>
      </c>
      <c r="K496" s="17" t="s">
        <v>23</v>
      </c>
      <c r="L496" s="17" t="s">
        <v>2828</v>
      </c>
      <c r="M496" s="17" t="s">
        <v>1012</v>
      </c>
      <c r="N496" s="17" t="s">
        <v>2829</v>
      </c>
      <c r="O496" s="18" t="s">
        <v>1017</v>
      </c>
      <c r="P496" s="18" t="s">
        <v>25</v>
      </c>
      <c r="Q496" s="32">
        <f t="shared" si="14"/>
        <v>16</v>
      </c>
      <c r="R496" s="32">
        <f t="shared" si="15"/>
        <v>11</v>
      </c>
      <c r="S496" s="15" t="s">
        <v>492</v>
      </c>
    </row>
    <row r="497" spans="1:19" x14ac:dyDescent="0.25">
      <c r="A497" s="2">
        <v>495</v>
      </c>
      <c r="B497" s="11" t="s">
        <v>490</v>
      </c>
      <c r="C497" s="17" t="s">
        <v>992</v>
      </c>
      <c r="D497" s="17" t="s">
        <v>1011</v>
      </c>
      <c r="E497" s="17"/>
      <c r="F497" s="17" t="s">
        <v>2832</v>
      </c>
      <c r="G497" s="17" t="s">
        <v>2826</v>
      </c>
      <c r="H497" s="17" t="s">
        <v>45</v>
      </c>
      <c r="I497" s="17" t="s">
        <v>28</v>
      </c>
      <c r="J497" s="18" t="s">
        <v>2833</v>
      </c>
      <c r="K497" s="17" t="s">
        <v>23</v>
      </c>
      <c r="L497" s="17" t="s">
        <v>2828</v>
      </c>
      <c r="M497" s="17" t="s">
        <v>1012</v>
      </c>
      <c r="N497" s="17" t="s">
        <v>2829</v>
      </c>
      <c r="O497" s="18" t="s">
        <v>1017</v>
      </c>
      <c r="P497" s="18" t="s">
        <v>25</v>
      </c>
      <c r="Q497" s="32">
        <f t="shared" si="14"/>
        <v>16</v>
      </c>
      <c r="R497" s="32">
        <f t="shared" si="15"/>
        <v>11</v>
      </c>
      <c r="S497" s="15" t="s">
        <v>492</v>
      </c>
    </row>
    <row r="498" spans="1:19" x14ac:dyDescent="0.25">
      <c r="A498" s="3">
        <v>496</v>
      </c>
      <c r="B498" s="11" t="s">
        <v>490</v>
      </c>
      <c r="C498" s="17" t="s">
        <v>993</v>
      </c>
      <c r="D498" s="17" t="s">
        <v>1011</v>
      </c>
      <c r="E498" s="17"/>
      <c r="F498" s="17" t="s">
        <v>2834</v>
      </c>
      <c r="G498" s="17" t="s">
        <v>2826</v>
      </c>
      <c r="H498" s="17" t="s">
        <v>45</v>
      </c>
      <c r="I498" s="17" t="s">
        <v>27</v>
      </c>
      <c r="J498" s="18" t="s">
        <v>2835</v>
      </c>
      <c r="K498" s="17" t="s">
        <v>23</v>
      </c>
      <c r="L498" s="17" t="s">
        <v>2828</v>
      </c>
      <c r="M498" s="17" t="s">
        <v>1012</v>
      </c>
      <c r="N498" s="17" t="s">
        <v>2829</v>
      </c>
      <c r="O498" s="18" t="s">
        <v>1017</v>
      </c>
      <c r="P498" s="18" t="s">
        <v>25</v>
      </c>
      <c r="Q498" s="32">
        <f t="shared" si="14"/>
        <v>16</v>
      </c>
      <c r="R498" s="32">
        <f t="shared" si="15"/>
        <v>11</v>
      </c>
      <c r="S498" s="15" t="s">
        <v>492</v>
      </c>
    </row>
    <row r="499" spans="1:19" x14ac:dyDescent="0.25">
      <c r="A499" s="2">
        <v>497</v>
      </c>
      <c r="B499" s="11" t="s">
        <v>490</v>
      </c>
      <c r="C499" s="17" t="s">
        <v>994</v>
      </c>
      <c r="D499" s="17" t="s">
        <v>1011</v>
      </c>
      <c r="E499" s="17"/>
      <c r="F499" s="17" t="s">
        <v>2836</v>
      </c>
      <c r="G499" s="17" t="s">
        <v>2837</v>
      </c>
      <c r="H499" s="17" t="s">
        <v>64</v>
      </c>
      <c r="I499" s="17" t="s">
        <v>26</v>
      </c>
      <c r="J499" s="18" t="s">
        <v>2838</v>
      </c>
      <c r="K499" s="17" t="s">
        <v>23</v>
      </c>
      <c r="L499" s="17" t="s">
        <v>2839</v>
      </c>
      <c r="M499" s="17" t="s">
        <v>1012</v>
      </c>
      <c r="N499" s="17" t="s">
        <v>2840</v>
      </c>
      <c r="O499" s="18" t="s">
        <v>1017</v>
      </c>
      <c r="P499" s="18" t="s">
        <v>25</v>
      </c>
      <c r="Q499" s="32">
        <f t="shared" si="14"/>
        <v>16</v>
      </c>
      <c r="R499" s="32">
        <f t="shared" si="15"/>
        <v>11</v>
      </c>
      <c r="S499" s="15" t="s">
        <v>492</v>
      </c>
    </row>
    <row r="500" spans="1:19" x14ac:dyDescent="0.25">
      <c r="A500" s="3">
        <v>498</v>
      </c>
      <c r="B500" s="11" t="s">
        <v>490</v>
      </c>
      <c r="C500" s="17" t="s">
        <v>995</v>
      </c>
      <c r="D500" s="17" t="s">
        <v>1011</v>
      </c>
      <c r="E500" s="17"/>
      <c r="F500" s="17" t="s">
        <v>2841</v>
      </c>
      <c r="G500" s="17" t="s">
        <v>2842</v>
      </c>
      <c r="H500" s="17" t="s">
        <v>35</v>
      </c>
      <c r="I500" s="17" t="s">
        <v>26</v>
      </c>
      <c r="J500" s="18" t="s">
        <v>2843</v>
      </c>
      <c r="K500" s="17" t="s">
        <v>23</v>
      </c>
      <c r="L500" s="17" t="s">
        <v>2844</v>
      </c>
      <c r="M500" s="17" t="s">
        <v>1012</v>
      </c>
      <c r="N500" s="17" t="s">
        <v>2845</v>
      </c>
      <c r="O500" s="18" t="s">
        <v>1017</v>
      </c>
      <c r="P500" s="18" t="s">
        <v>25</v>
      </c>
      <c r="Q500" s="32">
        <f t="shared" si="14"/>
        <v>16</v>
      </c>
      <c r="R500" s="32">
        <f t="shared" si="15"/>
        <v>11</v>
      </c>
      <c r="S500" s="15" t="s">
        <v>492</v>
      </c>
    </row>
    <row r="501" spans="1:19" x14ac:dyDescent="0.25">
      <c r="A501" s="2">
        <v>499</v>
      </c>
      <c r="B501" s="11" t="s">
        <v>490</v>
      </c>
      <c r="C501" s="17" t="s">
        <v>996</v>
      </c>
      <c r="D501" s="17" t="s">
        <v>1011</v>
      </c>
      <c r="E501" s="17"/>
      <c r="F501" s="17" t="s">
        <v>2846</v>
      </c>
      <c r="G501" s="17" t="s">
        <v>2842</v>
      </c>
      <c r="H501" s="17" t="s">
        <v>35</v>
      </c>
      <c r="I501" s="17" t="s">
        <v>22</v>
      </c>
      <c r="J501" s="18" t="s">
        <v>2847</v>
      </c>
      <c r="K501" s="17" t="s">
        <v>23</v>
      </c>
      <c r="L501" s="17" t="s">
        <v>2844</v>
      </c>
      <c r="M501" s="17" t="s">
        <v>1012</v>
      </c>
      <c r="N501" s="17" t="s">
        <v>2845</v>
      </c>
      <c r="O501" s="18" t="s">
        <v>1017</v>
      </c>
      <c r="P501" s="18" t="s">
        <v>25</v>
      </c>
      <c r="Q501" s="32">
        <f t="shared" si="14"/>
        <v>16</v>
      </c>
      <c r="R501" s="32">
        <f t="shared" si="15"/>
        <v>11</v>
      </c>
      <c r="S501" s="15" t="s">
        <v>492</v>
      </c>
    </row>
    <row r="502" spans="1:19" x14ac:dyDescent="0.25">
      <c r="A502" s="3">
        <v>500</v>
      </c>
      <c r="B502" s="11" t="s">
        <v>490</v>
      </c>
      <c r="C502" s="17" t="s">
        <v>997</v>
      </c>
      <c r="D502" s="17" t="s">
        <v>1011</v>
      </c>
      <c r="E502" s="17"/>
      <c r="F502" s="17" t="s">
        <v>2848</v>
      </c>
      <c r="G502" s="17" t="s">
        <v>2842</v>
      </c>
      <c r="H502" s="17" t="s">
        <v>35</v>
      </c>
      <c r="I502" s="17" t="s">
        <v>28</v>
      </c>
      <c r="J502" s="18" t="s">
        <v>2849</v>
      </c>
      <c r="K502" s="17" t="s">
        <v>23</v>
      </c>
      <c r="L502" s="17" t="s">
        <v>2844</v>
      </c>
      <c r="M502" s="17" t="s">
        <v>1012</v>
      </c>
      <c r="N502" s="17" t="s">
        <v>2845</v>
      </c>
      <c r="O502" s="18" t="s">
        <v>1017</v>
      </c>
      <c r="P502" s="18" t="s">
        <v>25</v>
      </c>
      <c r="Q502" s="32">
        <f t="shared" si="14"/>
        <v>16</v>
      </c>
      <c r="R502" s="32">
        <f t="shared" si="15"/>
        <v>11</v>
      </c>
      <c r="S502" s="15" t="s">
        <v>492</v>
      </c>
    </row>
    <row r="503" spans="1:19" x14ac:dyDescent="0.25">
      <c r="A503" s="2">
        <v>501</v>
      </c>
      <c r="B503" s="11" t="s">
        <v>490</v>
      </c>
      <c r="C503" s="17" t="s">
        <v>998</v>
      </c>
      <c r="D503" s="17" t="s">
        <v>1011</v>
      </c>
      <c r="E503" s="17"/>
      <c r="F503" s="17" t="s">
        <v>2850</v>
      </c>
      <c r="G503" s="17" t="s">
        <v>2842</v>
      </c>
      <c r="H503" s="17" t="s">
        <v>35</v>
      </c>
      <c r="I503" s="17" t="s">
        <v>27</v>
      </c>
      <c r="J503" s="18" t="s">
        <v>2851</v>
      </c>
      <c r="K503" s="17" t="s">
        <v>23</v>
      </c>
      <c r="L503" s="17" t="s">
        <v>2844</v>
      </c>
      <c r="M503" s="17" t="s">
        <v>1012</v>
      </c>
      <c r="N503" s="17" t="s">
        <v>2845</v>
      </c>
      <c r="O503" s="18" t="s">
        <v>1017</v>
      </c>
      <c r="P503" s="18" t="s">
        <v>25</v>
      </c>
      <c r="Q503" s="32">
        <f t="shared" si="14"/>
        <v>16</v>
      </c>
      <c r="R503" s="32">
        <f t="shared" si="15"/>
        <v>11</v>
      </c>
      <c r="S503" s="15" t="s">
        <v>493</v>
      </c>
    </row>
    <row r="504" spans="1:19" x14ac:dyDescent="0.25">
      <c r="A504" s="3">
        <v>502</v>
      </c>
      <c r="B504" s="11" t="s">
        <v>490</v>
      </c>
      <c r="C504" s="17" t="s">
        <v>999</v>
      </c>
      <c r="D504" s="17" t="s">
        <v>1011</v>
      </c>
      <c r="E504" s="17"/>
      <c r="F504" s="17" t="s">
        <v>2852</v>
      </c>
      <c r="G504" s="17" t="s">
        <v>2853</v>
      </c>
      <c r="H504" s="17" t="s">
        <v>2854</v>
      </c>
      <c r="I504" s="17" t="s">
        <v>26</v>
      </c>
      <c r="J504" s="18" t="s">
        <v>2855</v>
      </c>
      <c r="K504" s="17" t="s">
        <v>23</v>
      </c>
      <c r="L504" s="17" t="s">
        <v>2856</v>
      </c>
      <c r="M504" s="17" t="s">
        <v>1012</v>
      </c>
      <c r="N504" s="17" t="s">
        <v>2857</v>
      </c>
      <c r="O504" s="18" t="s">
        <v>1017</v>
      </c>
      <c r="P504" s="18" t="s">
        <v>25</v>
      </c>
      <c r="Q504" s="32">
        <f t="shared" si="14"/>
        <v>16</v>
      </c>
      <c r="R504" s="32">
        <f t="shared" si="15"/>
        <v>11</v>
      </c>
      <c r="S504" s="15" t="s">
        <v>492</v>
      </c>
    </row>
    <row r="505" spans="1:19" x14ac:dyDescent="0.25">
      <c r="A505" s="2">
        <v>503</v>
      </c>
      <c r="B505" s="11" t="s">
        <v>490</v>
      </c>
      <c r="C505" s="17" t="s">
        <v>1000</v>
      </c>
      <c r="D505" s="17" t="s">
        <v>1011</v>
      </c>
      <c r="E505" s="17"/>
      <c r="F505" s="17" t="s">
        <v>2858</v>
      </c>
      <c r="G505" s="17" t="s">
        <v>2859</v>
      </c>
      <c r="H505" s="17" t="s">
        <v>73</v>
      </c>
      <c r="I505" s="17" t="s">
        <v>22</v>
      </c>
      <c r="J505" s="18" t="s">
        <v>2860</v>
      </c>
      <c r="K505" s="17" t="s">
        <v>23</v>
      </c>
      <c r="L505" s="17" t="s">
        <v>1705</v>
      </c>
      <c r="M505" s="17" t="s">
        <v>1012</v>
      </c>
      <c r="N505" s="17" t="s">
        <v>1706</v>
      </c>
      <c r="O505" s="18" t="s">
        <v>1017</v>
      </c>
      <c r="P505" s="18" t="s">
        <v>25</v>
      </c>
      <c r="Q505" s="32">
        <f t="shared" si="14"/>
        <v>16</v>
      </c>
      <c r="R505" s="32">
        <f t="shared" si="15"/>
        <v>11</v>
      </c>
      <c r="S505" s="15" t="s">
        <v>492</v>
      </c>
    </row>
    <row r="506" spans="1:19" x14ac:dyDescent="0.25">
      <c r="A506" s="3">
        <v>504</v>
      </c>
      <c r="B506" s="11" t="s">
        <v>490</v>
      </c>
      <c r="C506" s="17" t="s">
        <v>1001</v>
      </c>
      <c r="D506" s="17" t="s">
        <v>1011</v>
      </c>
      <c r="E506" s="17"/>
      <c r="F506" s="17" t="s">
        <v>2861</v>
      </c>
      <c r="G506" s="17" t="s">
        <v>2862</v>
      </c>
      <c r="H506" s="17" t="s">
        <v>41</v>
      </c>
      <c r="I506" s="17" t="s">
        <v>26</v>
      </c>
      <c r="J506" s="18" t="s">
        <v>2863</v>
      </c>
      <c r="K506" s="17" t="s">
        <v>255</v>
      </c>
      <c r="L506" s="17" t="s">
        <v>2864</v>
      </c>
      <c r="M506" s="17" t="s">
        <v>1012</v>
      </c>
      <c r="N506" s="17" t="s">
        <v>2865</v>
      </c>
      <c r="O506" s="18" t="s">
        <v>257</v>
      </c>
      <c r="P506" s="18" t="s">
        <v>258</v>
      </c>
      <c r="Q506" s="18">
        <f t="shared" si="14"/>
        <v>10</v>
      </c>
      <c r="R506" s="18">
        <f t="shared" si="15"/>
        <v>11</v>
      </c>
      <c r="S506" s="15" t="s">
        <v>492</v>
      </c>
    </row>
    <row r="507" spans="1:19" x14ac:dyDescent="0.25">
      <c r="A507" s="2">
        <v>505</v>
      </c>
      <c r="B507" s="11" t="s">
        <v>490</v>
      </c>
      <c r="C507" s="17" t="s">
        <v>1002</v>
      </c>
      <c r="D507" s="17" t="s">
        <v>1011</v>
      </c>
      <c r="E507" s="17"/>
      <c r="F507" s="17" t="s">
        <v>2866</v>
      </c>
      <c r="G507" s="17" t="s">
        <v>2862</v>
      </c>
      <c r="H507" s="17" t="s">
        <v>49</v>
      </c>
      <c r="I507" s="17" t="s">
        <v>26</v>
      </c>
      <c r="J507" s="18" t="s">
        <v>2867</v>
      </c>
      <c r="K507" s="17" t="s">
        <v>23</v>
      </c>
      <c r="L507" s="17" t="s">
        <v>2868</v>
      </c>
      <c r="M507" s="17" t="s">
        <v>1012</v>
      </c>
      <c r="N507" s="17" t="s">
        <v>2869</v>
      </c>
      <c r="O507" s="18" t="s">
        <v>1017</v>
      </c>
      <c r="P507" s="18" t="s">
        <v>25</v>
      </c>
      <c r="Q507" s="32">
        <f t="shared" si="14"/>
        <v>16</v>
      </c>
      <c r="R507" s="32">
        <f t="shared" si="15"/>
        <v>11</v>
      </c>
      <c r="S507" s="15" t="s">
        <v>492</v>
      </c>
    </row>
    <row r="508" spans="1:19" x14ac:dyDescent="0.25">
      <c r="A508" s="3">
        <v>506</v>
      </c>
      <c r="B508" s="11" t="s">
        <v>490</v>
      </c>
      <c r="C508" s="17" t="s">
        <v>1003</v>
      </c>
      <c r="D508" s="17" t="s">
        <v>1011</v>
      </c>
      <c r="E508" s="17"/>
      <c r="F508" s="17" t="s">
        <v>2870</v>
      </c>
      <c r="G508" s="17" t="s">
        <v>2862</v>
      </c>
      <c r="H508" s="17" t="s">
        <v>105</v>
      </c>
      <c r="I508" s="17" t="s">
        <v>26</v>
      </c>
      <c r="J508" s="18" t="s">
        <v>2871</v>
      </c>
      <c r="K508" s="17" t="s">
        <v>255</v>
      </c>
      <c r="L508" s="17" t="s">
        <v>2872</v>
      </c>
      <c r="M508" s="17" t="s">
        <v>1012</v>
      </c>
      <c r="N508" s="17" t="s">
        <v>2873</v>
      </c>
      <c r="O508" s="18" t="s">
        <v>257</v>
      </c>
      <c r="P508" s="18" t="s">
        <v>258</v>
      </c>
      <c r="Q508" s="18">
        <f t="shared" si="14"/>
        <v>10</v>
      </c>
      <c r="R508" s="18">
        <f t="shared" si="15"/>
        <v>11</v>
      </c>
      <c r="S508" s="15" t="s">
        <v>492</v>
      </c>
    </row>
    <row r="509" spans="1:19" x14ac:dyDescent="0.25">
      <c r="A509" s="2">
        <v>507</v>
      </c>
      <c r="B509" s="11" t="s">
        <v>490</v>
      </c>
      <c r="C509" s="17" t="s">
        <v>1004</v>
      </c>
      <c r="D509" s="17" t="s">
        <v>1011</v>
      </c>
      <c r="E509" s="17"/>
      <c r="F509" s="17" t="s">
        <v>2874</v>
      </c>
      <c r="G509" s="17" t="s">
        <v>2875</v>
      </c>
      <c r="H509" s="17" t="s">
        <v>92</v>
      </c>
      <c r="I509" s="17" t="s">
        <v>26</v>
      </c>
      <c r="J509" s="18" t="s">
        <v>2876</v>
      </c>
      <c r="K509" s="17" t="s">
        <v>23</v>
      </c>
      <c r="L509" s="17" t="s">
        <v>2877</v>
      </c>
      <c r="M509" s="17" t="s">
        <v>1012</v>
      </c>
      <c r="N509" s="17" t="s">
        <v>2878</v>
      </c>
      <c r="O509" s="18" t="s">
        <v>1017</v>
      </c>
      <c r="P509" s="18" t="s">
        <v>25</v>
      </c>
      <c r="Q509" s="32">
        <f t="shared" si="14"/>
        <v>16</v>
      </c>
      <c r="R509" s="32">
        <f t="shared" si="15"/>
        <v>14</v>
      </c>
      <c r="S509" s="15" t="s">
        <v>492</v>
      </c>
    </row>
    <row r="510" spans="1:19" x14ac:dyDescent="0.25">
      <c r="A510" s="3">
        <v>508</v>
      </c>
      <c r="B510" s="11" t="s">
        <v>490</v>
      </c>
      <c r="C510" s="17" t="s">
        <v>1005</v>
      </c>
      <c r="D510" s="17" t="s">
        <v>1011</v>
      </c>
      <c r="E510" s="17"/>
      <c r="F510" s="17" t="s">
        <v>2879</v>
      </c>
      <c r="G510" s="17" t="s">
        <v>2880</v>
      </c>
      <c r="H510" s="17" t="s">
        <v>2881</v>
      </c>
      <c r="I510" s="17" t="s">
        <v>26</v>
      </c>
      <c r="J510" s="18" t="s">
        <v>2882</v>
      </c>
      <c r="K510" s="17" t="s">
        <v>23</v>
      </c>
      <c r="L510" s="17" t="s">
        <v>2883</v>
      </c>
      <c r="M510" s="17" t="s">
        <v>1012</v>
      </c>
      <c r="N510" s="17" t="s">
        <v>2884</v>
      </c>
      <c r="O510" s="18" t="s">
        <v>1017</v>
      </c>
      <c r="P510" s="18" t="s">
        <v>25</v>
      </c>
      <c r="Q510" s="32">
        <f t="shared" si="14"/>
        <v>16</v>
      </c>
      <c r="R510" s="32">
        <f t="shared" si="15"/>
        <v>11</v>
      </c>
      <c r="S510" s="15" t="s">
        <v>492</v>
      </c>
    </row>
    <row r="511" spans="1:19" x14ac:dyDescent="0.25">
      <c r="A511" s="2">
        <v>509</v>
      </c>
      <c r="B511" s="11" t="s">
        <v>490</v>
      </c>
      <c r="C511" s="17" t="s">
        <v>1006</v>
      </c>
      <c r="D511" s="17" t="s">
        <v>1011</v>
      </c>
      <c r="E511" s="17"/>
      <c r="F511" s="17" t="s">
        <v>2885</v>
      </c>
      <c r="G511" s="17" t="s">
        <v>2886</v>
      </c>
      <c r="H511" s="17" t="s">
        <v>37</v>
      </c>
      <c r="I511" s="17" t="s">
        <v>26</v>
      </c>
      <c r="J511" s="18" t="s">
        <v>2887</v>
      </c>
      <c r="K511" s="17" t="s">
        <v>23</v>
      </c>
      <c r="L511" s="17" t="s">
        <v>2888</v>
      </c>
      <c r="M511" s="17" t="s">
        <v>1012</v>
      </c>
      <c r="N511" s="17" t="s">
        <v>2889</v>
      </c>
      <c r="O511" s="18" t="s">
        <v>1017</v>
      </c>
      <c r="P511" s="18" t="s">
        <v>25</v>
      </c>
      <c r="Q511" s="32">
        <f t="shared" si="14"/>
        <v>16</v>
      </c>
      <c r="R511" s="32">
        <f t="shared" si="15"/>
        <v>11</v>
      </c>
      <c r="S511" s="15" t="s">
        <v>492</v>
      </c>
    </row>
    <row r="512" spans="1:19" x14ac:dyDescent="0.25">
      <c r="A512" s="3">
        <v>510</v>
      </c>
      <c r="B512" s="11" t="s">
        <v>490</v>
      </c>
      <c r="C512" s="17" t="s">
        <v>1007</v>
      </c>
      <c r="D512" s="17" t="s">
        <v>1011</v>
      </c>
      <c r="E512" s="17"/>
      <c r="F512" s="17" t="s">
        <v>2890</v>
      </c>
      <c r="G512" s="17" t="s">
        <v>2886</v>
      </c>
      <c r="H512" s="17" t="s">
        <v>37</v>
      </c>
      <c r="I512" s="17" t="s">
        <v>22</v>
      </c>
      <c r="J512" s="18" t="s">
        <v>2891</v>
      </c>
      <c r="K512" s="17" t="s">
        <v>23</v>
      </c>
      <c r="L512" s="17" t="s">
        <v>2888</v>
      </c>
      <c r="M512" s="17" t="s">
        <v>1012</v>
      </c>
      <c r="N512" s="17" t="s">
        <v>2889</v>
      </c>
      <c r="O512" s="18" t="s">
        <v>1017</v>
      </c>
      <c r="P512" s="18" t="s">
        <v>25</v>
      </c>
      <c r="Q512" s="32">
        <f t="shared" si="14"/>
        <v>16</v>
      </c>
      <c r="R512" s="32">
        <f t="shared" si="15"/>
        <v>11</v>
      </c>
      <c r="S512" s="15" t="s">
        <v>492</v>
      </c>
    </row>
    <row r="513" spans="1:19" x14ac:dyDescent="0.25">
      <c r="A513" s="2">
        <v>511</v>
      </c>
      <c r="B513" s="11" t="s">
        <v>490</v>
      </c>
      <c r="C513" s="17" t="s">
        <v>1008</v>
      </c>
      <c r="D513" s="17" t="s">
        <v>1011</v>
      </c>
      <c r="E513" s="17"/>
      <c r="F513" s="17" t="s">
        <v>2892</v>
      </c>
      <c r="G513" s="17" t="s">
        <v>2886</v>
      </c>
      <c r="H513" s="17" t="s">
        <v>37</v>
      </c>
      <c r="I513" s="17" t="s">
        <v>28</v>
      </c>
      <c r="J513" s="18" t="s">
        <v>2893</v>
      </c>
      <c r="K513" s="17" t="s">
        <v>23</v>
      </c>
      <c r="L513" s="17" t="s">
        <v>2888</v>
      </c>
      <c r="M513" s="17" t="s">
        <v>1012</v>
      </c>
      <c r="N513" s="17" t="s">
        <v>2889</v>
      </c>
      <c r="O513" s="18" t="s">
        <v>1017</v>
      </c>
      <c r="P513" s="18" t="s">
        <v>25</v>
      </c>
      <c r="Q513" s="32">
        <f t="shared" si="14"/>
        <v>16</v>
      </c>
      <c r="R513" s="32">
        <f t="shared" si="15"/>
        <v>11</v>
      </c>
      <c r="S513" s="15" t="s">
        <v>492</v>
      </c>
    </row>
    <row r="514" spans="1:19" x14ac:dyDescent="0.25">
      <c r="A514" s="3">
        <v>512</v>
      </c>
      <c r="B514" s="11" t="s">
        <v>490</v>
      </c>
      <c r="C514" s="17" t="s">
        <v>1009</v>
      </c>
      <c r="D514" s="17" t="s">
        <v>1011</v>
      </c>
      <c r="E514" s="17"/>
      <c r="F514" s="17" t="s">
        <v>2894</v>
      </c>
      <c r="G514" s="17" t="s">
        <v>2886</v>
      </c>
      <c r="H514" s="17" t="s">
        <v>37</v>
      </c>
      <c r="I514" s="17" t="s">
        <v>27</v>
      </c>
      <c r="J514" s="18" t="s">
        <v>2895</v>
      </c>
      <c r="K514" s="17" t="s">
        <v>23</v>
      </c>
      <c r="L514" s="17" t="s">
        <v>2888</v>
      </c>
      <c r="M514" s="17" t="s">
        <v>1012</v>
      </c>
      <c r="N514" s="17" t="s">
        <v>2889</v>
      </c>
      <c r="O514" s="18" t="s">
        <v>1017</v>
      </c>
      <c r="P514" s="18" t="s">
        <v>25</v>
      </c>
      <c r="Q514" s="32">
        <f t="shared" si="14"/>
        <v>16</v>
      </c>
      <c r="R514" s="32">
        <f t="shared" si="15"/>
        <v>11</v>
      </c>
      <c r="S514" s="15" t="s">
        <v>493</v>
      </c>
    </row>
    <row r="515" spans="1:19" x14ac:dyDescent="0.25">
      <c r="A515" s="2">
        <v>513</v>
      </c>
      <c r="B515" s="11" t="s">
        <v>490</v>
      </c>
      <c r="C515" s="17" t="s">
        <v>1010</v>
      </c>
      <c r="D515" s="17" t="s">
        <v>1011</v>
      </c>
      <c r="E515" s="17"/>
      <c r="F515" s="17" t="s">
        <v>2896</v>
      </c>
      <c r="G515" s="17" t="s">
        <v>2886</v>
      </c>
      <c r="H515" s="17" t="s">
        <v>37</v>
      </c>
      <c r="I515" s="17" t="s">
        <v>41</v>
      </c>
      <c r="J515" s="18" t="s">
        <v>2897</v>
      </c>
      <c r="K515" s="17" t="s">
        <v>23</v>
      </c>
      <c r="L515" s="17" t="s">
        <v>2888</v>
      </c>
      <c r="M515" s="17" t="s">
        <v>1012</v>
      </c>
      <c r="N515" s="17" t="s">
        <v>2889</v>
      </c>
      <c r="O515" s="18" t="s">
        <v>1017</v>
      </c>
      <c r="P515" s="18" t="s">
        <v>25</v>
      </c>
      <c r="Q515" s="32">
        <f t="shared" ref="Q515:Q516" si="16">LEN(L515)</f>
        <v>16</v>
      </c>
      <c r="R515" s="32">
        <f t="shared" ref="R515:R516" si="17">LEN(N515)</f>
        <v>11</v>
      </c>
      <c r="S515" s="15" t="s">
        <v>492</v>
      </c>
    </row>
    <row r="516" spans="1:19" x14ac:dyDescent="0.25">
      <c r="A516" s="3">
        <v>514</v>
      </c>
      <c r="B516" s="11" t="s">
        <v>490</v>
      </c>
      <c r="C516" s="17"/>
      <c r="D516" s="17"/>
      <c r="E516" s="17"/>
      <c r="F516" s="17"/>
      <c r="G516" s="17"/>
      <c r="H516" s="17"/>
      <c r="I516" s="17"/>
      <c r="J516" s="18"/>
      <c r="K516" s="17"/>
      <c r="L516" s="17"/>
      <c r="M516" s="17"/>
      <c r="N516"/>
      <c r="O516" t="s">
        <v>257</v>
      </c>
      <c r="P516"/>
      <c r="Q516">
        <f t="shared" si="16"/>
        <v>0</v>
      </c>
      <c r="R516">
        <f t="shared" si="17"/>
        <v>0</v>
      </c>
      <c r="S516" s="15" t="s">
        <v>492</v>
      </c>
    </row>
    <row r="517" spans="1:19" x14ac:dyDescent="0.25">
      <c r="A517" s="2">
        <v>515</v>
      </c>
      <c r="B517" s="11" t="s">
        <v>490</v>
      </c>
      <c r="C517" t="s">
        <v>123</v>
      </c>
      <c r="D517" t="s">
        <v>20</v>
      </c>
      <c r="E517"/>
      <c r="F517" s="9" t="s">
        <v>124</v>
      </c>
      <c r="G517" t="s">
        <v>98</v>
      </c>
      <c r="H517" t="s">
        <v>125</v>
      </c>
      <c r="I517" t="s">
        <v>28</v>
      </c>
      <c r="J517" t="s">
        <v>126</v>
      </c>
      <c r="K517" t="s">
        <v>100</v>
      </c>
      <c r="L517" t="s">
        <v>127</v>
      </c>
      <c r="M517" t="s">
        <v>24</v>
      </c>
      <c r="N517" t="s">
        <v>128</v>
      </c>
      <c r="O517" t="s">
        <v>101</v>
      </c>
      <c r="P517" t="s">
        <v>102</v>
      </c>
      <c r="Q517">
        <f t="shared" ref="Q517:Q545" si="18">LEN(L517)</f>
        <v>33</v>
      </c>
      <c r="R517">
        <f t="shared" ref="R517:R578" si="19">LEN(N517)</f>
        <v>33</v>
      </c>
      <c r="S517" s="15" t="s">
        <v>492</v>
      </c>
    </row>
    <row r="518" spans="1:19" x14ac:dyDescent="0.25">
      <c r="A518" s="3">
        <v>516</v>
      </c>
      <c r="B518" s="11" t="s">
        <v>490</v>
      </c>
      <c r="C518" t="s">
        <v>129</v>
      </c>
      <c r="D518" t="s">
        <v>20</v>
      </c>
      <c r="E518"/>
      <c r="F518" s="9" t="s">
        <v>130</v>
      </c>
      <c r="G518" t="s">
        <v>98</v>
      </c>
      <c r="H518" t="s">
        <v>125</v>
      </c>
      <c r="I518" t="s">
        <v>26</v>
      </c>
      <c r="J518" t="s">
        <v>131</v>
      </c>
      <c r="K518" t="s">
        <v>100</v>
      </c>
      <c r="L518" t="s">
        <v>132</v>
      </c>
      <c r="M518" t="s">
        <v>24</v>
      </c>
      <c r="N518" t="s">
        <v>133</v>
      </c>
      <c r="O518" t="s">
        <v>101</v>
      </c>
      <c r="P518" t="s">
        <v>102</v>
      </c>
      <c r="Q518">
        <f t="shared" si="18"/>
        <v>29</v>
      </c>
      <c r="R518">
        <f t="shared" si="19"/>
        <v>29</v>
      </c>
      <c r="S518" s="15" t="s">
        <v>492</v>
      </c>
    </row>
    <row r="519" spans="1:19" x14ac:dyDescent="0.25">
      <c r="A519" s="2">
        <v>517</v>
      </c>
      <c r="B519" s="11" t="s">
        <v>490</v>
      </c>
      <c r="C519" t="s">
        <v>134</v>
      </c>
      <c r="D519" t="s">
        <v>20</v>
      </c>
      <c r="E519"/>
      <c r="F519" s="9" t="s">
        <v>135</v>
      </c>
      <c r="G519" t="s">
        <v>99</v>
      </c>
      <c r="H519" t="s">
        <v>136</v>
      </c>
      <c r="I519" t="s">
        <v>26</v>
      </c>
      <c r="J519" t="s">
        <v>137</v>
      </c>
      <c r="K519" t="s">
        <v>100</v>
      </c>
      <c r="L519" t="s">
        <v>113</v>
      </c>
      <c r="M519" t="s">
        <v>24</v>
      </c>
      <c r="N519" t="s">
        <v>103</v>
      </c>
      <c r="O519" t="s">
        <v>101</v>
      </c>
      <c r="P519" t="s">
        <v>102</v>
      </c>
      <c r="Q519">
        <f t="shared" si="18"/>
        <v>2</v>
      </c>
      <c r="R519">
        <f t="shared" si="19"/>
        <v>0</v>
      </c>
      <c r="S519" s="15" t="s">
        <v>492</v>
      </c>
    </row>
    <row r="520" spans="1:19" x14ac:dyDescent="0.25">
      <c r="A520" s="3">
        <v>518</v>
      </c>
      <c r="B520" s="11" t="s">
        <v>490</v>
      </c>
      <c r="C520" t="s">
        <v>138</v>
      </c>
      <c r="D520" t="s">
        <v>20</v>
      </c>
      <c r="E520"/>
      <c r="F520" s="9" t="s">
        <v>139</v>
      </c>
      <c r="G520" t="s">
        <v>140</v>
      </c>
      <c r="H520" t="s">
        <v>22</v>
      </c>
      <c r="I520" t="s">
        <v>41</v>
      </c>
      <c r="J520" t="s">
        <v>141</v>
      </c>
      <c r="K520" t="s">
        <v>100</v>
      </c>
      <c r="L520" t="s">
        <v>142</v>
      </c>
      <c r="M520" t="s">
        <v>24</v>
      </c>
      <c r="N520" t="s">
        <v>143</v>
      </c>
      <c r="O520" t="s">
        <v>101</v>
      </c>
      <c r="P520" t="s">
        <v>102</v>
      </c>
      <c r="Q520">
        <f t="shared" si="18"/>
        <v>33</v>
      </c>
      <c r="R520">
        <f t="shared" si="19"/>
        <v>32</v>
      </c>
      <c r="S520" s="15" t="s">
        <v>495</v>
      </c>
    </row>
    <row r="521" spans="1:19" x14ac:dyDescent="0.25">
      <c r="A521" s="2">
        <v>519</v>
      </c>
      <c r="B521" s="11" t="s">
        <v>490</v>
      </c>
      <c r="C521" t="s">
        <v>144</v>
      </c>
      <c r="D521" t="s">
        <v>20</v>
      </c>
      <c r="E521"/>
      <c r="F521" s="9" t="s">
        <v>145</v>
      </c>
      <c r="G521" t="s">
        <v>146</v>
      </c>
      <c r="H521" t="s">
        <v>37</v>
      </c>
      <c r="I521" t="s">
        <v>26</v>
      </c>
      <c r="J521" t="s">
        <v>147</v>
      </c>
      <c r="K521" t="s">
        <v>100</v>
      </c>
      <c r="L521" t="s">
        <v>148</v>
      </c>
      <c r="M521" t="s">
        <v>24</v>
      </c>
      <c r="N521" t="s">
        <v>103</v>
      </c>
      <c r="O521" t="s">
        <v>101</v>
      </c>
      <c r="P521" t="s">
        <v>102</v>
      </c>
      <c r="Q521">
        <f t="shared" si="18"/>
        <v>8</v>
      </c>
      <c r="R521">
        <f t="shared" si="19"/>
        <v>0</v>
      </c>
      <c r="S521" s="15" t="s">
        <v>492</v>
      </c>
    </row>
    <row r="522" spans="1:19" x14ac:dyDescent="0.25">
      <c r="A522" s="3">
        <v>520</v>
      </c>
      <c r="B522" s="11" t="s">
        <v>490</v>
      </c>
      <c r="C522" t="s">
        <v>149</v>
      </c>
      <c r="D522" t="s">
        <v>20</v>
      </c>
      <c r="E522"/>
      <c r="F522" s="9" t="s">
        <v>150</v>
      </c>
      <c r="G522" t="s">
        <v>151</v>
      </c>
      <c r="H522" t="s">
        <v>152</v>
      </c>
      <c r="I522" t="s">
        <v>28</v>
      </c>
      <c r="J522" t="s">
        <v>153</v>
      </c>
      <c r="K522" t="s">
        <v>100</v>
      </c>
      <c r="L522" t="s">
        <v>154</v>
      </c>
      <c r="M522" t="s">
        <v>24</v>
      </c>
      <c r="N522" t="s">
        <v>155</v>
      </c>
      <c r="O522" t="s">
        <v>101</v>
      </c>
      <c r="P522" t="s">
        <v>102</v>
      </c>
      <c r="Q522">
        <f t="shared" si="18"/>
        <v>31</v>
      </c>
      <c r="R522">
        <f t="shared" si="19"/>
        <v>30</v>
      </c>
      <c r="S522" s="15" t="s">
        <v>495</v>
      </c>
    </row>
    <row r="523" spans="1:19" x14ac:dyDescent="0.25">
      <c r="A523" s="2">
        <v>521</v>
      </c>
      <c r="B523" s="11" t="s">
        <v>490</v>
      </c>
      <c r="C523" t="s">
        <v>156</v>
      </c>
      <c r="D523" t="s">
        <v>20</v>
      </c>
      <c r="E523"/>
      <c r="F523" s="9" t="s">
        <v>157</v>
      </c>
      <c r="G523" t="s">
        <v>151</v>
      </c>
      <c r="H523" t="s">
        <v>152</v>
      </c>
      <c r="I523" t="s">
        <v>22</v>
      </c>
      <c r="J523" t="s">
        <v>158</v>
      </c>
      <c r="K523" t="s">
        <v>100</v>
      </c>
      <c r="L523" t="s">
        <v>159</v>
      </c>
      <c r="M523" t="s">
        <v>24</v>
      </c>
      <c r="N523" t="s">
        <v>160</v>
      </c>
      <c r="O523" t="s">
        <v>101</v>
      </c>
      <c r="P523" t="s">
        <v>102</v>
      </c>
      <c r="Q523">
        <f t="shared" si="18"/>
        <v>17</v>
      </c>
      <c r="R523">
        <f t="shared" si="19"/>
        <v>16</v>
      </c>
      <c r="S523" s="15" t="s">
        <v>495</v>
      </c>
    </row>
    <row r="524" spans="1:19" x14ac:dyDescent="0.25">
      <c r="A524" s="3">
        <v>522</v>
      </c>
      <c r="B524" s="11" t="s">
        <v>490</v>
      </c>
      <c r="C524" t="s">
        <v>161</v>
      </c>
      <c r="D524" t="s">
        <v>20</v>
      </c>
      <c r="E524"/>
      <c r="F524" s="9" t="s">
        <v>162</v>
      </c>
      <c r="G524" t="s">
        <v>151</v>
      </c>
      <c r="H524" t="s">
        <v>163</v>
      </c>
      <c r="I524" t="s">
        <v>26</v>
      </c>
      <c r="J524" t="s">
        <v>164</v>
      </c>
      <c r="K524" t="s">
        <v>100</v>
      </c>
      <c r="L524" t="s">
        <v>165</v>
      </c>
      <c r="M524" t="s">
        <v>24</v>
      </c>
      <c r="N524" t="s">
        <v>166</v>
      </c>
      <c r="O524" t="s">
        <v>101</v>
      </c>
      <c r="P524" t="s">
        <v>102</v>
      </c>
      <c r="Q524">
        <f t="shared" si="18"/>
        <v>25</v>
      </c>
      <c r="R524">
        <f t="shared" si="19"/>
        <v>24</v>
      </c>
      <c r="S524" s="15" t="s">
        <v>492</v>
      </c>
    </row>
    <row r="525" spans="1:19" x14ac:dyDescent="0.25">
      <c r="A525" s="2">
        <v>523</v>
      </c>
      <c r="B525" s="11" t="s">
        <v>490</v>
      </c>
      <c r="C525" t="s">
        <v>167</v>
      </c>
      <c r="D525" t="s">
        <v>20</v>
      </c>
      <c r="E525"/>
      <c r="F525" s="9" t="s">
        <v>168</v>
      </c>
      <c r="G525" t="s">
        <v>151</v>
      </c>
      <c r="H525" t="s">
        <v>169</v>
      </c>
      <c r="I525" t="s">
        <v>26</v>
      </c>
      <c r="J525" t="s">
        <v>170</v>
      </c>
      <c r="K525" t="s">
        <v>100</v>
      </c>
      <c r="L525" t="s">
        <v>171</v>
      </c>
      <c r="M525" t="s">
        <v>24</v>
      </c>
      <c r="N525" t="s">
        <v>172</v>
      </c>
      <c r="O525" t="s">
        <v>101</v>
      </c>
      <c r="P525" t="s">
        <v>102</v>
      </c>
      <c r="Q525">
        <f t="shared" si="18"/>
        <v>28</v>
      </c>
      <c r="R525">
        <f t="shared" si="19"/>
        <v>27</v>
      </c>
      <c r="S525" s="15" t="s">
        <v>492</v>
      </c>
    </row>
    <row r="526" spans="1:19" x14ac:dyDescent="0.25">
      <c r="A526" s="3">
        <v>524</v>
      </c>
      <c r="B526" s="11" t="s">
        <v>490</v>
      </c>
      <c r="C526" t="s">
        <v>173</v>
      </c>
      <c r="D526" t="s">
        <v>20</v>
      </c>
      <c r="E526"/>
      <c r="F526" s="9" t="s">
        <v>174</v>
      </c>
      <c r="G526" t="s">
        <v>151</v>
      </c>
      <c r="H526" t="s">
        <v>175</v>
      </c>
      <c r="I526" t="s">
        <v>26</v>
      </c>
      <c r="J526" t="s">
        <v>176</v>
      </c>
      <c r="K526" t="s">
        <v>100</v>
      </c>
      <c r="L526" t="s">
        <v>177</v>
      </c>
      <c r="M526" t="s">
        <v>24</v>
      </c>
      <c r="N526" t="s">
        <v>178</v>
      </c>
      <c r="O526" t="s">
        <v>101</v>
      </c>
      <c r="P526" t="s">
        <v>102</v>
      </c>
      <c r="Q526">
        <f t="shared" si="18"/>
        <v>25</v>
      </c>
      <c r="R526">
        <f t="shared" si="19"/>
        <v>24</v>
      </c>
      <c r="S526" s="15" t="s">
        <v>495</v>
      </c>
    </row>
    <row r="527" spans="1:19" x14ac:dyDescent="0.25">
      <c r="A527" s="2">
        <v>525</v>
      </c>
      <c r="B527" s="11" t="s">
        <v>490</v>
      </c>
      <c r="C527" t="s">
        <v>179</v>
      </c>
      <c r="D527" t="s">
        <v>20</v>
      </c>
      <c r="E527"/>
      <c r="F527" s="9" t="s">
        <v>180</v>
      </c>
      <c r="G527" t="s">
        <v>151</v>
      </c>
      <c r="H527" t="s">
        <v>89</v>
      </c>
      <c r="I527" t="s">
        <v>26</v>
      </c>
      <c r="J527" t="s">
        <v>181</v>
      </c>
      <c r="K527" t="s">
        <v>100</v>
      </c>
      <c r="L527" t="s">
        <v>182</v>
      </c>
      <c r="M527" t="s">
        <v>24</v>
      </c>
      <c r="N527" t="s">
        <v>183</v>
      </c>
      <c r="O527" t="s">
        <v>101</v>
      </c>
      <c r="P527" t="s">
        <v>102</v>
      </c>
      <c r="Q527">
        <f t="shared" si="18"/>
        <v>29</v>
      </c>
      <c r="R527">
        <f t="shared" si="19"/>
        <v>28</v>
      </c>
      <c r="S527" s="15" t="s">
        <v>495</v>
      </c>
    </row>
    <row r="528" spans="1:19" x14ac:dyDescent="0.25">
      <c r="A528" s="3">
        <v>526</v>
      </c>
      <c r="B528" s="11" t="s">
        <v>490</v>
      </c>
      <c r="C528" t="s">
        <v>184</v>
      </c>
      <c r="D528" t="s">
        <v>20</v>
      </c>
      <c r="E528"/>
      <c r="F528" s="9" t="s">
        <v>185</v>
      </c>
      <c r="G528" t="s">
        <v>151</v>
      </c>
      <c r="H528" t="s">
        <v>186</v>
      </c>
      <c r="I528" t="s">
        <v>26</v>
      </c>
      <c r="J528" t="s">
        <v>187</v>
      </c>
      <c r="K528" t="s">
        <v>100</v>
      </c>
      <c r="L528" t="s">
        <v>188</v>
      </c>
      <c r="M528" t="s">
        <v>24</v>
      </c>
      <c r="N528" t="s">
        <v>189</v>
      </c>
      <c r="O528" t="s">
        <v>101</v>
      </c>
      <c r="P528" t="s">
        <v>102</v>
      </c>
      <c r="Q528">
        <f t="shared" si="18"/>
        <v>37</v>
      </c>
      <c r="R528">
        <f t="shared" si="19"/>
        <v>36</v>
      </c>
      <c r="S528" s="15" t="s">
        <v>492</v>
      </c>
    </row>
    <row r="529" spans="1:19" x14ac:dyDescent="0.25">
      <c r="A529" s="2">
        <v>527</v>
      </c>
      <c r="B529" s="11" t="s">
        <v>490</v>
      </c>
      <c r="C529" t="s">
        <v>190</v>
      </c>
      <c r="D529" t="s">
        <v>20</v>
      </c>
      <c r="E529"/>
      <c r="F529" s="9" t="s">
        <v>191</v>
      </c>
      <c r="G529" t="s">
        <v>151</v>
      </c>
      <c r="H529" t="s">
        <v>192</v>
      </c>
      <c r="I529" t="s">
        <v>26</v>
      </c>
      <c r="J529" t="s">
        <v>193</v>
      </c>
      <c r="K529" t="s">
        <v>100</v>
      </c>
      <c r="L529" t="s">
        <v>194</v>
      </c>
      <c r="M529" t="s">
        <v>24</v>
      </c>
      <c r="N529" t="s">
        <v>195</v>
      </c>
      <c r="O529" t="s">
        <v>101</v>
      </c>
      <c r="P529" t="s">
        <v>102</v>
      </c>
      <c r="Q529">
        <f t="shared" si="18"/>
        <v>38</v>
      </c>
      <c r="R529">
        <f t="shared" si="19"/>
        <v>37</v>
      </c>
      <c r="S529" s="15" t="s">
        <v>492</v>
      </c>
    </row>
    <row r="530" spans="1:19" x14ac:dyDescent="0.25">
      <c r="A530" s="3">
        <v>528</v>
      </c>
      <c r="B530" s="11" t="s">
        <v>490</v>
      </c>
      <c r="C530" t="s">
        <v>196</v>
      </c>
      <c r="D530" t="s">
        <v>20</v>
      </c>
      <c r="E530"/>
      <c r="F530" s="9" t="s">
        <v>197</v>
      </c>
      <c r="G530" t="s">
        <v>198</v>
      </c>
      <c r="H530" t="s">
        <v>122</v>
      </c>
      <c r="I530" t="s">
        <v>27</v>
      </c>
      <c r="J530" t="s">
        <v>199</v>
      </c>
      <c r="K530" t="s">
        <v>100</v>
      </c>
      <c r="L530" t="s">
        <v>200</v>
      </c>
      <c r="M530" t="s">
        <v>24</v>
      </c>
      <c r="N530" t="s">
        <v>103</v>
      </c>
      <c r="O530" t="s">
        <v>101</v>
      </c>
      <c r="P530" t="s">
        <v>102</v>
      </c>
      <c r="Q530">
        <f t="shared" si="18"/>
        <v>1</v>
      </c>
      <c r="R530">
        <f t="shared" si="19"/>
        <v>0</v>
      </c>
      <c r="S530" s="15" t="s">
        <v>492</v>
      </c>
    </row>
    <row r="531" spans="1:19" x14ac:dyDescent="0.25">
      <c r="A531" s="2">
        <v>529</v>
      </c>
      <c r="B531" s="11" t="s">
        <v>490</v>
      </c>
      <c r="C531" t="s">
        <v>201</v>
      </c>
      <c r="D531" t="s">
        <v>20</v>
      </c>
      <c r="E531"/>
      <c r="F531" s="9" t="s">
        <v>202</v>
      </c>
      <c r="G531" t="s">
        <v>203</v>
      </c>
      <c r="H531" t="s">
        <v>49</v>
      </c>
      <c r="I531" t="s">
        <v>22</v>
      </c>
      <c r="J531" t="s">
        <v>204</v>
      </c>
      <c r="K531" t="s">
        <v>100</v>
      </c>
      <c r="L531" t="s">
        <v>205</v>
      </c>
      <c r="M531" t="s">
        <v>24</v>
      </c>
      <c r="N531" t="s">
        <v>206</v>
      </c>
      <c r="O531" t="s">
        <v>101</v>
      </c>
      <c r="P531" t="s">
        <v>102</v>
      </c>
      <c r="Q531">
        <f t="shared" si="18"/>
        <v>25</v>
      </c>
      <c r="R531">
        <f t="shared" si="19"/>
        <v>24</v>
      </c>
      <c r="S531" s="15" t="s">
        <v>492</v>
      </c>
    </row>
    <row r="532" spans="1:19" x14ac:dyDescent="0.25">
      <c r="A532" s="3">
        <v>530</v>
      </c>
      <c r="B532" s="11" t="s">
        <v>490</v>
      </c>
      <c r="C532" t="s">
        <v>207</v>
      </c>
      <c r="D532" t="s">
        <v>20</v>
      </c>
      <c r="E532"/>
      <c r="F532" s="9" t="s">
        <v>208</v>
      </c>
      <c r="G532" t="s">
        <v>209</v>
      </c>
      <c r="H532" t="s">
        <v>53</v>
      </c>
      <c r="I532" t="s">
        <v>27</v>
      </c>
      <c r="J532" t="s">
        <v>210</v>
      </c>
      <c r="K532" t="s">
        <v>100</v>
      </c>
      <c r="L532" t="s">
        <v>211</v>
      </c>
      <c r="M532" t="s">
        <v>24</v>
      </c>
      <c r="N532" t="s">
        <v>212</v>
      </c>
      <c r="O532" t="s">
        <v>101</v>
      </c>
      <c r="P532" t="s">
        <v>102</v>
      </c>
      <c r="Q532">
        <f t="shared" si="18"/>
        <v>23</v>
      </c>
      <c r="R532">
        <f t="shared" si="19"/>
        <v>23</v>
      </c>
      <c r="S532" s="15" t="s">
        <v>492</v>
      </c>
    </row>
    <row r="533" spans="1:19" x14ac:dyDescent="0.25">
      <c r="A533" s="2">
        <v>531</v>
      </c>
      <c r="B533" s="11" t="s">
        <v>490</v>
      </c>
      <c r="C533" t="s">
        <v>213</v>
      </c>
      <c r="D533" t="s">
        <v>20</v>
      </c>
      <c r="E533"/>
      <c r="F533" s="9" t="s">
        <v>214</v>
      </c>
      <c r="G533" t="s">
        <v>59</v>
      </c>
      <c r="H533" t="s">
        <v>71</v>
      </c>
      <c r="I533" t="s">
        <v>26</v>
      </c>
      <c r="J533" t="s">
        <v>215</v>
      </c>
      <c r="K533" t="s">
        <v>100</v>
      </c>
      <c r="L533" t="s">
        <v>216</v>
      </c>
      <c r="M533" t="s">
        <v>24</v>
      </c>
      <c r="N533" t="s">
        <v>103</v>
      </c>
      <c r="O533" t="s">
        <v>101</v>
      </c>
      <c r="P533" t="s">
        <v>102</v>
      </c>
      <c r="Q533">
        <f t="shared" si="18"/>
        <v>9</v>
      </c>
      <c r="R533">
        <f t="shared" si="19"/>
        <v>0</v>
      </c>
      <c r="S533" s="15" t="s">
        <v>492</v>
      </c>
    </row>
    <row r="534" spans="1:19" x14ac:dyDescent="0.25">
      <c r="A534" s="3">
        <v>532</v>
      </c>
      <c r="B534" s="11" t="s">
        <v>490</v>
      </c>
      <c r="C534" t="s">
        <v>217</v>
      </c>
      <c r="D534" t="s">
        <v>20</v>
      </c>
      <c r="E534"/>
      <c r="F534" s="9" t="s">
        <v>218</v>
      </c>
      <c r="G534" t="s">
        <v>209</v>
      </c>
      <c r="H534" t="s">
        <v>53</v>
      </c>
      <c r="I534" t="s">
        <v>28</v>
      </c>
      <c r="J534" t="s">
        <v>219</v>
      </c>
      <c r="K534" t="s">
        <v>100</v>
      </c>
      <c r="L534" t="s">
        <v>211</v>
      </c>
      <c r="M534" t="s">
        <v>24</v>
      </c>
      <c r="N534" t="s">
        <v>212</v>
      </c>
      <c r="O534" t="s">
        <v>101</v>
      </c>
      <c r="P534" t="s">
        <v>102</v>
      </c>
      <c r="Q534">
        <f t="shared" si="18"/>
        <v>23</v>
      </c>
      <c r="R534">
        <f t="shared" si="19"/>
        <v>23</v>
      </c>
      <c r="S534" s="15" t="s">
        <v>492</v>
      </c>
    </row>
    <row r="535" spans="1:19" x14ac:dyDescent="0.25">
      <c r="A535" s="2">
        <v>533</v>
      </c>
      <c r="B535" s="11" t="s">
        <v>490</v>
      </c>
      <c r="C535" t="s">
        <v>220</v>
      </c>
      <c r="D535" t="s">
        <v>20</v>
      </c>
      <c r="E535"/>
      <c r="F535" s="9" t="s">
        <v>221</v>
      </c>
      <c r="G535" t="s">
        <v>70</v>
      </c>
      <c r="H535" t="s">
        <v>222</v>
      </c>
      <c r="I535" t="s">
        <v>22</v>
      </c>
      <c r="J535" t="s">
        <v>223</v>
      </c>
      <c r="K535" t="s">
        <v>100</v>
      </c>
      <c r="L535" t="s">
        <v>224</v>
      </c>
      <c r="M535" t="s">
        <v>24</v>
      </c>
      <c r="N535" t="s">
        <v>225</v>
      </c>
      <c r="O535" t="s">
        <v>101</v>
      </c>
      <c r="P535" t="s">
        <v>102</v>
      </c>
      <c r="Q535">
        <f t="shared" si="18"/>
        <v>35</v>
      </c>
      <c r="R535">
        <f t="shared" si="19"/>
        <v>35</v>
      </c>
      <c r="S535" s="15" t="s">
        <v>492</v>
      </c>
    </row>
    <row r="536" spans="1:19" x14ac:dyDescent="0.25">
      <c r="A536" s="3">
        <v>534</v>
      </c>
      <c r="B536" s="11" t="s">
        <v>490</v>
      </c>
      <c r="C536" t="s">
        <v>226</v>
      </c>
      <c r="D536" t="s">
        <v>20</v>
      </c>
      <c r="E536"/>
      <c r="F536" s="9" t="s">
        <v>227</v>
      </c>
      <c r="G536" t="s">
        <v>70</v>
      </c>
      <c r="H536" t="s">
        <v>58</v>
      </c>
      <c r="I536" t="s">
        <v>22</v>
      </c>
      <c r="J536" t="s">
        <v>228</v>
      </c>
      <c r="K536" t="s">
        <v>100</v>
      </c>
      <c r="L536" t="s">
        <v>229</v>
      </c>
      <c r="M536" t="s">
        <v>24</v>
      </c>
      <c r="N536" t="s">
        <v>230</v>
      </c>
      <c r="O536" t="s">
        <v>101</v>
      </c>
      <c r="P536" t="s">
        <v>102</v>
      </c>
      <c r="Q536">
        <f t="shared" si="18"/>
        <v>28</v>
      </c>
      <c r="R536">
        <f t="shared" si="19"/>
        <v>28</v>
      </c>
      <c r="S536" s="15" t="s">
        <v>492</v>
      </c>
    </row>
    <row r="537" spans="1:19" x14ac:dyDescent="0.25">
      <c r="A537" s="2">
        <v>535</v>
      </c>
      <c r="B537" s="11" t="s">
        <v>490</v>
      </c>
      <c r="C537" t="s">
        <v>231</v>
      </c>
      <c r="D537" t="s">
        <v>20</v>
      </c>
      <c r="E537"/>
      <c r="F537" s="9" t="s">
        <v>232</v>
      </c>
      <c r="G537" t="s">
        <v>61</v>
      </c>
      <c r="H537" t="s">
        <v>52</v>
      </c>
      <c r="I537" t="s">
        <v>26</v>
      </c>
      <c r="J537" t="s">
        <v>233</v>
      </c>
      <c r="K537" t="s">
        <v>100</v>
      </c>
      <c r="L537" t="s">
        <v>110</v>
      </c>
      <c r="M537" t="s">
        <v>24</v>
      </c>
      <c r="N537" t="s">
        <v>103</v>
      </c>
      <c r="O537" t="s">
        <v>101</v>
      </c>
      <c r="P537" t="s">
        <v>102</v>
      </c>
      <c r="Q537">
        <f t="shared" si="18"/>
        <v>1</v>
      </c>
      <c r="R537">
        <f t="shared" si="19"/>
        <v>0</v>
      </c>
      <c r="S537" s="15" t="s">
        <v>495</v>
      </c>
    </row>
    <row r="538" spans="1:19" x14ac:dyDescent="0.25">
      <c r="A538" s="3">
        <v>536</v>
      </c>
      <c r="B538" s="11" t="s">
        <v>490</v>
      </c>
      <c r="C538" t="s">
        <v>234</v>
      </c>
      <c r="D538" t="s">
        <v>20</v>
      </c>
      <c r="E538"/>
      <c r="F538" s="9" t="s">
        <v>235</v>
      </c>
      <c r="G538" t="s">
        <v>236</v>
      </c>
      <c r="H538" t="s">
        <v>53</v>
      </c>
      <c r="I538" t="s">
        <v>22</v>
      </c>
      <c r="J538" t="s">
        <v>237</v>
      </c>
      <c r="K538" t="s">
        <v>100</v>
      </c>
      <c r="L538" t="s">
        <v>238</v>
      </c>
      <c r="M538" t="s">
        <v>24</v>
      </c>
      <c r="N538" t="s">
        <v>239</v>
      </c>
      <c r="O538" t="s">
        <v>101</v>
      </c>
      <c r="P538" t="s">
        <v>102</v>
      </c>
      <c r="Q538">
        <f t="shared" si="18"/>
        <v>18</v>
      </c>
      <c r="R538">
        <f t="shared" si="19"/>
        <v>18</v>
      </c>
      <c r="S538" s="15" t="s">
        <v>492</v>
      </c>
    </row>
    <row r="539" spans="1:19" x14ac:dyDescent="0.25">
      <c r="A539" s="2">
        <v>537</v>
      </c>
      <c r="B539" s="11" t="s">
        <v>490</v>
      </c>
      <c r="C539" t="s">
        <v>240</v>
      </c>
      <c r="D539" t="s">
        <v>20</v>
      </c>
      <c r="E539"/>
      <c r="F539" s="9" t="s">
        <v>241</v>
      </c>
      <c r="G539" t="s">
        <v>242</v>
      </c>
      <c r="H539" t="s">
        <v>243</v>
      </c>
      <c r="I539" t="s">
        <v>26</v>
      </c>
      <c r="J539" t="s">
        <v>244</v>
      </c>
      <c r="K539" t="s">
        <v>100</v>
      </c>
      <c r="L539" t="s">
        <v>245</v>
      </c>
      <c r="M539" t="s">
        <v>24</v>
      </c>
      <c r="N539" t="s">
        <v>246</v>
      </c>
      <c r="O539" t="s">
        <v>101</v>
      </c>
      <c r="P539" t="s">
        <v>102</v>
      </c>
      <c r="Q539">
        <f t="shared" si="18"/>
        <v>29</v>
      </c>
      <c r="R539">
        <f t="shared" si="19"/>
        <v>29</v>
      </c>
      <c r="S539" s="15" t="s">
        <v>492</v>
      </c>
    </row>
    <row r="540" spans="1:19" x14ac:dyDescent="0.25">
      <c r="A540" s="3">
        <v>538</v>
      </c>
      <c r="B540" s="11" t="s">
        <v>490</v>
      </c>
      <c r="C540" t="s">
        <v>247</v>
      </c>
      <c r="D540" t="s">
        <v>20</v>
      </c>
      <c r="E540"/>
      <c r="F540" s="9" t="s">
        <v>248</v>
      </c>
      <c r="G540" t="s">
        <v>69</v>
      </c>
      <c r="H540" t="s">
        <v>249</v>
      </c>
      <c r="I540" t="s">
        <v>26</v>
      </c>
      <c r="J540" t="s">
        <v>250</v>
      </c>
      <c r="K540" t="s">
        <v>100</v>
      </c>
      <c r="L540" t="s">
        <v>110</v>
      </c>
      <c r="M540" t="s">
        <v>24</v>
      </c>
      <c r="N540" t="s">
        <v>103</v>
      </c>
      <c r="O540" t="s">
        <v>101</v>
      </c>
      <c r="P540" t="s">
        <v>102</v>
      </c>
      <c r="Q540">
        <f t="shared" si="18"/>
        <v>1</v>
      </c>
      <c r="R540">
        <f t="shared" si="19"/>
        <v>0</v>
      </c>
      <c r="S540" s="15" t="s">
        <v>492</v>
      </c>
    </row>
    <row r="541" spans="1:19" s="14" customFormat="1" x14ac:dyDescent="0.25">
      <c r="A541" s="10">
        <v>539</v>
      </c>
      <c r="B541" s="11" t="s">
        <v>490</v>
      </c>
      <c r="C541" s="12" t="s">
        <v>251</v>
      </c>
      <c r="D541" s="12" t="s">
        <v>20</v>
      </c>
      <c r="E541" s="12"/>
      <c r="F541" s="13" t="s">
        <v>252</v>
      </c>
      <c r="G541" s="12" t="s">
        <v>253</v>
      </c>
      <c r="H541" s="12" t="s">
        <v>31</v>
      </c>
      <c r="I541" s="12" t="s">
        <v>26</v>
      </c>
      <c r="J541" s="12" t="s">
        <v>254</v>
      </c>
      <c r="K541" s="12" t="s">
        <v>255</v>
      </c>
      <c r="L541" s="12" t="s">
        <v>256</v>
      </c>
      <c r="M541" s="12" t="s">
        <v>24</v>
      </c>
      <c r="N541" s="12" t="str">
        <f>IF(Q541&lt;11,CONCATENATE(L541,0))</f>
        <v>20700207300</v>
      </c>
      <c r="O541" s="12" t="s">
        <v>257</v>
      </c>
      <c r="P541" s="12" t="s">
        <v>258</v>
      </c>
      <c r="Q541" s="12">
        <f t="shared" si="18"/>
        <v>10</v>
      </c>
      <c r="R541" s="12">
        <f t="shared" si="19"/>
        <v>11</v>
      </c>
      <c r="S541" s="16" t="s">
        <v>492</v>
      </c>
    </row>
    <row r="542" spans="1:19" x14ac:dyDescent="0.25">
      <c r="A542" s="3">
        <v>540</v>
      </c>
      <c r="B542" s="11" t="s">
        <v>490</v>
      </c>
      <c r="C542" t="s">
        <v>259</v>
      </c>
      <c r="D542" t="s">
        <v>20</v>
      </c>
      <c r="E542"/>
      <c r="F542" s="9" t="s">
        <v>260</v>
      </c>
      <c r="G542" t="s">
        <v>38</v>
      </c>
      <c r="H542" t="s">
        <v>42</v>
      </c>
      <c r="I542" t="s">
        <v>26</v>
      </c>
      <c r="J542" t="s">
        <v>261</v>
      </c>
      <c r="K542" t="s">
        <v>255</v>
      </c>
      <c r="L542" t="s">
        <v>262</v>
      </c>
      <c r="M542" t="s">
        <v>24</v>
      </c>
      <c r="N542" t="str">
        <f t="shared" ref="N542:N592" si="20">IF(Q542&lt;11,CONCATENATE(L542,0))</f>
        <v>10206423520</v>
      </c>
      <c r="O542" t="s">
        <v>257</v>
      </c>
      <c r="P542" t="s">
        <v>258</v>
      </c>
      <c r="Q542">
        <f t="shared" si="18"/>
        <v>10</v>
      </c>
      <c r="R542">
        <f t="shared" si="19"/>
        <v>11</v>
      </c>
      <c r="S542" s="15" t="s">
        <v>492</v>
      </c>
    </row>
    <row r="543" spans="1:19" x14ac:dyDescent="0.25">
      <c r="A543" s="2">
        <v>541</v>
      </c>
      <c r="B543" s="11" t="s">
        <v>490</v>
      </c>
      <c r="C543" t="s">
        <v>263</v>
      </c>
      <c r="D543" t="s">
        <v>20</v>
      </c>
      <c r="E543"/>
      <c r="F543" s="9" t="s">
        <v>264</v>
      </c>
      <c r="G543" t="s">
        <v>265</v>
      </c>
      <c r="H543" t="s">
        <v>27</v>
      </c>
      <c r="I543" t="s">
        <v>26</v>
      </c>
      <c r="J543" t="s">
        <v>266</v>
      </c>
      <c r="K543" t="s">
        <v>255</v>
      </c>
      <c r="L543" t="s">
        <v>267</v>
      </c>
      <c r="M543" t="s">
        <v>24</v>
      </c>
      <c r="N543" t="str">
        <f t="shared" si="20"/>
        <v>63058118570</v>
      </c>
      <c r="O543" t="s">
        <v>257</v>
      </c>
      <c r="P543" t="s">
        <v>258</v>
      </c>
      <c r="Q543">
        <f t="shared" si="18"/>
        <v>10</v>
      </c>
      <c r="R543">
        <f t="shared" si="19"/>
        <v>11</v>
      </c>
      <c r="S543" s="15" t="s">
        <v>492</v>
      </c>
    </row>
    <row r="544" spans="1:19" x14ac:dyDescent="0.25">
      <c r="A544" s="3">
        <v>542</v>
      </c>
      <c r="B544" s="11" t="s">
        <v>490</v>
      </c>
      <c r="C544" t="s">
        <v>268</v>
      </c>
      <c r="D544" t="s">
        <v>20</v>
      </c>
      <c r="E544"/>
      <c r="F544" s="9" t="s">
        <v>269</v>
      </c>
      <c r="G544" t="s">
        <v>270</v>
      </c>
      <c r="H544" t="s">
        <v>22</v>
      </c>
      <c r="I544" t="s">
        <v>28</v>
      </c>
      <c r="J544" t="s">
        <v>271</v>
      </c>
      <c r="K544" t="s">
        <v>255</v>
      </c>
      <c r="L544" t="s">
        <v>53</v>
      </c>
      <c r="M544" t="s">
        <v>24</v>
      </c>
      <c r="N544" t="str">
        <f>IF(Q544&lt;11,CONCATENATE(L544,"000000000"))</f>
        <v>11000000000</v>
      </c>
      <c r="O544" t="s">
        <v>257</v>
      </c>
      <c r="P544" t="s">
        <v>258</v>
      </c>
      <c r="Q544">
        <f t="shared" si="18"/>
        <v>2</v>
      </c>
      <c r="R544">
        <f t="shared" si="19"/>
        <v>11</v>
      </c>
      <c r="S544" s="15" t="s">
        <v>492</v>
      </c>
    </row>
    <row r="545" spans="1:19" x14ac:dyDescent="0.25">
      <c r="A545" s="2">
        <v>543</v>
      </c>
      <c r="B545" s="11" t="s">
        <v>490</v>
      </c>
      <c r="C545" t="s">
        <v>272</v>
      </c>
      <c r="D545" t="s">
        <v>20</v>
      </c>
      <c r="E545"/>
      <c r="F545" s="9" t="s">
        <v>273</v>
      </c>
      <c r="G545" t="s">
        <v>274</v>
      </c>
      <c r="H545" t="s">
        <v>22</v>
      </c>
      <c r="I545" t="s">
        <v>26</v>
      </c>
      <c r="J545" t="s">
        <v>275</v>
      </c>
      <c r="K545" t="s">
        <v>255</v>
      </c>
      <c r="L545" t="s">
        <v>276</v>
      </c>
      <c r="M545" t="s">
        <v>24</v>
      </c>
      <c r="N545" t="str">
        <f t="shared" si="20"/>
        <v>13112808980</v>
      </c>
      <c r="O545" t="s">
        <v>257</v>
      </c>
      <c r="P545" t="s">
        <v>258</v>
      </c>
      <c r="Q545">
        <f t="shared" si="18"/>
        <v>10</v>
      </c>
      <c r="R545">
        <f t="shared" si="19"/>
        <v>11</v>
      </c>
      <c r="S545" s="15" t="s">
        <v>492</v>
      </c>
    </row>
    <row r="546" spans="1:19" x14ac:dyDescent="0.25">
      <c r="A546" s="3">
        <v>544</v>
      </c>
      <c r="B546" s="11" t="s">
        <v>490</v>
      </c>
      <c r="C546" t="s">
        <v>277</v>
      </c>
      <c r="D546" t="s">
        <v>20</v>
      </c>
      <c r="E546"/>
      <c r="F546" s="9" t="s">
        <v>3</v>
      </c>
      <c r="G546" t="s">
        <v>107</v>
      </c>
      <c r="H546" t="s">
        <v>55</v>
      </c>
      <c r="I546" t="s">
        <v>26</v>
      </c>
      <c r="J546" t="s">
        <v>278</v>
      </c>
      <c r="K546" t="s">
        <v>255</v>
      </c>
      <c r="L546" t="s">
        <v>2</v>
      </c>
      <c r="M546" t="s">
        <v>24</v>
      </c>
      <c r="N546" t="str">
        <f t="shared" si="20"/>
        <v>12993299130</v>
      </c>
      <c r="O546" t="s">
        <v>257</v>
      </c>
      <c r="P546" t="s">
        <v>258</v>
      </c>
      <c r="Q546">
        <f t="shared" ref="Q546:Q592" si="21">LEN(L546)</f>
        <v>10</v>
      </c>
      <c r="R546">
        <f t="shared" si="19"/>
        <v>11</v>
      </c>
      <c r="S546" s="15" t="s">
        <v>492</v>
      </c>
    </row>
    <row r="547" spans="1:19" x14ac:dyDescent="0.25">
      <c r="A547" s="2">
        <v>545</v>
      </c>
      <c r="B547" s="11" t="s">
        <v>490</v>
      </c>
      <c r="C547" t="s">
        <v>279</v>
      </c>
      <c r="D547" t="s">
        <v>20</v>
      </c>
      <c r="E547"/>
      <c r="F547" s="9" t="s">
        <v>280</v>
      </c>
      <c r="G547" t="s">
        <v>281</v>
      </c>
      <c r="H547" t="s">
        <v>47</v>
      </c>
      <c r="I547" t="s">
        <v>26</v>
      </c>
      <c r="J547" t="s">
        <v>282</v>
      </c>
      <c r="K547" t="s">
        <v>255</v>
      </c>
      <c r="L547">
        <v>2525685735</v>
      </c>
      <c r="M547" t="s">
        <v>24</v>
      </c>
      <c r="N547" t="str">
        <f t="shared" si="20"/>
        <v>25256857350</v>
      </c>
      <c r="O547" t="s">
        <v>257</v>
      </c>
      <c r="P547" t="s">
        <v>258</v>
      </c>
      <c r="Q547">
        <f t="shared" si="21"/>
        <v>10</v>
      </c>
      <c r="R547">
        <f t="shared" si="19"/>
        <v>11</v>
      </c>
      <c r="S547" s="15" t="s">
        <v>492</v>
      </c>
    </row>
    <row r="548" spans="1:19" x14ac:dyDescent="0.25">
      <c r="A548" s="3">
        <v>546</v>
      </c>
      <c r="B548" s="11" t="s">
        <v>490</v>
      </c>
      <c r="C548" t="s">
        <v>283</v>
      </c>
      <c r="D548" t="s">
        <v>20</v>
      </c>
      <c r="E548"/>
      <c r="F548" s="9" t="s">
        <v>284</v>
      </c>
      <c r="G548" t="s">
        <v>285</v>
      </c>
      <c r="H548" t="s">
        <v>286</v>
      </c>
      <c r="I548" t="s">
        <v>26</v>
      </c>
      <c r="J548" t="s">
        <v>287</v>
      </c>
      <c r="K548" t="s">
        <v>255</v>
      </c>
      <c r="L548" t="s">
        <v>114</v>
      </c>
      <c r="M548" t="s">
        <v>24</v>
      </c>
      <c r="N548" t="str">
        <f>IF(Q548&lt;11,CONCATENATE(L548,"00000000"))</f>
        <v>10000000000</v>
      </c>
      <c r="O548" t="s">
        <v>257</v>
      </c>
      <c r="P548" t="s">
        <v>258</v>
      </c>
      <c r="Q548">
        <f t="shared" si="21"/>
        <v>3</v>
      </c>
      <c r="R548">
        <f t="shared" si="19"/>
        <v>11</v>
      </c>
      <c r="S548" s="15" t="s">
        <v>492</v>
      </c>
    </row>
    <row r="549" spans="1:19" x14ac:dyDescent="0.25">
      <c r="A549" s="2">
        <v>547</v>
      </c>
      <c r="B549" s="11" t="s">
        <v>490</v>
      </c>
      <c r="C549" t="s">
        <v>288</v>
      </c>
      <c r="D549" t="s">
        <v>20</v>
      </c>
      <c r="E549"/>
      <c r="F549" s="9" t="s">
        <v>289</v>
      </c>
      <c r="G549" t="s">
        <v>290</v>
      </c>
      <c r="H549" t="s">
        <v>84</v>
      </c>
      <c r="I549" t="s">
        <v>26</v>
      </c>
      <c r="J549" t="s">
        <v>291</v>
      </c>
      <c r="K549" t="s">
        <v>255</v>
      </c>
      <c r="L549" t="s">
        <v>292</v>
      </c>
      <c r="M549" t="s">
        <v>24</v>
      </c>
      <c r="N549" t="str">
        <f t="shared" si="20"/>
        <v>14587349950</v>
      </c>
      <c r="O549" t="s">
        <v>257</v>
      </c>
      <c r="P549" t="s">
        <v>258</v>
      </c>
      <c r="Q549">
        <f t="shared" si="21"/>
        <v>10</v>
      </c>
      <c r="R549">
        <f t="shared" si="19"/>
        <v>11</v>
      </c>
      <c r="S549" s="15" t="s">
        <v>492</v>
      </c>
    </row>
    <row r="550" spans="1:19" x14ac:dyDescent="0.25">
      <c r="A550" s="3">
        <v>548</v>
      </c>
      <c r="B550" s="11" t="s">
        <v>490</v>
      </c>
      <c r="C550" t="s">
        <v>293</v>
      </c>
      <c r="D550" t="s">
        <v>20</v>
      </c>
      <c r="E550"/>
      <c r="F550" s="9" t="s">
        <v>294</v>
      </c>
      <c r="G550" t="s">
        <v>295</v>
      </c>
      <c r="H550" t="s">
        <v>43</v>
      </c>
      <c r="I550" t="s">
        <v>26</v>
      </c>
      <c r="J550" t="s">
        <v>296</v>
      </c>
      <c r="K550" t="s">
        <v>255</v>
      </c>
      <c r="L550" t="s">
        <v>297</v>
      </c>
      <c r="M550" t="s">
        <v>24</v>
      </c>
      <c r="N550" t="str">
        <f t="shared" si="20"/>
        <v>23703283070</v>
      </c>
      <c r="O550" t="s">
        <v>257</v>
      </c>
      <c r="P550" t="s">
        <v>258</v>
      </c>
      <c r="Q550">
        <f t="shared" si="21"/>
        <v>10</v>
      </c>
      <c r="R550">
        <f t="shared" si="19"/>
        <v>11</v>
      </c>
      <c r="S550" s="15" t="s">
        <v>492</v>
      </c>
    </row>
    <row r="551" spans="1:19" x14ac:dyDescent="0.25">
      <c r="A551" s="2">
        <v>549</v>
      </c>
      <c r="B551" s="11" t="s">
        <v>490</v>
      </c>
      <c r="C551" t="s">
        <v>298</v>
      </c>
      <c r="D551" t="s">
        <v>20</v>
      </c>
      <c r="E551"/>
      <c r="F551" s="9" t="s">
        <v>299</v>
      </c>
      <c r="G551" t="s">
        <v>300</v>
      </c>
      <c r="H551" t="s">
        <v>45</v>
      </c>
      <c r="I551" t="s">
        <v>26</v>
      </c>
      <c r="J551" t="s">
        <v>301</v>
      </c>
      <c r="K551" t="s">
        <v>255</v>
      </c>
      <c r="L551" t="s">
        <v>302</v>
      </c>
      <c r="M551" t="s">
        <v>24</v>
      </c>
      <c r="N551" t="str">
        <f t="shared" si="20"/>
        <v>12871613330</v>
      </c>
      <c r="O551" t="s">
        <v>257</v>
      </c>
      <c r="P551" t="s">
        <v>258</v>
      </c>
      <c r="Q551">
        <f t="shared" si="21"/>
        <v>10</v>
      </c>
      <c r="R551">
        <f t="shared" si="19"/>
        <v>11</v>
      </c>
      <c r="S551" s="15" t="s">
        <v>492</v>
      </c>
    </row>
    <row r="552" spans="1:19" x14ac:dyDescent="0.25">
      <c r="A552" s="3">
        <v>550</v>
      </c>
      <c r="B552" s="11" t="s">
        <v>490</v>
      </c>
      <c r="C552" t="s">
        <v>303</v>
      </c>
      <c r="D552" t="s">
        <v>20</v>
      </c>
      <c r="E552"/>
      <c r="F552" s="9" t="s">
        <v>304</v>
      </c>
      <c r="G552" t="s">
        <v>109</v>
      </c>
      <c r="H552" t="s">
        <v>28</v>
      </c>
      <c r="I552" t="s">
        <v>26</v>
      </c>
      <c r="J552" t="s">
        <v>305</v>
      </c>
      <c r="K552" t="s">
        <v>255</v>
      </c>
      <c r="L552" t="s">
        <v>306</v>
      </c>
      <c r="M552" t="s">
        <v>24</v>
      </c>
      <c r="N552" t="str">
        <f>IF(Q552&lt;11,CONCATENATE(L552,"00"))</f>
        <v>40901317100</v>
      </c>
      <c r="O552" t="s">
        <v>257</v>
      </c>
      <c r="P552" t="s">
        <v>258</v>
      </c>
      <c r="Q552">
        <f t="shared" si="21"/>
        <v>9</v>
      </c>
      <c r="R552">
        <f t="shared" si="19"/>
        <v>11</v>
      </c>
      <c r="S552" s="15" t="s">
        <v>495</v>
      </c>
    </row>
    <row r="553" spans="1:19" x14ac:dyDescent="0.25">
      <c r="A553" s="2">
        <v>551</v>
      </c>
      <c r="B553" s="11" t="s">
        <v>490</v>
      </c>
      <c r="C553" t="s">
        <v>307</v>
      </c>
      <c r="D553" t="s">
        <v>20</v>
      </c>
      <c r="E553"/>
      <c r="F553" s="9" t="s">
        <v>308</v>
      </c>
      <c r="G553" t="s">
        <v>309</v>
      </c>
      <c r="H553" t="s">
        <v>121</v>
      </c>
      <c r="I553" t="s">
        <v>26</v>
      </c>
      <c r="J553" t="s">
        <v>310</v>
      </c>
      <c r="K553" t="s">
        <v>255</v>
      </c>
      <c r="L553" t="s">
        <v>311</v>
      </c>
      <c r="M553" t="s">
        <v>24</v>
      </c>
      <c r="N553" t="str">
        <f t="shared" si="20"/>
        <v>12157521380</v>
      </c>
      <c r="O553" t="s">
        <v>257</v>
      </c>
      <c r="P553" t="s">
        <v>258</v>
      </c>
      <c r="Q553">
        <f t="shared" si="21"/>
        <v>10</v>
      </c>
      <c r="R553">
        <f t="shared" si="19"/>
        <v>11</v>
      </c>
      <c r="S553" s="15" t="s">
        <v>492</v>
      </c>
    </row>
    <row r="554" spans="1:19" x14ac:dyDescent="0.25">
      <c r="A554" s="3">
        <v>552</v>
      </c>
      <c r="B554" s="11" t="s">
        <v>490</v>
      </c>
      <c r="C554" t="s">
        <v>312</v>
      </c>
      <c r="D554" t="s">
        <v>20</v>
      </c>
      <c r="E554"/>
      <c r="F554" s="9" t="s">
        <v>313</v>
      </c>
      <c r="G554" t="s">
        <v>314</v>
      </c>
      <c r="H554" t="s">
        <v>315</v>
      </c>
      <c r="I554" t="s">
        <v>26</v>
      </c>
      <c r="J554" t="s">
        <v>316</v>
      </c>
      <c r="K554" t="s">
        <v>255</v>
      </c>
      <c r="L554" t="s">
        <v>317</v>
      </c>
      <c r="M554" t="s">
        <v>24</v>
      </c>
      <c r="N554" t="str">
        <f t="shared" si="20"/>
        <v>16345234500</v>
      </c>
      <c r="O554" t="s">
        <v>257</v>
      </c>
      <c r="P554" t="s">
        <v>258</v>
      </c>
      <c r="Q554">
        <f t="shared" si="21"/>
        <v>10</v>
      </c>
      <c r="R554">
        <f t="shared" si="19"/>
        <v>11</v>
      </c>
      <c r="S554" s="15" t="s">
        <v>492</v>
      </c>
    </row>
    <row r="555" spans="1:19" x14ac:dyDescent="0.25">
      <c r="A555" s="2">
        <v>553</v>
      </c>
      <c r="B555" s="11" t="s">
        <v>490</v>
      </c>
      <c r="C555" t="s">
        <v>318</v>
      </c>
      <c r="D555" t="s">
        <v>20</v>
      </c>
      <c r="E555"/>
      <c r="F555" s="9" t="s">
        <v>319</v>
      </c>
      <c r="G555" t="s">
        <v>320</v>
      </c>
      <c r="H555" t="s">
        <v>82</v>
      </c>
      <c r="I555" t="s">
        <v>26</v>
      </c>
      <c r="J555" t="s">
        <v>321</v>
      </c>
      <c r="K555" t="s">
        <v>255</v>
      </c>
      <c r="L555" t="s">
        <v>322</v>
      </c>
      <c r="M555" t="s">
        <v>24</v>
      </c>
      <c r="N555" t="str">
        <f>IF(Q555&lt;11,CONCATENATE(L555,"00"))</f>
        <v>10307697200</v>
      </c>
      <c r="O555" t="s">
        <v>257</v>
      </c>
      <c r="P555" t="s">
        <v>258</v>
      </c>
      <c r="Q555">
        <f t="shared" si="21"/>
        <v>9</v>
      </c>
      <c r="R555">
        <f t="shared" si="19"/>
        <v>11</v>
      </c>
      <c r="S555" s="15" t="s">
        <v>492</v>
      </c>
    </row>
    <row r="556" spans="1:19" x14ac:dyDescent="0.25">
      <c r="A556" s="3">
        <v>554</v>
      </c>
      <c r="B556" s="11" t="s">
        <v>490</v>
      </c>
      <c r="C556" t="s">
        <v>323</v>
      </c>
      <c r="D556" t="s">
        <v>20</v>
      </c>
      <c r="E556"/>
      <c r="F556" s="9" t="s">
        <v>324</v>
      </c>
      <c r="G556" t="s">
        <v>325</v>
      </c>
      <c r="H556" t="s">
        <v>27</v>
      </c>
      <c r="I556" t="s">
        <v>26</v>
      </c>
      <c r="J556" t="s">
        <v>326</v>
      </c>
      <c r="K556" t="s">
        <v>255</v>
      </c>
      <c r="L556" t="s">
        <v>327</v>
      </c>
      <c r="M556" t="s">
        <v>24</v>
      </c>
      <c r="N556" t="str">
        <f>IF(Q556&lt;11,CONCATENATE(L556,"00"))</f>
        <v>17731683400</v>
      </c>
      <c r="O556" t="s">
        <v>257</v>
      </c>
      <c r="P556" t="s">
        <v>258</v>
      </c>
      <c r="Q556">
        <f t="shared" si="21"/>
        <v>9</v>
      </c>
      <c r="R556">
        <f t="shared" si="19"/>
        <v>11</v>
      </c>
      <c r="S556" s="15" t="s">
        <v>492</v>
      </c>
    </row>
    <row r="557" spans="1:19" x14ac:dyDescent="0.25">
      <c r="A557" s="2">
        <v>555</v>
      </c>
      <c r="B557" s="11" t="s">
        <v>490</v>
      </c>
      <c r="C557" t="s">
        <v>328</v>
      </c>
      <c r="D557" t="s">
        <v>20</v>
      </c>
      <c r="E557"/>
      <c r="F557" s="9" t="s">
        <v>329</v>
      </c>
      <c r="G557" t="s">
        <v>330</v>
      </c>
      <c r="H557" t="s">
        <v>115</v>
      </c>
      <c r="I557" t="s">
        <v>26</v>
      </c>
      <c r="J557" t="s">
        <v>331</v>
      </c>
      <c r="K557" t="s">
        <v>255</v>
      </c>
      <c r="L557" t="s">
        <v>332</v>
      </c>
      <c r="M557" t="s">
        <v>24</v>
      </c>
      <c r="N557" t="str">
        <f t="shared" si="20"/>
        <v>13147257780</v>
      </c>
      <c r="O557" t="s">
        <v>257</v>
      </c>
      <c r="P557" t="s">
        <v>258</v>
      </c>
      <c r="Q557">
        <f t="shared" si="21"/>
        <v>10</v>
      </c>
      <c r="R557">
        <f t="shared" si="19"/>
        <v>11</v>
      </c>
      <c r="S557" s="15" t="s">
        <v>492</v>
      </c>
    </row>
    <row r="558" spans="1:19" x14ac:dyDescent="0.25">
      <c r="A558" s="3">
        <v>556</v>
      </c>
      <c r="B558" s="11" t="s">
        <v>490</v>
      </c>
      <c r="C558" t="s">
        <v>333</v>
      </c>
      <c r="D558" t="s">
        <v>20</v>
      </c>
      <c r="E558"/>
      <c r="F558" s="9" t="s">
        <v>334</v>
      </c>
      <c r="G558" t="s">
        <v>335</v>
      </c>
      <c r="H558" t="s">
        <v>88</v>
      </c>
      <c r="I558" t="s">
        <v>26</v>
      </c>
      <c r="J558" t="s">
        <v>336</v>
      </c>
      <c r="K558" t="s">
        <v>255</v>
      </c>
      <c r="L558" t="s">
        <v>337</v>
      </c>
      <c r="M558" t="s">
        <v>24</v>
      </c>
      <c r="N558" t="str">
        <f t="shared" si="20"/>
        <v>16475767950</v>
      </c>
      <c r="O558" t="s">
        <v>257</v>
      </c>
      <c r="P558" t="s">
        <v>258</v>
      </c>
      <c r="Q558">
        <f t="shared" si="21"/>
        <v>10</v>
      </c>
      <c r="R558">
        <f t="shared" si="19"/>
        <v>11</v>
      </c>
      <c r="S558" s="15" t="s">
        <v>492</v>
      </c>
    </row>
    <row r="559" spans="1:19" x14ac:dyDescent="0.25">
      <c r="A559" s="2">
        <v>557</v>
      </c>
      <c r="B559" s="11" t="s">
        <v>490</v>
      </c>
      <c r="C559" t="s">
        <v>338</v>
      </c>
      <c r="D559" t="s">
        <v>20</v>
      </c>
      <c r="E559"/>
      <c r="F559" s="9" t="s">
        <v>339</v>
      </c>
      <c r="G559" t="s">
        <v>111</v>
      </c>
      <c r="H559" t="s">
        <v>43</v>
      </c>
      <c r="I559" t="s">
        <v>26</v>
      </c>
      <c r="J559" t="s">
        <v>340</v>
      </c>
      <c r="K559" t="s">
        <v>255</v>
      </c>
      <c r="L559" t="s">
        <v>341</v>
      </c>
      <c r="M559" t="s">
        <v>24</v>
      </c>
      <c r="N559" t="str">
        <f t="shared" si="20"/>
        <v>21071470870</v>
      </c>
      <c r="O559" t="s">
        <v>257</v>
      </c>
      <c r="P559" t="s">
        <v>258</v>
      </c>
      <c r="Q559">
        <f t="shared" si="21"/>
        <v>10</v>
      </c>
      <c r="R559">
        <f t="shared" si="19"/>
        <v>11</v>
      </c>
      <c r="S559" s="15" t="s">
        <v>492</v>
      </c>
    </row>
    <row r="560" spans="1:19" x14ac:dyDescent="0.25">
      <c r="A560" s="3">
        <v>558</v>
      </c>
      <c r="B560" s="11" t="s">
        <v>490</v>
      </c>
      <c r="C560" t="s">
        <v>342</v>
      </c>
      <c r="D560" t="s">
        <v>20</v>
      </c>
      <c r="E560"/>
      <c r="F560" s="9" t="s">
        <v>343</v>
      </c>
      <c r="G560" t="s">
        <v>68</v>
      </c>
      <c r="H560" t="s">
        <v>116</v>
      </c>
      <c r="I560" t="s">
        <v>26</v>
      </c>
      <c r="J560" t="s">
        <v>344</v>
      </c>
      <c r="K560" t="s">
        <v>255</v>
      </c>
      <c r="L560" t="s">
        <v>345</v>
      </c>
      <c r="M560" t="s">
        <v>24</v>
      </c>
      <c r="N560" t="str">
        <f>IF(Q560&lt;11,CONCATENATE(L560,"0000000"))</f>
        <v>77770000000</v>
      </c>
      <c r="O560" t="s">
        <v>257</v>
      </c>
      <c r="P560" t="s">
        <v>258</v>
      </c>
      <c r="Q560">
        <f t="shared" si="21"/>
        <v>4</v>
      </c>
      <c r="R560">
        <f t="shared" si="19"/>
        <v>11</v>
      </c>
      <c r="S560" s="15" t="s">
        <v>492</v>
      </c>
    </row>
    <row r="561" spans="1:19" x14ac:dyDescent="0.25">
      <c r="A561" s="2">
        <v>559</v>
      </c>
      <c r="B561" s="11" t="s">
        <v>490</v>
      </c>
      <c r="C561" t="s">
        <v>346</v>
      </c>
      <c r="D561" t="s">
        <v>20</v>
      </c>
      <c r="E561"/>
      <c r="F561" s="9" t="s">
        <v>347</v>
      </c>
      <c r="G561" t="s">
        <v>348</v>
      </c>
      <c r="H561" t="s">
        <v>115</v>
      </c>
      <c r="I561" t="s">
        <v>26</v>
      </c>
      <c r="J561" t="s">
        <v>349</v>
      </c>
      <c r="K561" t="s">
        <v>255</v>
      </c>
      <c r="L561" t="s">
        <v>350</v>
      </c>
      <c r="M561" t="s">
        <v>24</v>
      </c>
      <c r="N561" t="str">
        <f t="shared" si="20"/>
        <v>21071413740</v>
      </c>
      <c r="O561" t="s">
        <v>257</v>
      </c>
      <c r="P561" t="s">
        <v>258</v>
      </c>
      <c r="Q561">
        <f t="shared" si="21"/>
        <v>10</v>
      </c>
      <c r="R561">
        <f t="shared" si="19"/>
        <v>11</v>
      </c>
      <c r="S561" s="15" t="s">
        <v>492</v>
      </c>
    </row>
    <row r="562" spans="1:19" x14ac:dyDescent="0.25">
      <c r="A562" s="3">
        <v>560</v>
      </c>
      <c r="B562" s="11" t="s">
        <v>490</v>
      </c>
      <c r="C562" t="s">
        <v>351</v>
      </c>
      <c r="D562" t="s">
        <v>20</v>
      </c>
      <c r="E562"/>
      <c r="F562" s="9" t="s">
        <v>352</v>
      </c>
      <c r="G562" t="s">
        <v>353</v>
      </c>
      <c r="H562" t="s">
        <v>354</v>
      </c>
      <c r="I562" t="s">
        <v>26</v>
      </c>
      <c r="J562" t="s">
        <v>355</v>
      </c>
      <c r="K562" t="s">
        <v>255</v>
      </c>
      <c r="L562" t="s">
        <v>356</v>
      </c>
      <c r="M562" t="s">
        <v>24</v>
      </c>
      <c r="N562" t="str">
        <f t="shared" si="20"/>
        <v>16126531680</v>
      </c>
      <c r="O562" t="s">
        <v>257</v>
      </c>
      <c r="P562" t="s">
        <v>258</v>
      </c>
      <c r="Q562">
        <f t="shared" si="21"/>
        <v>10</v>
      </c>
      <c r="R562">
        <f t="shared" si="19"/>
        <v>11</v>
      </c>
      <c r="S562" s="15" t="s">
        <v>492</v>
      </c>
    </row>
    <row r="563" spans="1:19" x14ac:dyDescent="0.25">
      <c r="A563" s="2">
        <v>561</v>
      </c>
      <c r="B563" s="11" t="s">
        <v>490</v>
      </c>
      <c r="C563" t="s">
        <v>357</v>
      </c>
      <c r="D563" t="s">
        <v>20</v>
      </c>
      <c r="E563"/>
      <c r="F563" s="9" t="s">
        <v>358</v>
      </c>
      <c r="G563" t="s">
        <v>353</v>
      </c>
      <c r="H563" t="s">
        <v>359</v>
      </c>
      <c r="I563" t="s">
        <v>26</v>
      </c>
      <c r="J563" t="s">
        <v>360</v>
      </c>
      <c r="K563" t="s">
        <v>255</v>
      </c>
      <c r="L563" t="s">
        <v>361</v>
      </c>
      <c r="M563" t="s">
        <v>24</v>
      </c>
      <c r="N563" t="str">
        <f t="shared" si="20"/>
        <v>13050607290</v>
      </c>
      <c r="O563" t="s">
        <v>257</v>
      </c>
      <c r="P563" t="s">
        <v>258</v>
      </c>
      <c r="Q563">
        <f t="shared" si="21"/>
        <v>10</v>
      </c>
      <c r="R563">
        <f t="shared" si="19"/>
        <v>11</v>
      </c>
      <c r="S563" s="15" t="s">
        <v>492</v>
      </c>
    </row>
    <row r="564" spans="1:19" x14ac:dyDescent="0.25">
      <c r="A564" s="3">
        <v>562</v>
      </c>
      <c r="B564" s="11" t="s">
        <v>490</v>
      </c>
      <c r="C564" t="s">
        <v>362</v>
      </c>
      <c r="D564" t="s">
        <v>20</v>
      </c>
      <c r="E564"/>
      <c r="F564" s="9" t="s">
        <v>363</v>
      </c>
      <c r="G564" t="s">
        <v>75</v>
      </c>
      <c r="H564" t="s">
        <v>364</v>
      </c>
      <c r="I564" t="s">
        <v>26</v>
      </c>
      <c r="J564" t="s">
        <v>365</v>
      </c>
      <c r="K564" t="s">
        <v>255</v>
      </c>
      <c r="L564" t="s">
        <v>366</v>
      </c>
      <c r="M564" t="s">
        <v>24</v>
      </c>
      <c r="N564" t="str">
        <f>IF(Q564&lt;11,CONCATENATE(L564,"000000"))</f>
        <v>13728000000</v>
      </c>
      <c r="O564" t="s">
        <v>257</v>
      </c>
      <c r="P564" t="s">
        <v>258</v>
      </c>
      <c r="Q564">
        <f t="shared" si="21"/>
        <v>5</v>
      </c>
      <c r="R564">
        <f t="shared" si="19"/>
        <v>11</v>
      </c>
      <c r="S564" s="15" t="s">
        <v>492</v>
      </c>
    </row>
    <row r="565" spans="1:19" x14ac:dyDescent="0.25">
      <c r="A565" s="2">
        <v>563</v>
      </c>
      <c r="B565" s="11" t="s">
        <v>490</v>
      </c>
      <c r="C565" t="s">
        <v>367</v>
      </c>
      <c r="D565" t="s">
        <v>20</v>
      </c>
      <c r="E565"/>
      <c r="F565" s="9" t="s">
        <v>368</v>
      </c>
      <c r="G565" t="s">
        <v>75</v>
      </c>
      <c r="H565" t="s">
        <v>369</v>
      </c>
      <c r="I565" t="s">
        <v>26</v>
      </c>
      <c r="J565" t="s">
        <v>370</v>
      </c>
      <c r="K565" t="s">
        <v>255</v>
      </c>
      <c r="L565" t="s">
        <v>371</v>
      </c>
      <c r="M565" t="s">
        <v>24</v>
      </c>
      <c r="N565" t="str">
        <f t="shared" si="20"/>
        <v>21073584830</v>
      </c>
      <c r="O565" t="s">
        <v>257</v>
      </c>
      <c r="P565" t="s">
        <v>258</v>
      </c>
      <c r="Q565">
        <f t="shared" si="21"/>
        <v>10</v>
      </c>
      <c r="R565">
        <f t="shared" si="19"/>
        <v>11</v>
      </c>
      <c r="S565" s="15" t="s">
        <v>492</v>
      </c>
    </row>
    <row r="566" spans="1:19" x14ac:dyDescent="0.25">
      <c r="A566" s="3">
        <v>564</v>
      </c>
      <c r="B566" s="11" t="s">
        <v>490</v>
      </c>
      <c r="C566" t="s">
        <v>372</v>
      </c>
      <c r="D566" t="s">
        <v>20</v>
      </c>
      <c r="E566"/>
      <c r="F566" s="9" t="s">
        <v>373</v>
      </c>
      <c r="G566" t="s">
        <v>374</v>
      </c>
      <c r="H566" t="s">
        <v>92</v>
      </c>
      <c r="I566" t="s">
        <v>26</v>
      </c>
      <c r="J566" t="s">
        <v>375</v>
      </c>
      <c r="K566" t="s">
        <v>255</v>
      </c>
      <c r="L566" t="s">
        <v>376</v>
      </c>
      <c r="M566" t="s">
        <v>24</v>
      </c>
      <c r="N566" t="str">
        <f t="shared" si="20"/>
        <v>13095438510</v>
      </c>
      <c r="O566" t="s">
        <v>257</v>
      </c>
      <c r="P566" t="s">
        <v>258</v>
      </c>
      <c r="Q566">
        <f t="shared" si="21"/>
        <v>10</v>
      </c>
      <c r="R566">
        <f t="shared" si="19"/>
        <v>11</v>
      </c>
      <c r="S566" s="15" t="s">
        <v>492</v>
      </c>
    </row>
    <row r="567" spans="1:19" x14ac:dyDescent="0.25">
      <c r="A567" s="2">
        <v>565</v>
      </c>
      <c r="B567" s="11" t="s">
        <v>490</v>
      </c>
      <c r="C567" t="s">
        <v>377</v>
      </c>
      <c r="D567" t="s">
        <v>20</v>
      </c>
      <c r="E567"/>
      <c r="F567" s="9" t="s">
        <v>378</v>
      </c>
      <c r="G567" t="s">
        <v>81</v>
      </c>
      <c r="H567" t="s">
        <v>52</v>
      </c>
      <c r="I567" t="s">
        <v>26</v>
      </c>
      <c r="J567" t="s">
        <v>379</v>
      </c>
      <c r="K567" t="s">
        <v>255</v>
      </c>
      <c r="L567" t="s">
        <v>26</v>
      </c>
      <c r="M567" t="s">
        <v>24</v>
      </c>
      <c r="N567" t="str">
        <f>IF(Q567&lt;11,CONCATENATE(L567,"0000000000"))</f>
        <v>10000000000</v>
      </c>
      <c r="O567" t="s">
        <v>257</v>
      </c>
      <c r="P567" t="s">
        <v>258</v>
      </c>
      <c r="Q567">
        <f t="shared" si="21"/>
        <v>1</v>
      </c>
      <c r="R567">
        <f t="shared" si="19"/>
        <v>11</v>
      </c>
      <c r="S567" s="15" t="s">
        <v>492</v>
      </c>
    </row>
    <row r="568" spans="1:19" x14ac:dyDescent="0.25">
      <c r="A568" s="3">
        <v>566</v>
      </c>
      <c r="B568" s="11" t="s">
        <v>490</v>
      </c>
      <c r="C568" t="s">
        <v>380</v>
      </c>
      <c r="D568" t="s">
        <v>20</v>
      </c>
      <c r="E568"/>
      <c r="F568" s="9" t="s">
        <v>381</v>
      </c>
      <c r="G568" t="s">
        <v>83</v>
      </c>
      <c r="H568" t="s">
        <v>67</v>
      </c>
      <c r="I568" t="s">
        <v>26</v>
      </c>
      <c r="J568" t="s">
        <v>382</v>
      </c>
      <c r="K568" t="s">
        <v>255</v>
      </c>
      <c r="L568" t="s">
        <v>383</v>
      </c>
      <c r="M568" t="s">
        <v>24</v>
      </c>
      <c r="N568" t="str">
        <f t="shared" si="20"/>
        <v>14819499380</v>
      </c>
      <c r="O568" t="s">
        <v>257</v>
      </c>
      <c r="P568" t="s">
        <v>258</v>
      </c>
      <c r="Q568">
        <f t="shared" si="21"/>
        <v>10</v>
      </c>
      <c r="R568">
        <f t="shared" si="19"/>
        <v>11</v>
      </c>
      <c r="S568" s="15" t="s">
        <v>492</v>
      </c>
    </row>
    <row r="569" spans="1:19" x14ac:dyDescent="0.25">
      <c r="A569" s="2">
        <v>567</v>
      </c>
      <c r="B569" s="11" t="s">
        <v>490</v>
      </c>
      <c r="C569" t="s">
        <v>384</v>
      </c>
      <c r="D569" t="s">
        <v>20</v>
      </c>
      <c r="E569"/>
      <c r="F569" s="9" t="s">
        <v>117</v>
      </c>
      <c r="G569" t="s">
        <v>83</v>
      </c>
      <c r="H569" t="s">
        <v>118</v>
      </c>
      <c r="I569" t="s">
        <v>26</v>
      </c>
      <c r="J569" t="s">
        <v>119</v>
      </c>
      <c r="K569" t="s">
        <v>255</v>
      </c>
      <c r="L569" t="s">
        <v>385</v>
      </c>
      <c r="M569" t="s">
        <v>24</v>
      </c>
      <c r="N569" t="str">
        <f t="shared" si="20"/>
        <v>16526820080</v>
      </c>
      <c r="O569" t="s">
        <v>257</v>
      </c>
      <c r="P569" t="s">
        <v>258</v>
      </c>
      <c r="Q569">
        <f t="shared" si="21"/>
        <v>10</v>
      </c>
      <c r="R569">
        <f t="shared" si="19"/>
        <v>11</v>
      </c>
      <c r="S569" s="15" t="s">
        <v>492</v>
      </c>
    </row>
    <row r="570" spans="1:19" x14ac:dyDescent="0.25">
      <c r="A570" s="3">
        <v>568</v>
      </c>
      <c r="B570" s="11" t="s">
        <v>490</v>
      </c>
      <c r="C570" t="s">
        <v>386</v>
      </c>
      <c r="D570" t="s">
        <v>20</v>
      </c>
      <c r="E570"/>
      <c r="F570" s="9" t="s">
        <v>387</v>
      </c>
      <c r="G570" t="s">
        <v>388</v>
      </c>
      <c r="H570" t="s">
        <v>41</v>
      </c>
      <c r="I570" t="s">
        <v>26</v>
      </c>
      <c r="J570" t="s">
        <v>389</v>
      </c>
      <c r="K570" t="s">
        <v>255</v>
      </c>
      <c r="L570" t="s">
        <v>390</v>
      </c>
      <c r="M570" t="s">
        <v>24</v>
      </c>
      <c r="N570" t="str">
        <f t="shared" si="20"/>
        <v>12727971180</v>
      </c>
      <c r="O570" t="s">
        <v>257</v>
      </c>
      <c r="P570" t="s">
        <v>258</v>
      </c>
      <c r="Q570">
        <f t="shared" si="21"/>
        <v>10</v>
      </c>
      <c r="R570">
        <f t="shared" si="19"/>
        <v>11</v>
      </c>
      <c r="S570" s="15" t="s">
        <v>492</v>
      </c>
    </row>
    <row r="571" spans="1:19" x14ac:dyDescent="0.25">
      <c r="A571" s="2">
        <v>569</v>
      </c>
      <c r="B571" s="11" t="s">
        <v>490</v>
      </c>
      <c r="C571" t="s">
        <v>391</v>
      </c>
      <c r="D571" t="s">
        <v>20</v>
      </c>
      <c r="E571"/>
      <c r="F571" s="9" t="s">
        <v>392</v>
      </c>
      <c r="G571" t="s">
        <v>393</v>
      </c>
      <c r="H571" t="s">
        <v>42</v>
      </c>
      <c r="I571" t="s">
        <v>26</v>
      </c>
      <c r="J571" t="s">
        <v>394</v>
      </c>
      <c r="K571" t="s">
        <v>255</v>
      </c>
      <c r="L571" t="s">
        <v>395</v>
      </c>
      <c r="M571" t="s">
        <v>24</v>
      </c>
      <c r="N571" t="str">
        <f t="shared" si="20"/>
        <v>21069252640</v>
      </c>
      <c r="O571" t="s">
        <v>257</v>
      </c>
      <c r="P571" t="s">
        <v>258</v>
      </c>
      <c r="Q571">
        <f t="shared" si="21"/>
        <v>10</v>
      </c>
      <c r="R571">
        <f t="shared" si="19"/>
        <v>11</v>
      </c>
      <c r="S571" s="15" t="s">
        <v>492</v>
      </c>
    </row>
    <row r="572" spans="1:19" x14ac:dyDescent="0.25">
      <c r="A572" s="3">
        <v>570</v>
      </c>
      <c r="B572" s="11" t="s">
        <v>490</v>
      </c>
      <c r="C572" t="s">
        <v>396</v>
      </c>
      <c r="D572" t="s">
        <v>20</v>
      </c>
      <c r="E572"/>
      <c r="F572" s="9">
        <v>49549154734</v>
      </c>
      <c r="G572" t="s">
        <v>120</v>
      </c>
      <c r="H572" t="s">
        <v>106</v>
      </c>
      <c r="I572" t="s">
        <v>26</v>
      </c>
      <c r="J572" t="s">
        <v>397</v>
      </c>
      <c r="K572" t="s">
        <v>255</v>
      </c>
      <c r="L572" t="s">
        <v>398</v>
      </c>
      <c r="M572" t="s">
        <v>24</v>
      </c>
      <c r="N572" t="str">
        <f t="shared" si="20"/>
        <v>17538405690</v>
      </c>
      <c r="O572" t="s">
        <v>257</v>
      </c>
      <c r="P572" t="s">
        <v>258</v>
      </c>
      <c r="Q572">
        <f t="shared" si="21"/>
        <v>10</v>
      </c>
      <c r="R572">
        <f t="shared" si="19"/>
        <v>11</v>
      </c>
      <c r="S572" s="15" t="s">
        <v>492</v>
      </c>
    </row>
    <row r="573" spans="1:19" x14ac:dyDescent="0.25">
      <c r="A573" s="2">
        <v>571</v>
      </c>
      <c r="B573" s="11" t="s">
        <v>490</v>
      </c>
      <c r="C573" t="s">
        <v>399</v>
      </c>
      <c r="D573" t="s">
        <v>20</v>
      </c>
      <c r="E573"/>
      <c r="F573" s="9" t="s">
        <v>400</v>
      </c>
      <c r="G573" t="s">
        <v>85</v>
      </c>
      <c r="H573" t="s">
        <v>122</v>
      </c>
      <c r="I573" t="s">
        <v>26</v>
      </c>
      <c r="J573" t="s">
        <v>401</v>
      </c>
      <c r="K573" t="s">
        <v>255</v>
      </c>
      <c r="L573" t="s">
        <v>402</v>
      </c>
      <c r="M573" t="s">
        <v>24</v>
      </c>
      <c r="N573" t="str">
        <f t="shared" si="20"/>
        <v>11111111110</v>
      </c>
      <c r="O573" t="s">
        <v>257</v>
      </c>
      <c r="P573" t="s">
        <v>258</v>
      </c>
      <c r="Q573">
        <f t="shared" si="21"/>
        <v>10</v>
      </c>
      <c r="R573">
        <f t="shared" si="19"/>
        <v>11</v>
      </c>
      <c r="S573" s="15" t="s">
        <v>492</v>
      </c>
    </row>
    <row r="574" spans="1:19" x14ac:dyDescent="0.25">
      <c r="A574" s="3">
        <v>572</v>
      </c>
      <c r="B574" s="11" t="s">
        <v>490</v>
      </c>
      <c r="C574" t="s">
        <v>403</v>
      </c>
      <c r="D574" t="s">
        <v>20</v>
      </c>
      <c r="E574"/>
      <c r="F574" s="9" t="s">
        <v>404</v>
      </c>
      <c r="G574" t="s">
        <v>405</v>
      </c>
      <c r="H574" t="s">
        <v>36</v>
      </c>
      <c r="I574" t="s">
        <v>26</v>
      </c>
      <c r="J574" t="s">
        <v>406</v>
      </c>
      <c r="K574" t="s">
        <v>255</v>
      </c>
      <c r="L574" t="s">
        <v>407</v>
      </c>
      <c r="M574" t="s">
        <v>24</v>
      </c>
      <c r="N574" t="str">
        <f t="shared" si="20"/>
        <v>12553062190</v>
      </c>
      <c r="O574" t="s">
        <v>257</v>
      </c>
      <c r="P574" t="s">
        <v>258</v>
      </c>
      <c r="Q574">
        <f t="shared" si="21"/>
        <v>10</v>
      </c>
      <c r="R574">
        <f t="shared" si="19"/>
        <v>11</v>
      </c>
      <c r="S574" s="15" t="s">
        <v>492</v>
      </c>
    </row>
    <row r="575" spans="1:19" x14ac:dyDescent="0.25">
      <c r="A575" s="2">
        <v>573</v>
      </c>
      <c r="B575" s="11" t="s">
        <v>490</v>
      </c>
      <c r="C575" t="s">
        <v>408</v>
      </c>
      <c r="D575" t="s">
        <v>20</v>
      </c>
      <c r="E575"/>
      <c r="F575" s="9" t="s">
        <v>409</v>
      </c>
      <c r="G575" t="s">
        <v>86</v>
      </c>
      <c r="H575" t="s">
        <v>64</v>
      </c>
      <c r="I575" t="s">
        <v>26</v>
      </c>
      <c r="J575" t="s">
        <v>410</v>
      </c>
      <c r="K575" t="s">
        <v>255</v>
      </c>
      <c r="L575" t="s">
        <v>411</v>
      </c>
      <c r="M575" t="s">
        <v>24</v>
      </c>
      <c r="N575" t="str">
        <f t="shared" si="20"/>
        <v>19043700660</v>
      </c>
      <c r="O575" t="s">
        <v>257</v>
      </c>
      <c r="P575" t="s">
        <v>258</v>
      </c>
      <c r="Q575">
        <f t="shared" si="21"/>
        <v>10</v>
      </c>
      <c r="R575">
        <f t="shared" si="19"/>
        <v>11</v>
      </c>
      <c r="S575" s="15" t="s">
        <v>495</v>
      </c>
    </row>
    <row r="576" spans="1:19" x14ac:dyDescent="0.25">
      <c r="A576" s="3">
        <v>574</v>
      </c>
      <c r="B576" s="11" t="s">
        <v>490</v>
      </c>
      <c r="C576" t="s">
        <v>412</v>
      </c>
      <c r="D576" t="s">
        <v>20</v>
      </c>
      <c r="E576"/>
      <c r="F576" s="9" t="s">
        <v>413</v>
      </c>
      <c r="G576" t="s">
        <v>414</v>
      </c>
      <c r="H576" t="s">
        <v>415</v>
      </c>
      <c r="I576" t="s">
        <v>26</v>
      </c>
      <c r="J576" t="s">
        <v>416</v>
      </c>
      <c r="K576" t="s">
        <v>255</v>
      </c>
      <c r="L576" t="s">
        <v>417</v>
      </c>
      <c r="M576" t="s">
        <v>24</v>
      </c>
      <c r="N576" t="str">
        <f t="shared" si="20"/>
        <v>20647022980</v>
      </c>
      <c r="O576" t="s">
        <v>257</v>
      </c>
      <c r="P576" t="s">
        <v>258</v>
      </c>
      <c r="Q576">
        <f t="shared" si="21"/>
        <v>10</v>
      </c>
      <c r="R576">
        <f t="shared" si="19"/>
        <v>11</v>
      </c>
      <c r="S576" s="15" t="s">
        <v>492</v>
      </c>
    </row>
    <row r="577" spans="1:19" x14ac:dyDescent="0.25">
      <c r="A577" s="2">
        <v>575</v>
      </c>
      <c r="B577" s="11" t="s">
        <v>490</v>
      </c>
      <c r="C577" t="s">
        <v>418</v>
      </c>
      <c r="D577" t="s">
        <v>20</v>
      </c>
      <c r="E577"/>
      <c r="F577" s="9" t="s">
        <v>419</v>
      </c>
      <c r="G577" t="s">
        <v>87</v>
      </c>
      <c r="H577" t="s">
        <v>71</v>
      </c>
      <c r="I577" t="s">
        <v>26</v>
      </c>
      <c r="J577" t="s">
        <v>420</v>
      </c>
      <c r="K577" t="s">
        <v>255</v>
      </c>
      <c r="L577" t="s">
        <v>421</v>
      </c>
      <c r="M577" t="s">
        <v>24</v>
      </c>
      <c r="N577" t="str">
        <f>IF(Q577&lt;11,CONCATENATE(L577,"00"))</f>
        <v>99999999900</v>
      </c>
      <c r="O577" t="s">
        <v>257</v>
      </c>
      <c r="P577" t="s">
        <v>258</v>
      </c>
      <c r="Q577">
        <f t="shared" si="21"/>
        <v>9</v>
      </c>
      <c r="R577">
        <f t="shared" si="19"/>
        <v>11</v>
      </c>
      <c r="S577" s="15" t="s">
        <v>492</v>
      </c>
    </row>
    <row r="578" spans="1:19" x14ac:dyDescent="0.25">
      <c r="A578" s="3">
        <v>576</v>
      </c>
      <c r="B578" s="11" t="s">
        <v>490</v>
      </c>
      <c r="C578" t="s">
        <v>422</v>
      </c>
      <c r="D578" t="s">
        <v>20</v>
      </c>
      <c r="E578"/>
      <c r="F578" s="9" t="s">
        <v>423</v>
      </c>
      <c r="G578" t="s">
        <v>424</v>
      </c>
      <c r="H578" t="s">
        <v>40</v>
      </c>
      <c r="I578" t="s">
        <v>26</v>
      </c>
      <c r="J578" t="s">
        <v>425</v>
      </c>
      <c r="K578" t="s">
        <v>255</v>
      </c>
      <c r="L578" t="s">
        <v>426</v>
      </c>
      <c r="M578" t="s">
        <v>24</v>
      </c>
      <c r="N578" t="str">
        <f t="shared" si="20"/>
        <v>16352455620</v>
      </c>
      <c r="O578" t="s">
        <v>257</v>
      </c>
      <c r="P578" t="s">
        <v>258</v>
      </c>
      <c r="Q578">
        <f t="shared" si="21"/>
        <v>10</v>
      </c>
      <c r="R578">
        <f t="shared" si="19"/>
        <v>11</v>
      </c>
      <c r="S578" s="15" t="s">
        <v>492</v>
      </c>
    </row>
    <row r="579" spans="1:19" x14ac:dyDescent="0.25">
      <c r="A579" s="2">
        <v>577</v>
      </c>
      <c r="B579" s="11" t="s">
        <v>490</v>
      </c>
      <c r="C579" t="s">
        <v>427</v>
      </c>
      <c r="D579" t="s">
        <v>20</v>
      </c>
      <c r="E579"/>
      <c r="F579" s="9" t="s">
        <v>90</v>
      </c>
      <c r="G579" t="s">
        <v>91</v>
      </c>
      <c r="H579" t="s">
        <v>92</v>
      </c>
      <c r="I579" t="s">
        <v>26</v>
      </c>
      <c r="J579" t="s">
        <v>93</v>
      </c>
      <c r="K579" t="s">
        <v>255</v>
      </c>
      <c r="L579" t="s">
        <v>428</v>
      </c>
      <c r="M579" t="s">
        <v>24</v>
      </c>
      <c r="N579" t="str">
        <f t="shared" si="20"/>
        <v>12379557730</v>
      </c>
      <c r="O579" t="s">
        <v>257</v>
      </c>
      <c r="P579" t="s">
        <v>258</v>
      </c>
      <c r="Q579">
        <f t="shared" si="21"/>
        <v>10</v>
      </c>
      <c r="R579">
        <f t="shared" ref="R579:R592" si="22">LEN(N579)</f>
        <v>11</v>
      </c>
      <c r="S579" s="15" t="s">
        <v>492</v>
      </c>
    </row>
    <row r="580" spans="1:19" x14ac:dyDescent="0.25">
      <c r="A580" s="3">
        <v>578</v>
      </c>
      <c r="B580" s="11" t="s">
        <v>490</v>
      </c>
      <c r="C580" t="s">
        <v>429</v>
      </c>
      <c r="D580" t="s">
        <v>20</v>
      </c>
      <c r="E580"/>
      <c r="F580" s="9" t="s">
        <v>430</v>
      </c>
      <c r="G580" t="s">
        <v>431</v>
      </c>
      <c r="H580" t="s">
        <v>29</v>
      </c>
      <c r="I580" t="s">
        <v>26</v>
      </c>
      <c r="J580" t="s">
        <v>432</v>
      </c>
      <c r="K580" t="s">
        <v>255</v>
      </c>
      <c r="L580" t="s">
        <v>433</v>
      </c>
      <c r="M580" t="s">
        <v>24</v>
      </c>
      <c r="N580" t="str">
        <f>IF(Q580&lt;11,CONCATENATE(L580,"00"))</f>
        <v>33211995600</v>
      </c>
      <c r="O580" t="s">
        <v>257</v>
      </c>
      <c r="P580" t="s">
        <v>258</v>
      </c>
      <c r="Q580">
        <f t="shared" si="21"/>
        <v>9</v>
      </c>
      <c r="R580">
        <f t="shared" si="22"/>
        <v>11</v>
      </c>
      <c r="S580" s="15" t="s">
        <v>492</v>
      </c>
    </row>
    <row r="581" spans="1:19" x14ac:dyDescent="0.25">
      <c r="A581" s="2">
        <v>579</v>
      </c>
      <c r="B581" s="11" t="s">
        <v>490</v>
      </c>
      <c r="C581" t="s">
        <v>434</v>
      </c>
      <c r="D581" t="s">
        <v>20</v>
      </c>
      <c r="E581"/>
      <c r="F581" s="9" t="s">
        <v>435</v>
      </c>
      <c r="G581" t="s">
        <v>436</v>
      </c>
      <c r="H581" t="s">
        <v>32</v>
      </c>
      <c r="I581" t="s">
        <v>26</v>
      </c>
      <c r="J581" t="s">
        <v>437</v>
      </c>
      <c r="K581" t="s">
        <v>255</v>
      </c>
      <c r="L581" t="s">
        <v>438</v>
      </c>
      <c r="M581" t="s">
        <v>24</v>
      </c>
      <c r="N581" t="str">
        <f t="shared" si="20"/>
        <v>12484903450</v>
      </c>
      <c r="O581" t="s">
        <v>257</v>
      </c>
      <c r="P581" t="s">
        <v>258</v>
      </c>
      <c r="Q581">
        <f t="shared" si="21"/>
        <v>10</v>
      </c>
      <c r="R581">
        <f t="shared" si="22"/>
        <v>11</v>
      </c>
      <c r="S581" s="15" t="s">
        <v>495</v>
      </c>
    </row>
    <row r="582" spans="1:19" x14ac:dyDescent="0.25">
      <c r="A582" s="3">
        <v>580</v>
      </c>
      <c r="B582" s="11" t="s">
        <v>490</v>
      </c>
      <c r="C582" t="s">
        <v>439</v>
      </c>
      <c r="D582" t="s">
        <v>20</v>
      </c>
      <c r="E582"/>
      <c r="F582" s="9" t="s">
        <v>440</v>
      </c>
      <c r="G582" t="s">
        <v>441</v>
      </c>
      <c r="H582" t="s">
        <v>122</v>
      </c>
      <c r="I582" t="s">
        <v>26</v>
      </c>
      <c r="J582" t="s">
        <v>442</v>
      </c>
      <c r="K582" t="s">
        <v>255</v>
      </c>
      <c r="L582" t="s">
        <v>122</v>
      </c>
      <c r="M582" t="s">
        <v>24</v>
      </c>
      <c r="N582" t="str">
        <f>IF(Q582&lt;11,CONCATENATE(L582,"000000000"))</f>
        <v>10000000000</v>
      </c>
      <c r="O582" t="s">
        <v>257</v>
      </c>
      <c r="P582" t="s">
        <v>258</v>
      </c>
      <c r="Q582">
        <f t="shared" si="21"/>
        <v>2</v>
      </c>
      <c r="R582">
        <f t="shared" si="22"/>
        <v>11</v>
      </c>
      <c r="S582" s="15" t="s">
        <v>492</v>
      </c>
    </row>
    <row r="583" spans="1:19" x14ac:dyDescent="0.25">
      <c r="A583" s="2">
        <v>581</v>
      </c>
      <c r="B583" s="11" t="s">
        <v>490</v>
      </c>
      <c r="C583" t="s">
        <v>443</v>
      </c>
      <c r="D583" t="s">
        <v>20</v>
      </c>
      <c r="E583"/>
      <c r="F583" s="9" t="s">
        <v>444</v>
      </c>
      <c r="G583" t="s">
        <v>445</v>
      </c>
      <c r="H583" t="s">
        <v>446</v>
      </c>
      <c r="I583" t="s">
        <v>26</v>
      </c>
      <c r="J583" t="s">
        <v>447</v>
      </c>
      <c r="K583" t="s">
        <v>255</v>
      </c>
      <c r="L583" t="s">
        <v>448</v>
      </c>
      <c r="M583" t="s">
        <v>24</v>
      </c>
      <c r="N583" t="str">
        <f t="shared" si="20"/>
        <v>12581351780</v>
      </c>
      <c r="O583" t="s">
        <v>257</v>
      </c>
      <c r="P583" t="s">
        <v>258</v>
      </c>
      <c r="Q583">
        <f t="shared" si="21"/>
        <v>10</v>
      </c>
      <c r="R583">
        <f t="shared" si="22"/>
        <v>11</v>
      </c>
      <c r="S583" s="15" t="s">
        <v>492</v>
      </c>
    </row>
    <row r="584" spans="1:19" x14ac:dyDescent="0.25">
      <c r="A584" s="3">
        <v>582</v>
      </c>
      <c r="B584" s="11" t="s">
        <v>490</v>
      </c>
      <c r="C584" t="s">
        <v>449</v>
      </c>
      <c r="D584" t="s">
        <v>20</v>
      </c>
      <c r="E584"/>
      <c r="F584" s="9" t="s">
        <v>450</v>
      </c>
      <c r="G584" t="s">
        <v>445</v>
      </c>
      <c r="H584" t="s">
        <v>451</v>
      </c>
      <c r="I584" t="s">
        <v>26</v>
      </c>
      <c r="J584" t="s">
        <v>452</v>
      </c>
      <c r="K584" t="s">
        <v>255</v>
      </c>
      <c r="L584" t="s">
        <v>453</v>
      </c>
      <c r="M584" t="s">
        <v>24</v>
      </c>
      <c r="N584" t="str">
        <f>IF(Q584&lt;11,CONCATENATE(L584,"00"))</f>
        <v>11111111000</v>
      </c>
      <c r="O584" t="s">
        <v>257</v>
      </c>
      <c r="P584" t="s">
        <v>258</v>
      </c>
      <c r="Q584">
        <f t="shared" si="21"/>
        <v>9</v>
      </c>
      <c r="R584">
        <f t="shared" si="22"/>
        <v>11</v>
      </c>
      <c r="S584" s="15" t="s">
        <v>492</v>
      </c>
    </row>
    <row r="585" spans="1:19" x14ac:dyDescent="0.25">
      <c r="A585" s="2">
        <v>583</v>
      </c>
      <c r="B585" s="11" t="s">
        <v>490</v>
      </c>
      <c r="C585" t="s">
        <v>454</v>
      </c>
      <c r="D585" t="s">
        <v>20</v>
      </c>
      <c r="E585"/>
      <c r="F585" s="9" t="s">
        <v>455</v>
      </c>
      <c r="G585" t="s">
        <v>445</v>
      </c>
      <c r="H585" t="s">
        <v>50</v>
      </c>
      <c r="I585" t="s">
        <v>28</v>
      </c>
      <c r="J585" t="s">
        <v>456</v>
      </c>
      <c r="K585" t="s">
        <v>255</v>
      </c>
      <c r="L585" t="s">
        <v>457</v>
      </c>
      <c r="M585" t="s">
        <v>24</v>
      </c>
      <c r="N585" t="str">
        <f>IF(Q585&lt;11,CONCATENATE(L585,"00"))</f>
        <v>11111111100</v>
      </c>
      <c r="O585" t="s">
        <v>257</v>
      </c>
      <c r="P585" t="s">
        <v>258</v>
      </c>
      <c r="Q585">
        <f t="shared" si="21"/>
        <v>9</v>
      </c>
      <c r="R585">
        <f t="shared" si="22"/>
        <v>11</v>
      </c>
      <c r="S585" s="15" t="s">
        <v>492</v>
      </c>
    </row>
    <row r="586" spans="1:19" x14ac:dyDescent="0.25">
      <c r="A586" s="3">
        <v>584</v>
      </c>
      <c r="B586" s="11" t="s">
        <v>490</v>
      </c>
      <c r="C586" t="s">
        <v>458</v>
      </c>
      <c r="D586" t="s">
        <v>20</v>
      </c>
      <c r="E586"/>
      <c r="F586" s="9" t="s">
        <v>459</v>
      </c>
      <c r="G586" t="s">
        <v>445</v>
      </c>
      <c r="H586" t="s">
        <v>50</v>
      </c>
      <c r="I586" t="s">
        <v>22</v>
      </c>
      <c r="J586" t="s">
        <v>460</v>
      </c>
      <c r="K586" t="s">
        <v>255</v>
      </c>
      <c r="L586" t="s">
        <v>461</v>
      </c>
      <c r="M586" t="s">
        <v>24</v>
      </c>
      <c r="N586" t="str">
        <f>IF(Q586&lt;11,CONCATENATE(L586,"000"))</f>
        <v>11111111000</v>
      </c>
      <c r="O586" t="s">
        <v>257</v>
      </c>
      <c r="P586" t="s">
        <v>258</v>
      </c>
      <c r="Q586">
        <f t="shared" si="21"/>
        <v>8</v>
      </c>
      <c r="R586">
        <f t="shared" si="22"/>
        <v>11</v>
      </c>
      <c r="S586" s="15" t="s">
        <v>492</v>
      </c>
    </row>
    <row r="587" spans="1:19" x14ac:dyDescent="0.25">
      <c r="A587" s="2">
        <v>585</v>
      </c>
      <c r="B587" s="11" t="s">
        <v>490</v>
      </c>
      <c r="C587" t="s">
        <v>462</v>
      </c>
      <c r="D587" t="s">
        <v>20</v>
      </c>
      <c r="E587"/>
      <c r="F587" s="9" t="s">
        <v>463</v>
      </c>
      <c r="G587" t="s">
        <v>445</v>
      </c>
      <c r="H587" t="s">
        <v>32</v>
      </c>
      <c r="I587" t="s">
        <v>27</v>
      </c>
      <c r="J587" t="s">
        <v>464</v>
      </c>
      <c r="K587" t="s">
        <v>255</v>
      </c>
      <c r="L587" t="s">
        <v>465</v>
      </c>
      <c r="M587" t="s">
        <v>24</v>
      </c>
      <c r="N587" t="str">
        <f>IF(Q587&lt;11,CONCATENATE(L587,"0000"))</f>
        <v>11111110000</v>
      </c>
      <c r="O587" t="s">
        <v>257</v>
      </c>
      <c r="P587" t="s">
        <v>258</v>
      </c>
      <c r="Q587">
        <f t="shared" si="21"/>
        <v>7</v>
      </c>
      <c r="R587">
        <f t="shared" si="22"/>
        <v>11</v>
      </c>
      <c r="S587" s="15" t="s">
        <v>492</v>
      </c>
    </row>
    <row r="588" spans="1:19" x14ac:dyDescent="0.25">
      <c r="A588" s="3">
        <v>586</v>
      </c>
      <c r="B588" s="11" t="s">
        <v>490</v>
      </c>
      <c r="C588" t="s">
        <v>466</v>
      </c>
      <c r="D588" t="s">
        <v>20</v>
      </c>
      <c r="E588"/>
      <c r="F588" s="9" t="s">
        <v>467</v>
      </c>
      <c r="G588" t="s">
        <v>468</v>
      </c>
      <c r="H588" t="s">
        <v>35</v>
      </c>
      <c r="I588" t="s">
        <v>41</v>
      </c>
      <c r="J588" t="s">
        <v>469</v>
      </c>
      <c r="K588" t="s">
        <v>255</v>
      </c>
      <c r="L588" t="s">
        <v>470</v>
      </c>
      <c r="M588" t="s">
        <v>24</v>
      </c>
      <c r="N588" t="str">
        <f>IF(Q588&lt;11,CONCATENATE(L588,"0000000"))</f>
        <v>11000000000</v>
      </c>
      <c r="O588" t="s">
        <v>257</v>
      </c>
      <c r="P588" t="s">
        <v>258</v>
      </c>
      <c r="Q588">
        <f t="shared" si="21"/>
        <v>4</v>
      </c>
      <c r="R588">
        <f t="shared" si="22"/>
        <v>11</v>
      </c>
      <c r="S588" s="15" t="s">
        <v>493</v>
      </c>
    </row>
    <row r="589" spans="1:19" x14ac:dyDescent="0.25">
      <c r="A589" s="2">
        <v>587</v>
      </c>
      <c r="B589" s="11" t="s">
        <v>490</v>
      </c>
      <c r="C589" t="s">
        <v>471</v>
      </c>
      <c r="D589" t="s">
        <v>20</v>
      </c>
      <c r="E589"/>
      <c r="F589" s="9" t="s">
        <v>472</v>
      </c>
      <c r="G589" t="s">
        <v>57</v>
      </c>
      <c r="H589" t="s">
        <v>473</v>
      </c>
      <c r="I589" t="s">
        <v>26</v>
      </c>
      <c r="J589" t="s">
        <v>474</v>
      </c>
      <c r="K589" t="s">
        <v>255</v>
      </c>
      <c r="L589" t="s">
        <v>475</v>
      </c>
      <c r="M589" t="s">
        <v>24</v>
      </c>
      <c r="N589" t="str">
        <f t="shared" si="20"/>
        <v>12718130260</v>
      </c>
      <c r="O589" t="s">
        <v>257</v>
      </c>
      <c r="P589" t="s">
        <v>258</v>
      </c>
      <c r="Q589">
        <f t="shared" si="21"/>
        <v>10</v>
      </c>
      <c r="R589">
        <f t="shared" si="22"/>
        <v>11</v>
      </c>
      <c r="S589" s="15" t="s">
        <v>492</v>
      </c>
    </row>
    <row r="590" spans="1:19" x14ac:dyDescent="0.25">
      <c r="A590" s="3">
        <v>588</v>
      </c>
      <c r="B590" s="11" t="s">
        <v>490</v>
      </c>
      <c r="C590" t="s">
        <v>476</v>
      </c>
      <c r="D590" t="s">
        <v>20</v>
      </c>
      <c r="E590"/>
      <c r="F590" s="9" t="s">
        <v>477</v>
      </c>
      <c r="G590" t="s">
        <v>44</v>
      </c>
      <c r="H590" t="s">
        <v>478</v>
      </c>
      <c r="I590" t="s">
        <v>26</v>
      </c>
      <c r="J590" t="s">
        <v>479</v>
      </c>
      <c r="K590" t="s">
        <v>255</v>
      </c>
      <c r="L590" t="s">
        <v>480</v>
      </c>
      <c r="M590" t="s">
        <v>24</v>
      </c>
      <c r="N590" t="str">
        <f t="shared" si="20"/>
        <v>20786549910</v>
      </c>
      <c r="O590" t="s">
        <v>257</v>
      </c>
      <c r="P590" t="s">
        <v>258</v>
      </c>
      <c r="Q590">
        <f t="shared" si="21"/>
        <v>10</v>
      </c>
      <c r="R590">
        <f t="shared" si="22"/>
        <v>11</v>
      </c>
      <c r="S590" s="15" t="s">
        <v>492</v>
      </c>
    </row>
    <row r="591" spans="1:19" x14ac:dyDescent="0.25">
      <c r="A591" s="2">
        <v>589</v>
      </c>
      <c r="B591" s="11" t="s">
        <v>490</v>
      </c>
      <c r="C591" t="s">
        <v>481</v>
      </c>
      <c r="D591" t="s">
        <v>20</v>
      </c>
      <c r="E591"/>
      <c r="F591" s="9" t="s">
        <v>482</v>
      </c>
      <c r="G591" t="s">
        <v>57</v>
      </c>
      <c r="H591" t="s">
        <v>483</v>
      </c>
      <c r="I591" t="s">
        <v>26</v>
      </c>
      <c r="J591" t="s">
        <v>484</v>
      </c>
      <c r="K591" t="s">
        <v>255</v>
      </c>
      <c r="L591" t="s">
        <v>485</v>
      </c>
      <c r="M591" t="s">
        <v>24</v>
      </c>
      <c r="N591" t="str">
        <f>IF(Q591&lt;11,CONCATENATE(L591,"0000000"))</f>
        <v>10000000000</v>
      </c>
      <c r="O591" t="s">
        <v>257</v>
      </c>
      <c r="P591" t="s">
        <v>258</v>
      </c>
      <c r="Q591">
        <f t="shared" si="21"/>
        <v>4</v>
      </c>
      <c r="R591">
        <f t="shared" si="22"/>
        <v>11</v>
      </c>
      <c r="S591" s="15" t="s">
        <v>492</v>
      </c>
    </row>
    <row r="592" spans="1:19" x14ac:dyDescent="0.25">
      <c r="A592" s="3">
        <v>590</v>
      </c>
      <c r="B592" s="11" t="s">
        <v>490</v>
      </c>
      <c r="C592" t="s">
        <v>486</v>
      </c>
      <c r="D592" t="s">
        <v>20</v>
      </c>
      <c r="E592"/>
      <c r="F592" s="9" t="s">
        <v>487</v>
      </c>
      <c r="G592" t="s">
        <v>54</v>
      </c>
      <c r="H592" t="s">
        <v>51</v>
      </c>
      <c r="I592" t="s">
        <v>26</v>
      </c>
      <c r="J592" t="s">
        <v>488</v>
      </c>
      <c r="K592" t="s">
        <v>255</v>
      </c>
      <c r="L592" t="s">
        <v>489</v>
      </c>
      <c r="M592" t="s">
        <v>24</v>
      </c>
      <c r="N592" t="str">
        <f t="shared" si="20"/>
        <v>99999999990</v>
      </c>
      <c r="O592" t="s">
        <v>257</v>
      </c>
      <c r="P592" t="s">
        <v>258</v>
      </c>
      <c r="Q592">
        <f t="shared" si="21"/>
        <v>10</v>
      </c>
      <c r="R592">
        <f t="shared" si="22"/>
        <v>11</v>
      </c>
      <c r="S592" s="15" t="s">
        <v>492</v>
      </c>
    </row>
  </sheetData>
  <autoFilter ref="A1:S592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CriticasSIB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ALZ ServiceQA</cp:lastModifiedBy>
  <dcterms:created xsi:type="dcterms:W3CDTF">2019-12-05T21:38:04Z</dcterms:created>
  <dcterms:modified xsi:type="dcterms:W3CDTF">2020-04-09T21:18:15Z</dcterms:modified>
</cp:coreProperties>
</file>