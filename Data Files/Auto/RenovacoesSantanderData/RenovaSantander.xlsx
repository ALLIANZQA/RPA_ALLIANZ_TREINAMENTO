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C:\Users\Public\RPA_ALLIANZ\Data Files\Auto\RenovacoesSantanderData\"/>
    </mc:Choice>
  </mc:AlternateContent>
  <xr:revisionPtr revIDLastSave="0" documentId="13_ncr:1_{805E6A94-DC1E-40EF-81A0-B92DDD64461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novaSantander" sheetId="1" r:id="rId1"/>
    <sheet name="Cronograma" sheetId="2" r:id="rId2"/>
  </sheets>
  <definedNames>
    <definedName name="_xlnm._FilterDatabase" localSheetId="0" hidden="1">RenovaSantander!$A$1:$Z$2</definedName>
    <definedName name="_xlnm.Print_Area" localSheetId="1">Cronograma!$E$1:$G$31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" i="2" l="1"/>
  <c r="B33" i="2"/>
  <c r="B32" i="2"/>
  <c r="B29" i="2"/>
  <c r="B28" i="2"/>
  <c r="B21" i="2"/>
  <c r="B20" i="2"/>
  <c r="B19" i="2"/>
  <c r="B18" i="2"/>
  <c r="F34" i="2"/>
  <c r="F33" i="2"/>
  <c r="F32" i="2"/>
  <c r="F31" i="2"/>
  <c r="F28" i="2"/>
  <c r="F27" i="2"/>
  <c r="F26" i="2"/>
  <c r="F25" i="2"/>
  <c r="F24" i="2"/>
  <c r="F21" i="2"/>
  <c r="F20" i="2"/>
  <c r="F19" i="2"/>
  <c r="F18" i="2"/>
  <c r="F17" i="2"/>
  <c r="F14" i="2"/>
  <c r="F13" i="2"/>
  <c r="F7" i="2"/>
  <c r="F6" i="2"/>
  <c r="F5" i="2"/>
  <c r="F4" i="2"/>
</calcChain>
</file>

<file path=xl/sharedStrings.xml><?xml version="1.0" encoding="utf-8"?>
<sst xmlns="http://schemas.openxmlformats.org/spreadsheetml/2006/main" count="140" uniqueCount="56">
  <si>
    <t>APOLICE ANTERIOR</t>
  </si>
  <si>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</si>
  <si>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</si>
  <si>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</si>
  <si>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</si>
  <si>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</si>
  <si>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</si>
  <si>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</si>
  <si>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</si>
  <si>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</si>
  <si>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</si>
  <si>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</si>
  <si>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</si>
  <si>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</si>
  <si>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</si>
  <si>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</si>
  <si>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</si>
  <si>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</si>
  <si>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</si>
  <si>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</si>
  <si>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</si>
  <si>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</si>
  <si>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</si>
  <si>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</si>
  <si>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</si>
  <si>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</si>
  <si>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</si>
  <si>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</si>
  <si>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Envio da carta de aviso de apólice a renovar (-30d)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</si>
  <si>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</si>
  <si>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</si>
  <si>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</si>
  <si>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</si>
  <si>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</si>
  <si>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</si>
  <si>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</si>
  <si>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</si>
  <si>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2007</t>
  </si>
  <si>
    <t>2006</t>
  </si>
  <si>
    <t>Básico</t>
  </si>
  <si>
    <t>N</t>
  </si>
  <si>
    <t>FOPA + CLIENTE PF</t>
  </si>
  <si>
    <t>FOPA + SEG. VAN GOGH</t>
  </si>
  <si>
    <t>5177202251310519360</t>
  </si>
  <si>
    <t>001864411791</t>
  </si>
  <si>
    <t>x</t>
  </si>
  <si>
    <t/>
  </si>
  <si>
    <t xml:space="preserve"> </t>
  </si>
  <si>
    <t>1.039,41</t>
  </si>
  <si>
    <t>1311.5</t>
  </si>
  <si>
    <t>122988006 / 0 / 0</t>
  </si>
  <si>
    <t>5177-2023-51-31-0356211/000000</t>
  </si>
  <si>
    <t>EMISSÃO REALIZADA : 1212-MOTO [791794900]</t>
  </si>
  <si>
    <t>denilson.inmetricsext@allpronet.com.br, andre.antunes@allianz.com.br</t>
  </si>
  <si>
    <t>TESTE 1 - NILO GOMES DE ALMEIDA</t>
  </si>
  <si>
    <t>TESTE 2 - NILO GOMES DE ALMEIDA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</si>
</sst>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14" fontId="3" fillId="5" borderId="9" xfId="0" applyNumberFormat="1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14" fontId="5" fillId="5" borderId="9" xfId="0" applyNumberFormat="1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49" fontId="0" fillId="7" borderId="0" xfId="0" applyNumberFormat="1" applyFill="1"/>
    <xf numFmtId="0" fontId="6" fillId="0" borderId="0" xfId="1" applyFill="1"/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denilson.inmetricsext@allpronet.com.br" TargetMode="External"/><Relationship Id="rId1" Type="http://schemas.openxmlformats.org/officeDocument/2006/relationships/hyperlink" Target="mailto:denilson.inmetricsext@allpronet.com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Z3"/>
  <sheetViews>
    <sheetView tabSelected="1" topLeftCell="X1" zoomScaleNormal="100" workbookViewId="0">
      <pane ySplit="1" topLeftCell="A2" activePane="bottomLeft" state="frozen"/>
      <selection activeCell="E18" sqref="E18"/>
      <selection pane="bottomLeft" activeCell="AD4" sqref="AD4"/>
    </sheetView>
  </sheetViews>
  <sheetFormatPr defaultRowHeight="15" x14ac:dyDescent="0.25"/>
  <cols>
    <col min="1" max="1" width="22.85546875" bestFit="1" customWidth="1" collapsed="1"/>
    <col min="2" max="2" width="15" customWidth="1" collapsed="1"/>
    <col min="3" max="3" width="14.85546875" customWidth="1" collapsed="1"/>
    <col min="4" max="4" width="16.140625" customWidth="1" collapsed="1"/>
    <col min="5" max="5" width="24.85546875" customWidth="1" collapsed="1"/>
    <col min="6" max="6" width="37.5703125" customWidth="1" collapsed="1"/>
    <col min="7" max="7" width="53.85546875" customWidth="1" collapsed="1"/>
    <col min="8" max="8" width="34.42578125" customWidth="1" collapsed="1"/>
    <col min="9" max="9" width="53.85546875" customWidth="1" collapsed="1"/>
    <col min="10" max="10" width="14.42578125" customWidth="1" collapsed="1"/>
    <col min="11" max="11" width="22.140625" bestFit="1" customWidth="1" collapsed="1"/>
    <col min="12" max="12" width="51" bestFit="1" customWidth="1" collapsed="1"/>
    <col min="13" max="13" width="47.85546875" bestFit="1" customWidth="1" collapsed="1"/>
    <col min="14" max="14" width="23.140625" bestFit="1" customWidth="1" collapsed="1"/>
    <col min="15" max="15" width="24.85546875" bestFit="1" customWidth="1" collapsed="1"/>
    <col min="16" max="16" width="23.140625" bestFit="1" customWidth="1" collapsed="1"/>
    <col min="17" max="17" width="24.85546875" bestFit="1" customWidth="1" collapsed="1"/>
    <col min="18" max="18" width="20.140625" bestFit="1" customWidth="1" collapsed="1"/>
    <col min="19" max="19" width="22" bestFit="1" customWidth="1" collapsed="1"/>
    <col min="20" max="20" width="12.5703125" bestFit="1" customWidth="1" collapsed="1"/>
    <col min="21" max="21" width="34.5703125" bestFit="1" customWidth="1" collapsed="1"/>
    <col min="22" max="22" width="25.140625" bestFit="1" customWidth="1" collapsed="1"/>
    <col min="23" max="23" width="15.42578125" bestFit="1" customWidth="1" collapsed="1"/>
    <col min="24" max="24" width="29.5703125" bestFit="1" customWidth="1" collapsed="1"/>
    <col min="25" max="25" width="61.140625" bestFit="1" customWidth="1" collapsed="1"/>
    <col min="26" max="26" width="48.85546875" bestFit="1" customWidth="1" collapsed="1"/>
  </cols>
  <sheetData>
    <row r="1" spans="1:26" x14ac:dyDescent="0.25">
      <c r="A1" s="1" t="s">
        <v>0</v>
      </c>
      <c r="B1" s="1" t="s">
        <v>1</v>
      </c>
      <c r="C1" s="10" t="s">
        <v>2</v>
      </c>
      <c r="D1" s="1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31</v>
      </c>
      <c r="L1" s="1" t="s">
        <v>10</v>
      </c>
      <c r="M1" s="1" t="s">
        <v>11</v>
      </c>
      <c r="N1" s="12" t="s">
        <v>12</v>
      </c>
      <c r="O1" s="13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4" t="s">
        <v>18</v>
      </c>
      <c r="U1" s="4" t="s">
        <v>29</v>
      </c>
      <c r="V1" s="4" t="s">
        <v>30</v>
      </c>
      <c r="W1" s="4" t="s">
        <v>19</v>
      </c>
      <c r="X1" s="4" t="s">
        <v>20</v>
      </c>
      <c r="Y1" s="4" t="s">
        <v>21</v>
      </c>
      <c r="Z1" s="4" t="s">
        <v>22</v>
      </c>
    </row>
    <row r="2" spans="1:26" s="17" customFormat="1" x14ac:dyDescent="0.25">
      <c r="A2" s="16" t="s">
        <v>43</v>
      </c>
      <c r="B2" s="16">
        <v>20230317</v>
      </c>
      <c r="C2" s="16" t="s">
        <v>45</v>
      </c>
      <c r="D2" s="16"/>
      <c r="E2" s="16" t="s">
        <v>44</v>
      </c>
      <c r="F2" s="16" t="s">
        <v>37</v>
      </c>
      <c r="G2" s="17" t="s">
        <v>42</v>
      </c>
      <c r="H2" s="16" t="s">
        <v>38</v>
      </c>
      <c r="I2" s="17" t="s">
        <v>41</v>
      </c>
      <c r="J2" s="16">
        <v>10</v>
      </c>
      <c r="K2" s="16" t="s">
        <v>39</v>
      </c>
      <c r="L2" s="17" t="s">
        <v>54</v>
      </c>
      <c r="M2" s="19" t="s">
        <v>53</v>
      </c>
      <c r="N2" s="16" t="s">
        <v>46</v>
      </c>
      <c r="O2" s="16" t="s">
        <v>45</v>
      </c>
      <c r="P2" s="16" t="s">
        <v>45</v>
      </c>
      <c r="Q2" s="16"/>
      <c r="R2" s="16" t="s">
        <v>40</v>
      </c>
      <c r="S2" s="16"/>
      <c r="T2" s="18" t="s">
        <v>39</v>
      </c>
      <c r="U2" s="18" t="s">
        <v>48</v>
      </c>
      <c r="V2" s="18" t="s">
        <v>49</v>
      </c>
      <c r="W2" s="18" t="s">
        <v>50</v>
      </c>
      <c r="X2" s="18" t="s">
        <v>51</v>
      </c>
      <c r="Y2" s="18" t="s">
        <v>47</v>
      </c>
      <c r="Z2" s="18" t="s">
        <v>52</v>
      </c>
    </row>
    <row r="3" spans="1:26" s="17" customFormat="1" x14ac:dyDescent="0.25">
      <c r="A3" s="16" t="s">
        <v>43</v>
      </c>
      <c r="B3" s="16">
        <v>20230317</v>
      </c>
      <c r="C3" s="16" t="s">
        <v>45</v>
      </c>
      <c r="D3" s="16"/>
      <c r="E3" s="16" t="s">
        <v>44</v>
      </c>
      <c r="F3" s="16" t="s">
        <v>37</v>
      </c>
      <c r="G3" s="17" t="s">
        <v>42</v>
      </c>
      <c r="H3" s="16" t="s">
        <v>38</v>
      </c>
      <c r="I3" s="17" t="s">
        <v>41</v>
      </c>
      <c r="J3" s="16">
        <v>10</v>
      </c>
      <c r="K3" s="16" t="s">
        <v>39</v>
      </c>
      <c r="L3" s="17" t="s">
        <v>55</v>
      </c>
      <c r="M3" s="19" t="s">
        <v>53</v>
      </c>
      <c r="N3" s="16" t="s">
        <v>46</v>
      </c>
      <c r="O3" s="16" t="s">
        <v>45</v>
      </c>
      <c r="P3" s="16" t="s">
        <v>45</v>
      </c>
      <c r="Q3" s="16"/>
      <c r="R3" s="16" t="s">
        <v>40</v>
      </c>
      <c r="S3" s="16"/>
      <c r="T3" s="18" t="s">
        <v>39</v>
      </c>
      <c r="U3" s="18" t="s">
        <v>48</v>
      </c>
      <c r="V3" s="18" t="s">
        <v>49</v>
      </c>
      <c r="W3" s="18" t="s">
        <v>50</v>
      </c>
      <c r="X3" s="18" t="s">
        <v>51</v>
      </c>
      <c r="Y3" s="18" t="s">
        <v>47</v>
      </c>
      <c r="Z3" s="18" t="s">
        <v>52</v>
      </c>
    </row>
  </sheetData>
  <autoFilter ref="A1:Z2" xr:uid="{00000000-0009-0000-0000-000000000000}"/>
  <hyperlinks>
    <hyperlink ref="M2" r:id="rId1" display="denilson.inmetricsext@allpronet.com.br" xr:uid="{8863891D-FE57-45AC-8555-B3D97994D0CF}"/>
    <hyperlink ref="M3" r:id="rId2" display="denilson.inmetricsext@allpronet.com.br" xr:uid="{A706B499-B6DC-476F-A2BF-BB90E463104C}"/>
  </hyperlinks>
  <pageMargins left="0.511811024" right="0.511811024" top="0.78740157499999996" bottom="0.78740157499999996" header="0.31496062000000002" footer="0.31496062000000002"/>
  <pageSetup paperSize="9" orientation="portrait" r:id="rId3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G34"/>
  <sheetViews>
    <sheetView topLeftCell="A7" workbookViewId="0">
      <selection activeCell="E21" sqref="E21"/>
    </sheetView>
  </sheetViews>
  <sheetFormatPr defaultRowHeight="15" x14ac:dyDescent="0.25"/>
  <cols>
    <col min="1" max="3" width="19.85546875" customWidth="1" collapsed="1"/>
    <col min="4" max="4" width="5.85546875" customWidth="1" collapsed="1"/>
    <col min="5" max="7" width="19.85546875" customWidth="1" collapsed="1"/>
  </cols>
  <sheetData>
    <row r="1" spans="1:7" ht="15.75" thickBot="1" x14ac:dyDescent="0.3">
      <c r="A1" s="20" t="s">
        <v>28</v>
      </c>
      <c r="B1" s="21"/>
      <c r="C1" s="22"/>
      <c r="D1" s="5"/>
      <c r="E1" s="20" t="s">
        <v>27</v>
      </c>
      <c r="F1" s="21"/>
      <c r="G1" s="22"/>
    </row>
    <row r="2" spans="1:7" ht="15.75" thickBot="1" x14ac:dyDescent="0.3">
      <c r="A2" s="23" t="s">
        <v>23</v>
      </c>
      <c r="B2" s="20" t="s">
        <v>24</v>
      </c>
      <c r="C2" s="22"/>
      <c r="D2" s="6"/>
      <c r="E2" s="23" t="s">
        <v>23</v>
      </c>
      <c r="F2" s="20" t="s">
        <v>24</v>
      </c>
      <c r="G2" s="25"/>
    </row>
    <row r="3" spans="1:7" ht="15.75" thickBot="1" x14ac:dyDescent="0.3">
      <c r="A3" s="24"/>
      <c r="B3" s="7" t="s">
        <v>25</v>
      </c>
      <c r="C3" s="7" t="s">
        <v>26</v>
      </c>
      <c r="D3" s="6"/>
      <c r="E3" s="24"/>
      <c r="F3" s="7" t="s">
        <v>25</v>
      </c>
      <c r="G3" s="7" t="s">
        <v>26</v>
      </c>
    </row>
    <row r="4" spans="1:7" ht="15.75" thickBot="1" x14ac:dyDescent="0.3">
      <c r="A4" s="14">
        <v>44986</v>
      </c>
      <c r="B4" s="14">
        <v>44970</v>
      </c>
      <c r="C4" s="15" t="s">
        <v>32</v>
      </c>
      <c r="D4" s="6"/>
      <c r="E4" s="8">
        <v>44986</v>
      </c>
      <c r="F4" s="8">
        <f t="shared" ref="F4:F34" si="0">E4-15</f>
        <v>44971</v>
      </c>
      <c r="G4" s="9" t="s">
        <v>33</v>
      </c>
    </row>
    <row r="5" spans="1:7" ht="15.75" thickBot="1" x14ac:dyDescent="0.3">
      <c r="A5" s="14">
        <v>44987</v>
      </c>
      <c r="B5" s="14">
        <v>44970</v>
      </c>
      <c r="C5" s="15" t="s">
        <v>32</v>
      </c>
      <c r="D5" s="6"/>
      <c r="E5" s="8">
        <v>44987</v>
      </c>
      <c r="F5" s="8">
        <f t="shared" si="0"/>
        <v>44972</v>
      </c>
      <c r="G5" s="9" t="s">
        <v>34</v>
      </c>
    </row>
    <row r="6" spans="1:7" ht="15.75" thickBot="1" x14ac:dyDescent="0.3">
      <c r="A6" s="14">
        <v>44988</v>
      </c>
      <c r="B6" s="14">
        <v>44970</v>
      </c>
      <c r="C6" s="15" t="s">
        <v>32</v>
      </c>
      <c r="D6" s="6"/>
      <c r="E6" s="8">
        <v>44988</v>
      </c>
      <c r="F6" s="8">
        <f t="shared" si="0"/>
        <v>44973</v>
      </c>
      <c r="G6" s="9" t="s">
        <v>35</v>
      </c>
    </row>
    <row r="7" spans="1:7" ht="15.75" thickBot="1" x14ac:dyDescent="0.3">
      <c r="A7" s="14">
        <v>44989</v>
      </c>
      <c r="B7" s="14">
        <v>44970</v>
      </c>
      <c r="C7" s="15" t="s">
        <v>32</v>
      </c>
      <c r="D7" s="6"/>
      <c r="E7" s="14">
        <v>44989</v>
      </c>
      <c r="F7" s="14">
        <f t="shared" si="0"/>
        <v>44974</v>
      </c>
      <c r="G7" s="15" t="s">
        <v>36</v>
      </c>
    </row>
    <row r="8" spans="1:7" ht="15.75" thickBot="1" x14ac:dyDescent="0.3">
      <c r="A8" s="14">
        <v>44990</v>
      </c>
      <c r="B8" s="14">
        <v>44970</v>
      </c>
      <c r="C8" s="15" t="s">
        <v>32</v>
      </c>
      <c r="D8" s="6"/>
      <c r="E8" s="14">
        <v>44990</v>
      </c>
      <c r="F8" s="14">
        <v>44974</v>
      </c>
      <c r="G8" s="15" t="s">
        <v>36</v>
      </c>
    </row>
    <row r="9" spans="1:7" ht="15.75" thickBot="1" x14ac:dyDescent="0.3">
      <c r="A9" s="14">
        <v>44991</v>
      </c>
      <c r="B9" s="14">
        <v>44970</v>
      </c>
      <c r="C9" s="15" t="s">
        <v>32</v>
      </c>
      <c r="D9" s="6"/>
      <c r="E9" s="14">
        <v>44991</v>
      </c>
      <c r="F9" s="14">
        <v>44974</v>
      </c>
      <c r="G9" s="15" t="s">
        <v>36</v>
      </c>
    </row>
    <row r="10" spans="1:7" ht="15.75" thickBot="1" x14ac:dyDescent="0.3">
      <c r="A10" s="14">
        <v>44992</v>
      </c>
      <c r="B10" s="14">
        <v>44970</v>
      </c>
      <c r="C10" s="15" t="s">
        <v>32</v>
      </c>
      <c r="D10" s="6"/>
      <c r="E10" s="14">
        <v>44992</v>
      </c>
      <c r="F10" s="14">
        <v>44974</v>
      </c>
      <c r="G10" s="15" t="s">
        <v>36</v>
      </c>
    </row>
    <row r="11" spans="1:7" ht="15.75" thickBot="1" x14ac:dyDescent="0.3">
      <c r="A11" s="14">
        <v>44993</v>
      </c>
      <c r="B11" s="14">
        <v>44970</v>
      </c>
      <c r="C11" s="15" t="s">
        <v>32</v>
      </c>
      <c r="D11" s="6"/>
      <c r="E11" s="14">
        <v>44993</v>
      </c>
      <c r="F11" s="14">
        <v>44974</v>
      </c>
      <c r="G11" s="15" t="s">
        <v>36</v>
      </c>
    </row>
    <row r="12" spans="1:7" ht="15.75" thickBot="1" x14ac:dyDescent="0.3">
      <c r="A12" s="14">
        <v>44994</v>
      </c>
      <c r="B12" s="14">
        <v>44970</v>
      </c>
      <c r="C12" s="15" t="s">
        <v>32</v>
      </c>
      <c r="D12" s="6"/>
      <c r="E12" s="14">
        <v>44994</v>
      </c>
      <c r="F12" s="14">
        <v>44974</v>
      </c>
      <c r="G12" s="15" t="s">
        <v>36</v>
      </c>
    </row>
    <row r="13" spans="1:7" ht="15.75" thickBot="1" x14ac:dyDescent="0.3">
      <c r="A13" s="14">
        <v>44995</v>
      </c>
      <c r="B13" s="14">
        <v>44970</v>
      </c>
      <c r="C13" s="15" t="s">
        <v>32</v>
      </c>
      <c r="D13" s="6"/>
      <c r="E13" s="8">
        <v>44995</v>
      </c>
      <c r="F13" s="8">
        <f t="shared" si="0"/>
        <v>44980</v>
      </c>
      <c r="G13" s="9" t="s">
        <v>35</v>
      </c>
    </row>
    <row r="14" spans="1:7" ht="15.75" thickBot="1" x14ac:dyDescent="0.3">
      <c r="A14" s="14">
        <v>44996</v>
      </c>
      <c r="B14" s="14">
        <v>44970</v>
      </c>
      <c r="C14" s="15" t="s">
        <v>32</v>
      </c>
      <c r="D14" s="6"/>
      <c r="E14" s="14">
        <v>44996</v>
      </c>
      <c r="F14" s="14">
        <f t="shared" si="0"/>
        <v>44981</v>
      </c>
      <c r="G14" s="15" t="s">
        <v>36</v>
      </c>
    </row>
    <row r="15" spans="1:7" ht="15.75" thickBot="1" x14ac:dyDescent="0.3">
      <c r="A15" s="14">
        <v>44997</v>
      </c>
      <c r="B15" s="14">
        <v>44970</v>
      </c>
      <c r="C15" s="15" t="s">
        <v>32</v>
      </c>
      <c r="D15" s="6"/>
      <c r="E15" s="14">
        <v>44997</v>
      </c>
      <c r="F15" s="14">
        <v>44981</v>
      </c>
      <c r="G15" s="15" t="s">
        <v>36</v>
      </c>
    </row>
    <row r="16" spans="1:7" ht="15.75" thickBot="1" x14ac:dyDescent="0.3">
      <c r="A16" s="14">
        <v>44998</v>
      </c>
      <c r="B16" s="14">
        <v>44970</v>
      </c>
      <c r="C16" s="15" t="s">
        <v>32</v>
      </c>
      <c r="D16" s="6"/>
      <c r="E16" s="14">
        <v>44998</v>
      </c>
      <c r="F16" s="14">
        <v>44981</v>
      </c>
      <c r="G16" s="15" t="s">
        <v>36</v>
      </c>
    </row>
    <row r="17" spans="1:7" ht="15.75" thickBot="1" x14ac:dyDescent="0.3">
      <c r="A17" s="14">
        <v>44999</v>
      </c>
      <c r="B17" s="14">
        <v>44970</v>
      </c>
      <c r="C17" s="15" t="s">
        <v>32</v>
      </c>
      <c r="D17" s="6"/>
      <c r="E17" s="8">
        <v>44999</v>
      </c>
      <c r="F17" s="8">
        <f t="shared" si="0"/>
        <v>44984</v>
      </c>
      <c r="G17" s="9" t="s">
        <v>32</v>
      </c>
    </row>
    <row r="18" spans="1:7" ht="15.75" thickBot="1" x14ac:dyDescent="0.3">
      <c r="A18" s="14">
        <v>45000</v>
      </c>
      <c r="B18" s="14">
        <f t="shared" ref="B18:B34" si="1">A18-30</f>
        <v>44970</v>
      </c>
      <c r="C18" s="15" t="s">
        <v>32</v>
      </c>
      <c r="D18" s="6"/>
      <c r="E18" s="8">
        <v>45000</v>
      </c>
      <c r="F18" s="8">
        <f t="shared" si="0"/>
        <v>44985</v>
      </c>
      <c r="G18" s="9" t="s">
        <v>33</v>
      </c>
    </row>
    <row r="19" spans="1:7" ht="15.75" thickBot="1" x14ac:dyDescent="0.3">
      <c r="A19" s="8">
        <v>45001</v>
      </c>
      <c r="B19" s="8">
        <f t="shared" si="1"/>
        <v>44971</v>
      </c>
      <c r="C19" s="9" t="s">
        <v>33</v>
      </c>
      <c r="D19" s="6"/>
      <c r="E19" s="8">
        <v>45001</v>
      </c>
      <c r="F19" s="8">
        <f t="shared" si="0"/>
        <v>44986</v>
      </c>
      <c r="G19" s="9" t="s">
        <v>34</v>
      </c>
    </row>
    <row r="20" spans="1:7" ht="15.75" thickBot="1" x14ac:dyDescent="0.3">
      <c r="A20" s="8">
        <v>45002</v>
      </c>
      <c r="B20" s="8">
        <f t="shared" si="1"/>
        <v>44972</v>
      </c>
      <c r="C20" s="9" t="s">
        <v>34</v>
      </c>
      <c r="D20" s="6"/>
      <c r="E20" s="8">
        <v>45002</v>
      </c>
      <c r="F20" s="8">
        <f t="shared" si="0"/>
        <v>44987</v>
      </c>
      <c r="G20" s="9" t="s">
        <v>35</v>
      </c>
    </row>
    <row r="21" spans="1:7" ht="15.75" thickBot="1" x14ac:dyDescent="0.3">
      <c r="A21" s="8">
        <v>45003</v>
      </c>
      <c r="B21" s="8">
        <f t="shared" si="1"/>
        <v>44973</v>
      </c>
      <c r="C21" s="9" t="s">
        <v>35</v>
      </c>
      <c r="D21" s="6"/>
      <c r="E21" s="14">
        <v>45003</v>
      </c>
      <c r="F21" s="14">
        <f t="shared" si="0"/>
        <v>44988</v>
      </c>
      <c r="G21" s="15" t="s">
        <v>36</v>
      </c>
    </row>
    <row r="22" spans="1:7" ht="15.75" thickBot="1" x14ac:dyDescent="0.3">
      <c r="A22" s="14">
        <v>45004</v>
      </c>
      <c r="B22" s="14">
        <v>44974</v>
      </c>
      <c r="C22" s="15" t="s">
        <v>36</v>
      </c>
      <c r="D22" s="6"/>
      <c r="E22" s="14">
        <v>45004</v>
      </c>
      <c r="F22" s="14">
        <v>44988</v>
      </c>
      <c r="G22" s="15" t="s">
        <v>36</v>
      </c>
    </row>
    <row r="23" spans="1:7" ht="15.75" thickBot="1" x14ac:dyDescent="0.3">
      <c r="A23" s="14">
        <v>45005</v>
      </c>
      <c r="B23" s="14">
        <v>44974</v>
      </c>
      <c r="C23" s="15" t="s">
        <v>36</v>
      </c>
      <c r="D23" s="6"/>
      <c r="E23" s="14">
        <v>45005</v>
      </c>
      <c r="F23" s="14">
        <v>44988</v>
      </c>
      <c r="G23" s="15" t="s">
        <v>36</v>
      </c>
    </row>
    <row r="24" spans="1:7" ht="15.75" thickBot="1" x14ac:dyDescent="0.3">
      <c r="A24" s="14">
        <v>45006</v>
      </c>
      <c r="B24" s="14">
        <v>44974</v>
      </c>
      <c r="C24" s="15" t="s">
        <v>36</v>
      </c>
      <c r="D24" s="6"/>
      <c r="E24" s="8">
        <v>45006</v>
      </c>
      <c r="F24" s="8">
        <f t="shared" si="0"/>
        <v>44991</v>
      </c>
      <c r="G24" s="9" t="s">
        <v>32</v>
      </c>
    </row>
    <row r="25" spans="1:7" ht="15.75" thickBot="1" x14ac:dyDescent="0.3">
      <c r="A25" s="14">
        <v>45007</v>
      </c>
      <c r="B25" s="14">
        <v>44974</v>
      </c>
      <c r="C25" s="15" t="s">
        <v>36</v>
      </c>
      <c r="D25" s="6"/>
      <c r="E25" s="8">
        <v>45007</v>
      </c>
      <c r="F25" s="8">
        <f t="shared" si="0"/>
        <v>44992</v>
      </c>
      <c r="G25" s="9" t="s">
        <v>33</v>
      </c>
    </row>
    <row r="26" spans="1:7" ht="15.75" thickBot="1" x14ac:dyDescent="0.3">
      <c r="A26" s="14">
        <v>45008</v>
      </c>
      <c r="B26" s="14">
        <v>44974</v>
      </c>
      <c r="C26" s="15" t="s">
        <v>36</v>
      </c>
      <c r="D26" s="6"/>
      <c r="E26" s="8">
        <v>45008</v>
      </c>
      <c r="F26" s="8">
        <f t="shared" si="0"/>
        <v>44993</v>
      </c>
      <c r="G26" s="9" t="s">
        <v>34</v>
      </c>
    </row>
    <row r="27" spans="1:7" ht="15.75" thickBot="1" x14ac:dyDescent="0.3">
      <c r="A27" s="14">
        <v>45009</v>
      </c>
      <c r="B27" s="14">
        <v>44974</v>
      </c>
      <c r="C27" s="15" t="s">
        <v>36</v>
      </c>
      <c r="D27" s="6"/>
      <c r="E27" s="8">
        <v>45009</v>
      </c>
      <c r="F27" s="8">
        <f t="shared" si="0"/>
        <v>44994</v>
      </c>
      <c r="G27" s="9" t="s">
        <v>35</v>
      </c>
    </row>
    <row r="28" spans="1:7" ht="15.75" thickBot="1" x14ac:dyDescent="0.3">
      <c r="A28" s="8">
        <v>45010</v>
      </c>
      <c r="B28" s="8">
        <f t="shared" si="1"/>
        <v>44980</v>
      </c>
      <c r="C28" s="9" t="s">
        <v>35</v>
      </c>
      <c r="D28" s="6"/>
      <c r="E28" s="14">
        <v>45010</v>
      </c>
      <c r="F28" s="14">
        <f t="shared" si="0"/>
        <v>44995</v>
      </c>
      <c r="G28" s="15" t="s">
        <v>36</v>
      </c>
    </row>
    <row r="29" spans="1:7" ht="15.75" thickBot="1" x14ac:dyDescent="0.3">
      <c r="A29" s="14">
        <v>45011</v>
      </c>
      <c r="B29" s="14">
        <f t="shared" si="1"/>
        <v>44981</v>
      </c>
      <c r="C29" s="15" t="s">
        <v>36</v>
      </c>
      <c r="D29" s="6"/>
      <c r="E29" s="14">
        <v>45011</v>
      </c>
      <c r="F29" s="14">
        <v>44995</v>
      </c>
      <c r="G29" s="15" t="s">
        <v>36</v>
      </c>
    </row>
    <row r="30" spans="1:7" ht="15.75" thickBot="1" x14ac:dyDescent="0.3">
      <c r="A30" s="14">
        <v>45012</v>
      </c>
      <c r="B30" s="14">
        <v>44981</v>
      </c>
      <c r="C30" s="15" t="s">
        <v>36</v>
      </c>
      <c r="D30" s="6"/>
      <c r="E30" s="14">
        <v>45012</v>
      </c>
      <c r="F30" s="14">
        <v>44995</v>
      </c>
      <c r="G30" s="15" t="s">
        <v>36</v>
      </c>
    </row>
    <row r="31" spans="1:7" ht="15.75" thickBot="1" x14ac:dyDescent="0.3">
      <c r="A31" s="14">
        <v>45013</v>
      </c>
      <c r="B31" s="14">
        <v>44981</v>
      </c>
      <c r="C31" s="15" t="s">
        <v>36</v>
      </c>
      <c r="D31" s="6"/>
      <c r="E31" s="8">
        <v>45013</v>
      </c>
      <c r="F31" s="8">
        <f t="shared" si="0"/>
        <v>44998</v>
      </c>
      <c r="G31" s="9" t="s">
        <v>32</v>
      </c>
    </row>
    <row r="32" spans="1:7" ht="15.75" thickBot="1" x14ac:dyDescent="0.3">
      <c r="A32" s="8">
        <v>45014</v>
      </c>
      <c r="B32" s="8">
        <f t="shared" si="1"/>
        <v>44984</v>
      </c>
      <c r="C32" s="9" t="s">
        <v>32</v>
      </c>
      <c r="E32" s="8">
        <v>45014</v>
      </c>
      <c r="F32" s="8">
        <f t="shared" si="0"/>
        <v>44999</v>
      </c>
      <c r="G32" s="9" t="s">
        <v>33</v>
      </c>
    </row>
    <row r="33" spans="1:7" ht="15.75" thickBot="1" x14ac:dyDescent="0.3">
      <c r="A33" s="8">
        <v>45015</v>
      </c>
      <c r="B33" s="8">
        <f t="shared" si="1"/>
        <v>44985</v>
      </c>
      <c r="C33" s="9" t="s">
        <v>33</v>
      </c>
      <c r="E33" s="8">
        <v>45015</v>
      </c>
      <c r="F33" s="8">
        <f t="shared" si="0"/>
        <v>45000</v>
      </c>
      <c r="G33" s="9" t="s">
        <v>34</v>
      </c>
    </row>
    <row r="34" spans="1:7" ht="15.75" thickBot="1" x14ac:dyDescent="0.3">
      <c r="A34" s="8">
        <v>45016</v>
      </c>
      <c r="B34" s="8">
        <f t="shared" si="1"/>
        <v>44986</v>
      </c>
      <c r="C34" s="9" t="s">
        <v>34</v>
      </c>
      <c r="E34" s="8">
        <v>45016</v>
      </c>
      <c r="F34" s="8">
        <f t="shared" si="0"/>
        <v>45001</v>
      </c>
      <c r="G34" s="9" t="s">
        <v>35</v>
      </c>
    </row>
  </sheetData>
  <mergeCells count="6">
    <mergeCell ref="A1:C1"/>
    <mergeCell ref="E1:G1"/>
    <mergeCell ref="A2:A3"/>
    <mergeCell ref="B2:C2"/>
    <mergeCell ref="E2:E3"/>
    <mergeCell ref="F2:G2"/>
  </mergeCells>
  <phoneticPr fontId="4" type="noConversion"/>
  <printOptions horizontalCentered="1"/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Denilson Costa Dias(Externo)</cp:lastModifiedBy>
  <cp:lastPrinted>2020-03-16T19:25:35Z</cp:lastPrinted>
  <dcterms:created xsi:type="dcterms:W3CDTF">2019-04-16T18:13:59Z</dcterms:created>
  <dcterms:modified xsi:type="dcterms:W3CDTF">2023-03-06T16:23:09Z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351b3bbb-869c-4d34-9fa1-fa4d5c7395f8</vt:lpwstr>
  </property>
  <property fmtid="{D5CDD505-2E9C-101B-9397-08002B2CF9AE}" pid="3" name="bjSaver">
    <vt:lpwstr>VKL17fUGl7d4b5GpguuTapIeIeZTP1Ht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{A3022B87-2BBC-49A0-87FA-77D3FACDF58A}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24/09/2021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2022-01-27T18:08:16Z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3a2fd6b0-b4db-4289-b099-39b78d46df08</vt:lpwstr>
  </property>
  <property fmtid="{D5CDD505-2E9C-101B-9397-08002B2CF9AE}" pid="18" name="MSIP_Label_ce5f591a-3248-43e9-9b70-1ad50135772d_ContentBits">
    <vt:lpwstr>0</vt:lpwstr>
  </property>
</Properties>
</file>