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DIR TI\SUPERINT DESENV PRODUTOS\RPA\Denilson\EXECUÇÃO\"/>
    </mc:Choice>
  </mc:AlternateContent>
  <xr:revisionPtr revIDLastSave="0" documentId="13_ncr:1_{EF2BAC6C-10BA-41CA-9302-8E279B8B8D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RenovaSantander!$A$1:$AG$2</definedName>
    <definedName name="_xlnm.Print_Area" localSheetId="1">Cronograma!$A$1:$C$31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2" l="1"/>
  <c r="B30" i="2"/>
  <c r="B29" i="2"/>
  <c r="B28" i="2"/>
  <c r="B27" i="2"/>
  <c r="B24" i="2"/>
  <c r="B23" i="2"/>
  <c r="B22" i="2"/>
  <c r="B21" i="2"/>
  <c r="B17" i="2"/>
  <c r="B16" i="2"/>
  <c r="B15" i="2"/>
  <c r="B14" i="2"/>
  <c r="B13" i="2"/>
  <c r="B10" i="2"/>
  <c r="B9" i="2"/>
  <c r="B8" i="2"/>
  <c r="B7" i="2"/>
</calcChain>
</file>

<file path=xl/sharedStrings.xml><?xml version="1.0" encoding="utf-8"?>
<sst xmlns="http://schemas.openxmlformats.org/spreadsheetml/2006/main" count="95" uniqueCount="66">
  <si>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</si>
  <si>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</si>
  <si>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</si>
  <si>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</si>
  <si>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</si>
  <si>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</si>
  <si>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</si>
  <si>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</si>
  <si>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</si>
  <si>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</si>
  <si>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</si>
  <si>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</si>
  <si>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</si>
  <si>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</si>
  <si>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</si>
  <si>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</si>
  <si>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</si>
  <si>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</si>
  <si>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</si>
  <si>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</si>
  <si>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</si>
  <si>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</si>
  <si>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</si>
  <si>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</si>
  <si>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</si>
  <si>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</si>
  <si>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</si>
  <si>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</si>
  <si>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</si>
  <si>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</si>
  <si>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</si>
  <si>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</si>
  <si>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</si>
  <si>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</si>
  <si>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</si>
  <si>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RAMO</t>
  </si>
  <si>
    <t>NOME SOCIAL</t>
  </si>
  <si>
    <t>PLACA</t>
  </si>
  <si>
    <t>COD_MARCA_MODELO</t>
  </si>
  <si>
    <t>DS_MODELO</t>
  </si>
  <si>
    <t>VERSAO</t>
  </si>
  <si>
    <t>2005</t>
  </si>
  <si>
    <t>Básico</t>
  </si>
  <si>
    <t xml:space="preserve"> </t>
  </si>
  <si>
    <t>10</t>
  </si>
  <si>
    <t>1211</t>
  </si>
  <si>
    <t xml:space="preserve">KARDIAN                                 </t>
  </si>
  <si>
    <t>APOLICE ANTERIOR</t>
  </si>
  <si>
    <t>PROPOSTA AZ ANTERIOR</t>
  </si>
  <si>
    <t>20261101</t>
  </si>
  <si>
    <t>003926825232</t>
  </si>
  <si>
    <t xml:space="preserve">NADIR SATORI PETRONGARI                      </t>
  </si>
  <si>
    <t xml:space="preserve">UEU2E53     </t>
  </si>
  <si>
    <t>40052138</t>
  </si>
  <si>
    <t xml:space="preserve">Authentic 1.0 TB 12V 5p Aut.                                               </t>
  </si>
  <si>
    <t>135026841</t>
  </si>
  <si>
    <t>5177202551312333007</t>
  </si>
  <si>
    <t>x</t>
  </si>
  <si>
    <t>R$ 1.256,48</t>
  </si>
  <si>
    <t>R$ 1.569,83</t>
  </si>
  <si>
    <t>141362601 / 0 / 0</t>
  </si>
  <si>
    <t>5177-2026-51-31-2410037/000000</t>
  </si>
  <si>
    <t>Falha no envio do e-mail</t>
  </si>
  <si>
    <t>EMISSÃO REALIZADA : 1211-AUTOMÓVEL [780898951]</t>
  </si>
  <si>
    <t xml:space="preserve">denilson.inmetricsext@allpronet.com.br                          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</si>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</sst>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14" fontId="5" fillId="6" borderId="9" xfId="0" applyNumberFormat="1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0" fillId="0" borderId="0" xfId="0" applyAlignment="1">
      <alignment horizontal="left"/>
    </xf>
    <xf numFmtId="14" fontId="7" fillId="6" borderId="9" xfId="0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8" fillId="0" borderId="0" xfId="3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</cellXfs>
  <cellStyles count="4">
    <cellStyle name="Hiperlink" xfId="3" builtinId="8"/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FF9393"/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nilson.inmetricsext@allpronet.com.br%20%20%20%20%20%20%20%20%20%20%20%20%20%20%20%20%20%20%20%20%20%20%20%20%20%20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G3"/>
  <sheetViews>
    <sheetView tabSelected="1" topLeftCell="T1" zoomScaleNormal="100" workbookViewId="0">
      <pane ySplit="1" topLeftCell="A2" activePane="bottomLeft" state="frozen"/>
      <selection activeCell="J1" sqref="J1"/>
      <selection pane="bottomLeft" activeCell="Y5" sqref="Y5"/>
    </sheetView>
  </sheetViews>
  <sheetFormatPr defaultRowHeight="15" x14ac:dyDescent="0.25"/>
  <cols>
    <col min="1" max="1" width="22.85546875" bestFit="1" customWidth="1" collapsed="1"/>
    <col min="2" max="2" width="15" customWidth="1" collapsed="1"/>
    <col min="3" max="3" width="14.85546875" customWidth="1" collapsed="1"/>
    <col min="4" max="4" width="16.140625" customWidth="1" collapsed="1"/>
    <col min="5" max="5" width="24.85546875" customWidth="1" collapsed="1"/>
    <col min="6" max="6" width="37.5703125" customWidth="1" collapsed="1"/>
    <col min="7" max="7" width="53.85546875" customWidth="1" collapsed="1"/>
    <col min="8" max="8" width="34.42578125" customWidth="1" collapsed="1"/>
    <col min="9" max="9" width="53.85546875" customWidth="1" collapsed="1"/>
    <col min="10" max="10" width="14.42578125" customWidth="1" collapsed="1"/>
    <col min="11" max="11" width="22.140625" bestFit="1" customWidth="1" collapsed="1"/>
    <col min="12" max="12" width="51" bestFit="1" customWidth="1" collapsed="1"/>
    <col min="13" max="13" width="51" customWidth="1" collapsed="1"/>
    <col min="14" max="14" width="47.85546875" bestFit="1" customWidth="1" collapsed="1"/>
    <col min="15" max="16" width="11.28515625" bestFit="1" customWidth="1" collapsed="1"/>
    <col min="17" max="17" width="26.42578125" bestFit="1" customWidth="1" collapsed="1"/>
    <col min="18" max="18" width="26.42578125" customWidth="1" collapsed="1"/>
    <col min="19" max="19" width="65.5703125" bestFit="1" customWidth="1" collapsed="1"/>
    <col min="20" max="20" width="26.7109375" bestFit="1" customWidth="1" collapsed="1"/>
    <col min="21" max="21" width="23.140625" bestFit="1" customWidth="1" collapsed="1"/>
    <col min="22" max="22" width="24.85546875" bestFit="1" customWidth="1" collapsed="1"/>
    <col min="23" max="23" width="23.140625" bestFit="1" customWidth="1" collapsed="1"/>
    <col min="24" max="24" width="24.85546875" bestFit="1" customWidth="1" collapsed="1"/>
    <col min="25" max="25" width="20.140625" bestFit="1" customWidth="1" collapsed="1"/>
    <col min="26" max="26" width="22" bestFit="1" customWidth="1" collapsed="1"/>
    <col min="27" max="27" width="12.5703125" bestFit="1" customWidth="1" collapsed="1"/>
    <col min="28" max="28" width="34.5703125" bestFit="1" customWidth="1" collapsed="1"/>
    <col min="29" max="29" width="25.140625" bestFit="1" customWidth="1" collapsed="1"/>
    <col min="30" max="30" width="15.42578125" bestFit="1" customWidth="1" collapsed="1"/>
    <col min="31" max="31" width="29.5703125" bestFit="1" customWidth="1" collapsed="1"/>
    <col min="32" max="32" width="61.140625" bestFit="1" customWidth="1" collapsed="1"/>
    <col min="33" max="33" width="48.85546875" bestFit="1" customWidth="1" collapsed="1"/>
  </cols>
  <sheetData>
    <row r="1" spans="1:33" x14ac:dyDescent="0.25">
      <c r="A1" s="1" t="s">
        <v>47</v>
      </c>
      <c r="B1" s="1" t="s">
        <v>0</v>
      </c>
      <c r="C1" s="6" t="s">
        <v>1</v>
      </c>
      <c r="D1" s="7" t="s">
        <v>2</v>
      </c>
      <c r="E1" s="2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29</v>
      </c>
      <c r="L1" s="1" t="s">
        <v>9</v>
      </c>
      <c r="M1" s="1" t="s">
        <v>36</v>
      </c>
      <c r="N1" s="1" t="s">
        <v>10</v>
      </c>
      <c r="O1" s="1" t="s">
        <v>35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48</v>
      </c>
      <c r="U1" s="8" t="s">
        <v>11</v>
      </c>
      <c r="V1" s="9" t="s">
        <v>12</v>
      </c>
      <c r="W1" s="8" t="s">
        <v>13</v>
      </c>
      <c r="X1" s="8" t="s">
        <v>14</v>
      </c>
      <c r="Y1" s="8" t="s">
        <v>15</v>
      </c>
      <c r="Z1" s="8" t="s">
        <v>16</v>
      </c>
      <c r="AA1" s="4" t="s">
        <v>17</v>
      </c>
      <c r="AB1" s="4" t="s">
        <v>27</v>
      </c>
      <c r="AC1" s="4" t="s">
        <v>28</v>
      </c>
      <c r="AD1" s="4" t="s">
        <v>18</v>
      </c>
      <c r="AE1" s="4" t="s">
        <v>19</v>
      </c>
      <c r="AF1" s="4" t="s">
        <v>20</v>
      </c>
      <c r="AG1" s="4" t="s">
        <v>21</v>
      </c>
    </row>
    <row r="2" spans="1:33" x14ac:dyDescent="0.25">
      <c r="A2" s="10" t="s">
        <v>56</v>
      </c>
      <c r="B2" s="10" t="s">
        <v>49</v>
      </c>
      <c r="C2" s="10" t="s">
        <v>57</v>
      </c>
      <c r="D2" s="10"/>
      <c r="E2" s="10" t="s">
        <v>50</v>
      </c>
      <c r="F2" s="10" t="s">
        <v>41</v>
      </c>
      <c r="H2" s="10" t="s">
        <v>41</v>
      </c>
      <c r="J2" s="10" t="s">
        <v>44</v>
      </c>
      <c r="K2" s="10" t="s">
        <v>42</v>
      </c>
      <c r="L2" t="s">
        <v>51</v>
      </c>
      <c r="M2" t="s">
        <v>43</v>
      </c>
      <c r="N2" s="17" t="s">
        <v>64</v>
      </c>
      <c r="O2" s="10" t="s">
        <v>45</v>
      </c>
      <c r="P2" s="10" t="s">
        <v>52</v>
      </c>
      <c r="Q2" s="10" t="s">
        <v>53</v>
      </c>
      <c r="R2" s="14" t="s">
        <v>46</v>
      </c>
      <c r="S2" s="14" t="s">
        <v>54</v>
      </c>
      <c r="T2" s="14" t="s">
        <v>55</v>
      </c>
      <c r="U2" s="10" t="s">
        <v>65</v>
      </c>
      <c r="V2" s="10"/>
      <c r="W2" s="10" t="s">
        <v>65</v>
      </c>
      <c r="X2" s="10"/>
      <c r="Y2" s="10" t="s">
        <v>57</v>
      </c>
      <c r="Z2" s="10"/>
      <c r="AA2" s="11" t="s">
        <v>42</v>
      </c>
      <c r="AB2" s="11" t="s">
        <v>58</v>
      </c>
      <c r="AC2" s="11" t="s">
        <v>59</v>
      </c>
      <c r="AD2" s="11" t="s">
        <v>60</v>
      </c>
      <c r="AE2" s="11" t="s">
        <v>61</v>
      </c>
      <c r="AF2" s="11" t="s">
        <v>62</v>
      </c>
      <c r="AG2" s="11" t="s">
        <v>63</v>
      </c>
    </row>
    <row r="3" spans="1:33" x14ac:dyDescent="0.25">
      <c r="A3" s="10"/>
      <c r="B3" s="10"/>
      <c r="C3" s="10"/>
      <c r="D3" s="10"/>
      <c r="E3" s="10"/>
      <c r="F3" s="10"/>
      <c r="H3" s="10"/>
      <c r="J3" s="10"/>
      <c r="K3" s="10"/>
      <c r="N3" s="17"/>
      <c r="O3" s="10"/>
      <c r="P3" s="10"/>
      <c r="Q3" s="10"/>
      <c r="R3" s="14"/>
      <c r="S3" s="14"/>
      <c r="T3" s="14"/>
      <c r="U3" s="10"/>
      <c r="V3" s="10"/>
      <c r="W3" s="10"/>
      <c r="X3" s="10"/>
      <c r="Y3" s="10"/>
      <c r="Z3" s="10"/>
      <c r="AA3" s="11"/>
      <c r="AB3" s="11"/>
      <c r="AC3" s="11"/>
      <c r="AD3" s="11"/>
      <c r="AE3" s="11"/>
      <c r="AF3" s="11"/>
      <c r="AG3" s="11"/>
    </row>
  </sheetData>
  <autoFilter ref="A1:AG2" xr:uid="{00000000-0001-0000-0000-000000000000}">
    <sortState xmlns:xlrd2="http://schemas.microsoft.com/office/spreadsheetml/2017/richdata2" ref="A2:AG2">
      <sortCondition ref="B2"/>
      <sortCondition ref="O2"/>
    </sortState>
  </autoFilter>
  <hyperlinks>
    <hyperlink ref="N2" r:id="rId1" xr:uid="{B3DE2252-BBFD-41ED-96D3-D35027D93843}"/>
  </hyperlinks>
  <pageMargins left="0.511811024" right="0.511811024" top="0.78740157499999996" bottom="0.78740157499999996" header="0.31496062000000002" footer="0.31496062000000002"/>
  <pageSetup paperSize="9" orientation="portrait" r:id="rId2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33"/>
  <sheetViews>
    <sheetView zoomScaleNormal="100" workbookViewId="0">
      <selection sqref="A1:C1"/>
    </sheetView>
  </sheetViews>
  <sheetFormatPr defaultRowHeight="15" x14ac:dyDescent="0.25"/>
  <cols>
    <col min="1" max="3" width="19.85546875" customWidth="1" collapsed="1"/>
  </cols>
  <sheetData>
    <row r="1" spans="1:3" ht="15.75" thickBot="1" x14ac:dyDescent="0.3">
      <c r="A1" s="18" t="s">
        <v>26</v>
      </c>
      <c r="B1" s="19"/>
      <c r="C1" s="20"/>
    </row>
    <row r="2" spans="1:3" ht="15.75" thickBot="1" x14ac:dyDescent="0.3">
      <c r="A2" s="21" t="s">
        <v>22</v>
      </c>
      <c r="B2" s="18" t="s">
        <v>23</v>
      </c>
      <c r="C2" s="23"/>
    </row>
    <row r="3" spans="1:3" ht="15.75" thickBot="1" x14ac:dyDescent="0.3">
      <c r="A3" s="22"/>
      <c r="B3" s="5" t="s">
        <v>24</v>
      </c>
      <c r="C3" s="5" t="s">
        <v>25</v>
      </c>
    </row>
    <row r="4" spans="1:3" ht="15.75" thickBot="1" x14ac:dyDescent="0.3">
      <c r="A4" s="15">
        <v>46327</v>
      </c>
      <c r="B4" s="15">
        <v>46315</v>
      </c>
      <c r="C4" s="16" t="s">
        <v>31</v>
      </c>
    </row>
    <row r="5" spans="1:3" ht="15.75" thickBot="1" x14ac:dyDescent="0.3">
      <c r="A5" s="15">
        <v>46328</v>
      </c>
      <c r="B5" s="15">
        <v>46315</v>
      </c>
      <c r="C5" s="16" t="s">
        <v>31</v>
      </c>
    </row>
    <row r="6" spans="1:3" ht="15.75" thickBot="1" x14ac:dyDescent="0.3">
      <c r="A6" s="15">
        <v>46329</v>
      </c>
      <c r="B6" s="15">
        <v>46315</v>
      </c>
      <c r="C6" s="16" t="s">
        <v>31</v>
      </c>
    </row>
    <row r="7" spans="1:3" ht="15.75" thickBot="1" x14ac:dyDescent="0.3">
      <c r="A7" s="15">
        <v>46330</v>
      </c>
      <c r="B7" s="15">
        <f t="shared" ref="B7:B31" si="0">A7-15</f>
        <v>46315</v>
      </c>
      <c r="C7" s="16" t="s">
        <v>31</v>
      </c>
    </row>
    <row r="8" spans="1:3" ht="15.75" thickBot="1" x14ac:dyDescent="0.3">
      <c r="A8" s="12">
        <v>46331</v>
      </c>
      <c r="B8" s="12">
        <f t="shared" si="0"/>
        <v>46316</v>
      </c>
      <c r="C8" s="13" t="s">
        <v>32</v>
      </c>
    </row>
    <row r="9" spans="1:3" ht="15.75" thickBot="1" x14ac:dyDescent="0.3">
      <c r="A9" s="12">
        <v>46332</v>
      </c>
      <c r="B9" s="12">
        <f t="shared" si="0"/>
        <v>46317</v>
      </c>
      <c r="C9" s="13" t="s">
        <v>33</v>
      </c>
    </row>
    <row r="10" spans="1:3" ht="15.75" thickBot="1" x14ac:dyDescent="0.3">
      <c r="A10" s="15">
        <v>46333</v>
      </c>
      <c r="B10" s="15">
        <f t="shared" si="0"/>
        <v>46318</v>
      </c>
      <c r="C10" s="16" t="s">
        <v>34</v>
      </c>
    </row>
    <row r="11" spans="1:3" ht="15.75" thickBot="1" x14ac:dyDescent="0.3">
      <c r="A11" s="15">
        <v>46334</v>
      </c>
      <c r="B11" s="15">
        <v>46318</v>
      </c>
      <c r="C11" s="16" t="s">
        <v>34</v>
      </c>
    </row>
    <row r="12" spans="1:3" ht="15.75" thickBot="1" x14ac:dyDescent="0.3">
      <c r="A12" s="15">
        <v>46335</v>
      </c>
      <c r="B12" s="15">
        <v>46318</v>
      </c>
      <c r="C12" s="16" t="s">
        <v>34</v>
      </c>
    </row>
    <row r="13" spans="1:3" ht="15.75" thickBot="1" x14ac:dyDescent="0.3">
      <c r="A13" s="12">
        <v>46336</v>
      </c>
      <c r="B13" s="12">
        <f t="shared" si="0"/>
        <v>46321</v>
      </c>
      <c r="C13" s="13" t="s">
        <v>30</v>
      </c>
    </row>
    <row r="14" spans="1:3" ht="15.75" thickBot="1" x14ac:dyDescent="0.3">
      <c r="A14" s="12">
        <v>46337</v>
      </c>
      <c r="B14" s="12">
        <f t="shared" si="0"/>
        <v>46322</v>
      </c>
      <c r="C14" s="13" t="s">
        <v>31</v>
      </c>
    </row>
    <row r="15" spans="1:3" ht="15.75" thickBot="1" x14ac:dyDescent="0.3">
      <c r="A15" s="12">
        <v>46338</v>
      </c>
      <c r="B15" s="12">
        <f t="shared" si="0"/>
        <v>46323</v>
      </c>
      <c r="C15" s="13" t="s">
        <v>32</v>
      </c>
    </row>
    <row r="16" spans="1:3" ht="15.75" thickBot="1" x14ac:dyDescent="0.3">
      <c r="A16" s="12">
        <v>46339</v>
      </c>
      <c r="B16" s="12">
        <f t="shared" si="0"/>
        <v>46324</v>
      </c>
      <c r="C16" s="13" t="s">
        <v>33</v>
      </c>
    </row>
    <row r="17" spans="1:3" ht="15.75" thickBot="1" x14ac:dyDescent="0.3">
      <c r="A17" s="15">
        <v>46340</v>
      </c>
      <c r="B17" s="15">
        <f t="shared" si="0"/>
        <v>46325</v>
      </c>
      <c r="C17" s="16" t="s">
        <v>34</v>
      </c>
    </row>
    <row r="18" spans="1:3" ht="15.75" thickBot="1" x14ac:dyDescent="0.3">
      <c r="A18" s="15">
        <v>46341</v>
      </c>
      <c r="B18" s="15">
        <v>46325</v>
      </c>
      <c r="C18" s="16" t="s">
        <v>34</v>
      </c>
    </row>
    <row r="19" spans="1:3" ht="15.75" thickBot="1" x14ac:dyDescent="0.3">
      <c r="A19" s="15">
        <v>46342</v>
      </c>
      <c r="B19" s="15">
        <v>46325</v>
      </c>
      <c r="C19" s="16" t="s">
        <v>34</v>
      </c>
    </row>
    <row r="20" spans="1:3" ht="15.75" thickBot="1" x14ac:dyDescent="0.3">
      <c r="A20" s="15">
        <v>46343</v>
      </c>
      <c r="B20" s="15">
        <v>46325</v>
      </c>
      <c r="C20" s="16" t="s">
        <v>34</v>
      </c>
    </row>
    <row r="21" spans="1:3" ht="15.75" thickBot="1" x14ac:dyDescent="0.3">
      <c r="A21" s="12">
        <v>46344</v>
      </c>
      <c r="B21" s="12">
        <f t="shared" si="0"/>
        <v>46329</v>
      </c>
      <c r="C21" s="13" t="s">
        <v>31</v>
      </c>
    </row>
    <row r="22" spans="1:3" ht="15.75" thickBot="1" x14ac:dyDescent="0.3">
      <c r="A22" s="12">
        <v>46345</v>
      </c>
      <c r="B22" s="12">
        <f t="shared" si="0"/>
        <v>46330</v>
      </c>
      <c r="C22" s="13" t="s">
        <v>32</v>
      </c>
    </row>
    <row r="23" spans="1:3" ht="15.75" thickBot="1" x14ac:dyDescent="0.3">
      <c r="A23" s="12">
        <v>46346</v>
      </c>
      <c r="B23" s="12">
        <f t="shared" si="0"/>
        <v>46331</v>
      </c>
      <c r="C23" s="13" t="s">
        <v>33</v>
      </c>
    </row>
    <row r="24" spans="1:3" ht="15.75" thickBot="1" x14ac:dyDescent="0.3">
      <c r="A24" s="15">
        <v>46347</v>
      </c>
      <c r="B24" s="15">
        <f t="shared" si="0"/>
        <v>46332</v>
      </c>
      <c r="C24" s="16" t="s">
        <v>34</v>
      </c>
    </row>
    <row r="25" spans="1:3" ht="15.75" thickBot="1" x14ac:dyDescent="0.3">
      <c r="A25" s="15">
        <v>46348</v>
      </c>
      <c r="B25" s="15">
        <v>46332</v>
      </c>
      <c r="C25" s="16" t="s">
        <v>34</v>
      </c>
    </row>
    <row r="26" spans="1:3" ht="15.75" thickBot="1" x14ac:dyDescent="0.3">
      <c r="A26" s="15">
        <v>46349</v>
      </c>
      <c r="B26" s="15">
        <v>46332</v>
      </c>
      <c r="C26" s="16" t="s">
        <v>34</v>
      </c>
    </row>
    <row r="27" spans="1:3" ht="15.75" thickBot="1" x14ac:dyDescent="0.3">
      <c r="A27" s="12">
        <v>46350</v>
      </c>
      <c r="B27" s="12">
        <f t="shared" si="0"/>
        <v>46335</v>
      </c>
      <c r="C27" s="13" t="s">
        <v>30</v>
      </c>
    </row>
    <row r="28" spans="1:3" ht="15.75" thickBot="1" x14ac:dyDescent="0.3">
      <c r="A28" s="12">
        <v>46351</v>
      </c>
      <c r="B28" s="12">
        <f t="shared" si="0"/>
        <v>46336</v>
      </c>
      <c r="C28" s="13" t="s">
        <v>31</v>
      </c>
    </row>
    <row r="29" spans="1:3" ht="15.75" thickBot="1" x14ac:dyDescent="0.3">
      <c r="A29" s="12">
        <v>46352</v>
      </c>
      <c r="B29" s="12">
        <f t="shared" si="0"/>
        <v>46337</v>
      </c>
      <c r="C29" s="13" t="s">
        <v>32</v>
      </c>
    </row>
    <row r="30" spans="1:3" ht="15.75" thickBot="1" x14ac:dyDescent="0.3">
      <c r="A30" s="12">
        <v>46353</v>
      </c>
      <c r="B30" s="12">
        <f t="shared" si="0"/>
        <v>46338</v>
      </c>
      <c r="C30" s="13" t="s">
        <v>33</v>
      </c>
    </row>
    <row r="31" spans="1:3" ht="15.75" thickBot="1" x14ac:dyDescent="0.3">
      <c r="A31" s="15">
        <v>46354</v>
      </c>
      <c r="B31" s="15">
        <f t="shared" si="0"/>
        <v>46339</v>
      </c>
      <c r="C31" s="16" t="s">
        <v>34</v>
      </c>
    </row>
    <row r="32" spans="1:3" ht="15.75" thickBot="1" x14ac:dyDescent="0.3">
      <c r="A32" s="15">
        <v>46355</v>
      </c>
      <c r="B32" s="15">
        <v>46339</v>
      </c>
      <c r="C32" s="16" t="s">
        <v>34</v>
      </c>
    </row>
    <row r="33" spans="1:3" ht="15.75" thickBot="1" x14ac:dyDescent="0.3">
      <c r="A33" s="15">
        <v>46356</v>
      </c>
      <c r="B33" s="15">
        <v>46339</v>
      </c>
      <c r="C33" s="16" t="s">
        <v>34</v>
      </c>
    </row>
  </sheetData>
  <mergeCells count="3">
    <mergeCell ref="A1:C1"/>
    <mergeCell ref="A2:A3"/>
    <mergeCell ref="B2:C2"/>
  </mergeCells>
  <phoneticPr fontId="6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cp:lastPrinted>2020-03-16T19:25:35Z</cp:lastPrinted>
  <dcterms:created xsi:type="dcterms:W3CDTF">2019-04-16T18:13:59Z</dcterms:created>
  <dcterms:modified xsi:type="dcterms:W3CDTF">2026-10-23T14:09:18Z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875283219</vt:i4>
  </property>
  <property fmtid="{D5CDD505-2E9C-101B-9397-08002B2CF9AE}" pid="20" name="_NewReviewCycle">
    <vt:lpwstr/>
  </property>
  <property fmtid="{D5CDD505-2E9C-101B-9397-08002B2CF9AE}" pid="21" name="_EmailSubject">
    <vt:lpwstr>Nova planilha Santander - Ajustes de coluna nova e email 15d</vt:lpwstr>
  </property>
  <property fmtid="{D5CDD505-2E9C-101B-9397-08002B2CF9AE}" pid="22" name="_AuthorEmail">
    <vt:lpwstr>andre.antunes@allianz.com.br</vt:lpwstr>
  </property>
  <property fmtid="{D5CDD505-2E9C-101B-9397-08002B2CF9AE}" pid="23" name="_AuthorEmailDisplayName">
    <vt:lpwstr>ANTUNES, ANDRE (ALLIANZSEGUROS S/A)</vt:lpwstr>
  </property>
  <property fmtid="{D5CDD505-2E9C-101B-9397-08002B2CF9AE}" pid="24" name="_ReviewingToolsShownOnce">
    <vt:lpwstr/>
  </property>
</Properties>
</file>