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30430"/>
  <workbookPr/>
  <mc:AlternateContent>
    <mc:Choice Requires="x15">
      <x15ac:absPath xmlns:x15ac="http://schemas.microsoft.com/office/spreadsheetml/2010/11/ac" url="\\Ntxnas1.intrallianz.es\brasil\DIRETORIAS\DIR EXE OPERACOES\DIR TI\SUPERINT DESENV PRODUTOS\RPA\Denilson\EXECUÇÃO\"/>
    </mc:Choice>
  </mc:AlternateContent>
  <xr:revisionPtr documentId="13_ncr:1_{81E719B5-366C-4C5B-836B-CBEB8209B725}" revIDLastSave="0" xr10:uidLastSave="{00000000-0000-0000-0000-000000000000}" xr6:coauthVersionLast="47" xr6:coauthVersionMax="47"/>
  <bookViews>
    <workbookView windowHeight="11040" windowWidth="20730" xWindow="-120" xr2:uid="{00000000-000D-0000-FFFF-FFFF00000000}" yWindow="-120"/>
  </bookViews>
  <sheets>
    <sheet name="RenovaSantander" r:id="rId1" sheetId="1"/>
    <sheet name="Cronograma" r:id="rId2" sheetId="2"/>
  </sheets>
  <definedNames>
    <definedName hidden="1" localSheetId="0" name="_xlnm._FilterDatabase">RenovaSantander!$A$1:$AG$2</definedName>
    <definedName localSheetId="1" name="_xlnm.Print_Area">Cronograma!$A$1:$C$31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i="2" l="1" r="B31"/>
  <c i="2" r="B30"/>
  <c i="2" r="B29"/>
  <c i="2" r="B28"/>
  <c i="2" r="B27"/>
  <c i="2" r="B24"/>
  <c i="2" r="B23"/>
  <c i="2" r="B22"/>
  <c i="2" r="B21"/>
  <c i="2" r="B17"/>
  <c i="2" r="B16"/>
  <c i="2" r="B15"/>
  <c i="2" r="B14"/>
  <c i="2" r="B13"/>
  <c i="2" r="B10"/>
  <c i="2" r="B9"/>
  <c i="2" r="B8"/>
  <c i="2" r="B7"/>
</calcChain>
</file>

<file path=xl/sharedStrings.xml><?xml version="1.0" encoding="utf-8"?>
<sst xmlns="http://schemas.openxmlformats.org/spreadsheetml/2006/main" count="159" uniqueCount="66">
  <si>
    <t>FINAL_VIG</t>
  </si>
  <si>
    <t>EXECUTAR</t>
  </si>
  <si>
    <t>EXECUTADO</t>
  </si>
  <si>
    <t>PROPOSTA ANTERIOR</t>
  </si>
  <si>
    <t>COD. GRUPO SEGURADO ANTERIOR</t>
  </si>
  <si>
    <t>GRUPO SEGURADO ANTERIOR</t>
  </si>
  <si>
    <t>COD. GRUPO SEGURADO ATUAL</t>
  </si>
  <si>
    <t>GRUPO SEGURADO ATUAL</t>
  </si>
  <si>
    <t>PARCELAS</t>
  </si>
  <si>
    <t>SEGURADO</t>
  </si>
  <si>
    <t>E-mail</t>
  </si>
  <si>
    <t>Carta (-30d) - Enviar</t>
  </si>
  <si>
    <t>Carta (-30d) - Enviado</t>
  </si>
  <si>
    <t>Carta (-15d) - Enviar</t>
  </si>
  <si>
    <t>Carta (-15d) - Enviado</t>
  </si>
  <si>
    <t>Carta NR - Enviar</t>
  </si>
  <si>
    <t>Carta NR - Enviado</t>
  </si>
  <si>
    <t>PACOTE</t>
  </si>
  <si>
    <t>PROPOSTA</t>
  </si>
  <si>
    <t>APOLICE EMITIDA</t>
  </si>
  <si>
    <t>ALERTA</t>
  </si>
  <si>
    <t>LOG</t>
  </si>
  <si>
    <t>Início de Vigência</t>
  </si>
  <si>
    <t>Executar</t>
  </si>
  <si>
    <t>Dia Mês</t>
  </si>
  <si>
    <t>Dia Semana</t>
  </si>
  <si>
    <t>Emissão da renovação / Envio da carta de apólice renovada (-15d)</t>
  </si>
  <si>
    <t>PREMIO LIQ. APOLICE ANTERIOR</t>
  </si>
  <si>
    <t>PREMIO TOTAL ATUAL</t>
  </si>
  <si>
    <t>PACOTE ANTERIOR</t>
  </si>
  <si>
    <t>Segunda-feira</t>
  </si>
  <si>
    <t>Terça-feira</t>
  </si>
  <si>
    <t>Quarta-feira</t>
  </si>
  <si>
    <t>Quinta-feira</t>
  </si>
  <si>
    <t>Sexta-feira</t>
  </si>
  <si>
    <t>RAMO</t>
  </si>
  <si>
    <t>NOME SOCIAL</t>
  </si>
  <si>
    <t>PLACA</t>
  </si>
  <si>
    <t>COD_MARCA_MODELO</t>
  </si>
  <si>
    <t>DS_MODELO</t>
  </si>
  <si>
    <t>VERSAO</t>
  </si>
  <si>
    <t>2005</t>
  </si>
  <si>
    <t>Básico</t>
  </si>
  <si>
    <t xml:space="preserve"> </t>
  </si>
  <si>
    <t>10</t>
  </si>
  <si>
    <t>1211</t>
  </si>
  <si>
    <t xml:space="preserve">KARDIAN                                 </t>
  </si>
  <si>
    <t>APOLICE ANTERIOR</t>
  </si>
  <si>
    <t>PROPOSTA AZ ANTERIOR</t>
  </si>
  <si>
    <t>20261101</t>
  </si>
  <si>
    <t>003926825232</t>
  </si>
  <si>
    <t xml:space="preserve">NADIR SATORI PETRONGARI                      </t>
  </si>
  <si>
    <t xml:space="preserve">UEU2E53     </t>
  </si>
  <si>
    <t>40052138</t>
  </si>
  <si>
    <t xml:space="preserve">Authentic 1.0 TB 12V 5p Aut.                                               </t>
  </si>
  <si>
    <t>135026841</t>
  </si>
  <si>
    <t>5177202551312333007</t>
  </si>
  <si>
    <t/>
  </si>
  <si>
    <t>x</t>
  </si>
  <si>
    <t>R$ 1.256,48</t>
  </si>
  <si>
    <t>R$ 1.569,83</t>
  </si>
  <si>
    <t>141362601 / 0 / 0</t>
  </si>
  <si>
    <t>5177-2026-51-31-2410037/000000</t>
  </si>
  <si>
    <t>Falha no envio do e-mail</t>
  </si>
  <si>
    <t>EMISSÃO REALIZADA : 1211-AUTOMÓVEL [780898951]</t>
  </si>
  <si>
    <t xml:space="preserve">denilson.inmetricsext@allpronet.com.br, andre.antunes@allianz.com.br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</si>
</sst>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">
    <xf borderId="0" fillId="0" fontId="0" numFmtId="0"/>
    <xf borderId="0" fillId="0" fontId="2" numFmtId="0"/>
    <xf borderId="0" fillId="0" fontId="1" numFmtId="0"/>
    <xf applyAlignment="0" applyBorder="0" applyFill="0" applyNumberFormat="0" applyProtection="0" borderId="0" fillId="0" fontId="8" numFmtId="0"/>
  </cellStyleXfs>
  <cellXfs count="24">
    <xf borderId="0" fillId="0" fontId="0" numFmtId="0" xfId="0"/>
    <xf applyAlignment="1" applyBorder="1" applyFill="1" applyFont="1" borderId="1" fillId="2" fontId="3" numFmtId="0" xfId="0">
      <alignment horizontal="center"/>
    </xf>
    <xf applyAlignment="1" applyFill="1" applyFont="1" borderId="0" fillId="2" fontId="3" numFmtId="0" xfId="0">
      <alignment horizontal="center"/>
    </xf>
    <xf applyAlignment="1" applyBorder="1" applyFill="1" applyFont="1" borderId="3" fillId="2" fontId="3" numFmtId="0" xfId="0">
      <alignment horizontal="center"/>
    </xf>
    <xf applyAlignment="1" applyBorder="1" applyFill="1" applyFont="1" borderId="1" fillId="3" fontId="3" numFmtId="0" xfId="0">
      <alignment horizontal="center"/>
    </xf>
    <xf applyAlignment="1" applyBorder="1" applyFill="1" applyFont="1" borderId="9" fillId="4" fontId="4" numFmtId="0" xfId="0">
      <alignment horizontal="center" vertical="center"/>
    </xf>
    <xf applyAlignment="1" applyBorder="1" applyFill="1" applyFont="1" borderId="2" fillId="5" fontId="3" numFmtId="0" xfId="0">
      <alignment horizontal="center"/>
    </xf>
    <xf applyAlignment="1" applyFill="1" applyFont="1" borderId="0" fillId="5" fontId="3" numFmtId="0" xfId="0">
      <alignment horizontal="center"/>
    </xf>
    <xf applyAlignment="1" applyBorder="1" applyFill="1" applyFont="1" borderId="1" fillId="5" fontId="3" numFmtId="0" xfId="0">
      <alignment horizontal="center"/>
    </xf>
    <xf applyAlignment="1" applyBorder="1" applyFill="1" applyFont="1" borderId="1" fillId="5" fontId="3" numFmtId="0" xfId="0">
      <alignment horizontal="center" vertical="center"/>
    </xf>
    <xf applyAlignment="1" borderId="0" fillId="0" fontId="0" numFmtId="0" xfId="0">
      <alignment horizontal="center"/>
    </xf>
    <xf applyNumberFormat="1" borderId="0" fillId="0" fontId="0" numFmtId="49" xfId="0"/>
    <xf applyAlignment="1" applyBorder="1" applyFill="1" applyFont="1" applyNumberFormat="1" borderId="9" fillId="6" fontId="5" numFmtId="14" xfId="0">
      <alignment horizontal="center"/>
    </xf>
    <xf applyAlignment="1" applyBorder="1" applyFill="1" applyFont="1" borderId="9" fillId="6" fontId="5" numFmtId="0" xfId="0">
      <alignment horizontal="center"/>
    </xf>
    <xf applyAlignment="1" borderId="0" fillId="0" fontId="0" numFmtId="0" xfId="0">
      <alignment horizontal="left"/>
    </xf>
    <xf applyAlignment="1" applyBorder="1" applyFill="1" applyFont="1" applyNumberFormat="1" borderId="9" fillId="6" fontId="7" numFmtId="14" xfId="0">
      <alignment horizontal="center"/>
    </xf>
    <xf applyAlignment="1" applyBorder="1" applyFill="1" applyFont="1" borderId="9" fillId="6" fontId="7" numFmtId="0" xfId="0">
      <alignment horizontal="center"/>
    </xf>
    <xf borderId="0" fillId="0" fontId="8" numFmtId="0" xfId="3"/>
    <xf applyAlignment="1" applyBorder="1" applyFill="1" applyFont="1" borderId="4" fillId="4" fontId="4" numFmtId="0" xfId="0">
      <alignment horizontal="center" vertical="center"/>
    </xf>
    <xf applyAlignment="1" applyBorder="1" applyFill="1" applyFont="1" borderId="5" fillId="4" fontId="4" numFmtId="0" xfId="0">
      <alignment horizontal="center" vertical="center"/>
    </xf>
    <xf applyAlignment="1" applyBorder="1" applyFill="1" applyFont="1" borderId="6" fillId="4" fontId="4" numFmtId="0" xfId="0">
      <alignment horizontal="center" vertical="center"/>
    </xf>
    <xf applyAlignment="1" applyBorder="1" applyFill="1" applyFont="1" borderId="7" fillId="4" fontId="4" numFmtId="0" xfId="0">
      <alignment horizontal="center" vertical="center"/>
    </xf>
    <xf applyAlignment="1" applyBorder="1" applyFill="1" applyFont="1" borderId="8" fillId="4" fontId="4" numFmtId="0" xfId="0">
      <alignment horizontal="center" vertical="center"/>
    </xf>
    <xf applyAlignment="1" applyBorder="1" applyFill="1" applyFont="1" borderId="6" fillId="4" fontId="4" numFmtId="0" xfId="0">
      <alignment vertical="center"/>
    </xf>
  </cellXfs>
  <cellStyles count="4">
    <cellStyle builtinId="8" name="Hiperlink" xfId="3"/>
    <cellStyle builtinId="0" name="Normal" xfId="0"/>
    <cellStyle name="Normal 2" xfId="1" xr:uid="{6092E6CE-1D88-4708-8615-617FC051956B}"/>
    <cellStyle name="Normal 2 2" xfId="2" xr:uid="{426011DD-007C-47A0-A052-4AB327CDA7E7}"/>
  </cellStyles>
  <dxfs count="0"/>
  <tableStyles count="0" defaultPivotStyle="PivotStyleLight16" defaultTableStyle="TableStyleMedium2"/>
  <colors>
    <mruColors>
      <color rgb="FFFF9393"/>
      <color rgb="FFCC99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Relationship Id="rId7" Target="../customXml/item1.xml" Type="http://schemas.openxmlformats.org/officeDocument/2006/relationships/customXml"/><Relationship Id="rId8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mailto:denilson.inmetricsext@allpronet.com.br%20%20%20%20%20%20%20%20%20%20%20%20%20%20%20%20%20%20%20%20%20%20%20%20%20%20%20%20%20%20%20%20%20%20%20%20%20%20%20%20" TargetMode="External" Type="http://schemas.openxmlformats.org/officeDocument/2006/relationships/hyperlink"/><Relationship Id="rId2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AH2"/>
  <sheetViews>
    <sheetView tabSelected="1" topLeftCell="T1" workbookViewId="0" zoomScaleNormal="100">
      <pane activePane="bottomLeft" state="frozen" topLeftCell="A2" ySplit="1"/>
      <selection activeCell="J1" sqref="J1"/>
      <selection activeCell="W6" pane="bottomLeft" sqref="W6"/>
    </sheetView>
  </sheetViews>
  <sheetFormatPr defaultRowHeight="15" x14ac:dyDescent="0.25"/>
  <cols>
    <col min="1" max="1" bestFit="true" customWidth="true" width="22.85546875" collapsed="true"/>
    <col min="2" max="2" customWidth="true" width="15.0" collapsed="true"/>
    <col min="3" max="3" customWidth="true" width="14.85546875" collapsed="true"/>
    <col min="4" max="4" customWidth="true" width="16.140625" collapsed="true"/>
    <col min="5" max="5" customWidth="true" width="24.85546875" collapsed="true"/>
    <col min="6" max="6" customWidth="true" width="37.5703125" collapsed="true"/>
    <col min="7" max="7" customWidth="true" width="53.85546875" collapsed="true"/>
    <col min="8" max="8" customWidth="true" width="34.42578125" collapsed="true"/>
    <col min="9" max="9" customWidth="true" width="53.85546875" collapsed="true"/>
    <col min="10" max="10" customWidth="true" width="14.42578125" collapsed="true"/>
    <col min="11" max="11" bestFit="true" customWidth="true" width="22.140625" collapsed="true"/>
    <col min="12" max="12" bestFit="true" customWidth="true" width="51.0" collapsed="true"/>
    <col min="13" max="13" customWidth="true" width="51.0" collapsed="true"/>
    <col min="14" max="14" bestFit="true" customWidth="true" width="47.85546875" collapsed="true"/>
    <col min="15" max="16" bestFit="true" customWidth="true" width="11.28515625" collapsed="true"/>
    <col min="17" max="17" bestFit="true" customWidth="true" width="26.42578125" collapsed="true"/>
    <col min="18" max="18" customWidth="true" width="26.42578125" collapsed="true"/>
    <col min="19" max="19" bestFit="true" customWidth="true" width="65.5703125" collapsed="true"/>
    <col min="20" max="20" bestFit="true" customWidth="true" width="26.7109375" collapsed="true"/>
    <col min="21" max="21" bestFit="true" customWidth="true" width="23.140625" collapsed="true"/>
    <col min="22" max="22" bestFit="true" customWidth="true" width="24.85546875" collapsed="true"/>
    <col min="23" max="23" bestFit="true" customWidth="true" width="23.140625" collapsed="true"/>
    <col min="24" max="24" bestFit="true" customWidth="true" width="24.85546875" collapsed="true"/>
    <col min="25" max="25" bestFit="true" customWidth="true" width="20.140625" collapsed="true"/>
    <col min="26" max="26" bestFit="true" customWidth="true" width="22.0" collapsed="true"/>
    <col min="27" max="27" bestFit="true" customWidth="true" width="12.5703125" collapsed="true"/>
    <col min="28" max="28" bestFit="true" customWidth="true" width="34.5703125" collapsed="true"/>
    <col min="29" max="29" bestFit="true" customWidth="true" width="25.140625" collapsed="true"/>
    <col min="30" max="30" bestFit="true" customWidth="true" width="15.42578125" collapsed="true"/>
    <col min="31" max="31" bestFit="true" customWidth="true" width="29.5703125" collapsed="true"/>
    <col min="32" max="32" bestFit="true" customWidth="true" width="61.140625" collapsed="true"/>
    <col min="33" max="33" bestFit="true" customWidth="true" width="48.85546875" collapsed="true"/>
  </cols>
  <sheetData>
    <row r="1" spans="1:33" x14ac:dyDescent="0.25">
      <c r="A1" s="1" t="s">
        <v>47</v>
      </c>
      <c r="B1" s="1" t="s">
        <v>0</v>
      </c>
      <c r="C1" s="6" t="s">
        <v>1</v>
      </c>
      <c r="D1" s="7" t="s">
        <v>2</v>
      </c>
      <c r="E1" s="2" t="s">
        <v>3</v>
      </c>
      <c r="F1" s="3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29</v>
      </c>
      <c r="L1" s="1" t="s">
        <v>9</v>
      </c>
      <c r="M1" s="1" t="s">
        <v>36</v>
      </c>
      <c r="N1" s="1" t="s">
        <v>10</v>
      </c>
      <c r="O1" s="1" t="s">
        <v>35</v>
      </c>
      <c r="P1" s="1" t="s">
        <v>37</v>
      </c>
      <c r="Q1" s="1" t="s">
        <v>38</v>
      </c>
      <c r="R1" s="1" t="s">
        <v>39</v>
      </c>
      <c r="S1" s="1" t="s">
        <v>40</v>
      </c>
      <c r="T1" s="1" t="s">
        <v>48</v>
      </c>
      <c r="U1" s="8" t="s">
        <v>11</v>
      </c>
      <c r="V1" s="9" t="s">
        <v>12</v>
      </c>
      <c r="W1" s="8" t="s">
        <v>13</v>
      </c>
      <c r="X1" s="8" t="s">
        <v>14</v>
      </c>
      <c r="Y1" s="8" t="s">
        <v>15</v>
      </c>
      <c r="Z1" s="8" t="s">
        <v>16</v>
      </c>
      <c r="AA1" s="4" t="s">
        <v>17</v>
      </c>
      <c r="AB1" s="4" t="s">
        <v>27</v>
      </c>
      <c r="AC1" s="4" t="s">
        <v>28</v>
      </c>
      <c r="AD1" s="4" t="s">
        <v>18</v>
      </c>
      <c r="AE1" s="4" t="s">
        <v>19</v>
      </c>
      <c r="AF1" s="4" t="s">
        <v>20</v>
      </c>
      <c r="AG1" s="4" t="s">
        <v>21</v>
      </c>
    </row>
    <row r="2" spans="1:33" x14ac:dyDescent="0.25">
      <c r="A2" s="10" t="s">
        <v>56</v>
      </c>
      <c r="B2" s="10" t="s">
        <v>49</v>
      </c>
      <c r="C2" s="10"/>
      <c r="D2" s="10" t="s">
        <v>58</v>
      </c>
      <c r="E2" s="10" t="s">
        <v>50</v>
      </c>
      <c r="F2" s="10" t="s">
        <v>41</v>
      </c>
      <c r="H2" s="10" t="s">
        <v>41</v>
      </c>
      <c r="J2" s="10" t="s">
        <v>44</v>
      </c>
      <c r="K2" s="10" t="s">
        <v>42</v>
      </c>
      <c r="L2" t="s">
        <v>51</v>
      </c>
      <c r="M2" t="s">
        <v>43</v>
      </c>
      <c r="N2" s="17" t="s">
        <v>65</v>
      </c>
      <c r="O2" s="10" t="s">
        <v>45</v>
      </c>
      <c r="P2" s="10" t="s">
        <v>52</v>
      </c>
      <c r="Q2" s="10" t="s">
        <v>53</v>
      </c>
      <c r="R2" s="14" t="s">
        <v>46</v>
      </c>
      <c r="S2" s="14" t="s">
        <v>54</v>
      </c>
      <c r="T2" s="14" t="s">
        <v>55</v>
      </c>
      <c r="U2" s="10" t="s">
        <v>57</v>
      </c>
      <c r="V2" s="10" t="s">
        <v>58</v>
      </c>
      <c r="W2" s="10" t="s">
        <v>57</v>
      </c>
      <c r="X2" s="10" t="s">
        <v>58</v>
      </c>
      <c r="Y2" s="10" t="s">
        <v>57</v>
      </c>
      <c r="Z2" s="10" t="s">
        <v>58</v>
      </c>
      <c r="AA2" s="11" t="s">
        <v>42</v>
      </c>
      <c r="AB2" s="11" t="s">
        <v>59</v>
      </c>
      <c r="AC2" s="11" t="s">
        <v>60</v>
      </c>
      <c r="AD2" s="11" t="s">
        <v>61</v>
      </c>
      <c r="AE2" s="11" t="s">
        <v>62</v>
      </c>
      <c r="AF2" s="11" t="s">
        <v>63</v>
      </c>
      <c r="AG2" s="11" t="s">
        <v>64</v>
      </c>
    </row>
  </sheetData>
  <autoFilter ref="A1:AG2" xr:uid="{00000000-0001-0000-0000-000000000000}">
    <sortState xmlns:xlrd2="http://schemas.microsoft.com/office/spreadsheetml/2017/richdata2" ref="A2:AG2">
      <sortCondition ref="B2"/>
      <sortCondition ref="O2"/>
    </sortState>
  </autoFilter>
  <hyperlinks>
    <hyperlink display="denilson.inmetricsext@allpronet.com.br                                        " r:id="rId1" ref="N2" xr:uid="{B3DE2252-BBFD-41ED-96D3-D35027D93843}"/>
  </hyperlinks>
  <pageMargins bottom="0.78740157499999996" footer="0.31496062000000002" header="0.31496062000000002" left="0.511811024" right="0.511811024" top="0.78740157499999996"/>
  <pageSetup orientation="portrait" paperSize="9" r:id="rId2"/>
  <headerFooter>
    <oddFooter><![CDATA[&L&"Calibri,Regular"&08&B&K7F7F7FClassificação Allianz:&K595959 &K7F7F7FINTERNO]]></oddFooter>
    <evenFooter><![CDATA[&L&"Calibri,Regular"&08&B&K7F7F7FClassificação Allianz:&K595959 &K7F7F7FINTERNO]]></evenFooter>
    <firstFooter><![CDATA[&L&"Calibri,Regular"&08&B&K7F7F7FClassificação Allianz:&K595959 &K7F7F7FINTERN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D33"/>
  <sheetViews>
    <sheetView workbookViewId="0" zoomScaleNormal="100">
      <selection sqref="A1:C1"/>
    </sheetView>
  </sheetViews>
  <sheetFormatPr defaultRowHeight="15" x14ac:dyDescent="0.25"/>
  <cols>
    <col min="1" max="3" customWidth="true" width="19.85546875" collapsed="true"/>
  </cols>
  <sheetData>
    <row ht="15.75" r="1" spans="1:3" thickBot="1" x14ac:dyDescent="0.3">
      <c r="A1" s="18" t="s">
        <v>26</v>
      </c>
      <c r="B1" s="19"/>
      <c r="C1" s="20"/>
    </row>
    <row ht="15.75" r="2" spans="1:3" thickBot="1" x14ac:dyDescent="0.3">
      <c r="A2" s="21" t="s">
        <v>22</v>
      </c>
      <c r="B2" s="18" t="s">
        <v>23</v>
      </c>
      <c r="C2" s="23"/>
    </row>
    <row ht="15.75" r="3" spans="1:3" thickBot="1" x14ac:dyDescent="0.3">
      <c r="A3" s="22"/>
      <c r="B3" s="5" t="s">
        <v>24</v>
      </c>
      <c r="C3" s="5" t="s">
        <v>25</v>
      </c>
    </row>
    <row ht="15.75" r="4" spans="1:3" thickBot="1" x14ac:dyDescent="0.3">
      <c r="A4" s="15">
        <v>46327</v>
      </c>
      <c r="B4" s="15">
        <v>46315</v>
      </c>
      <c r="C4" s="16" t="s">
        <v>31</v>
      </c>
    </row>
    <row ht="15.75" r="5" spans="1:3" thickBot="1" x14ac:dyDescent="0.3">
      <c r="A5" s="15">
        <v>46328</v>
      </c>
      <c r="B5" s="15">
        <v>46315</v>
      </c>
      <c r="C5" s="16" t="s">
        <v>31</v>
      </c>
    </row>
    <row ht="15.75" r="6" spans="1:3" thickBot="1" x14ac:dyDescent="0.3">
      <c r="A6" s="15">
        <v>46329</v>
      </c>
      <c r="B6" s="15">
        <v>46315</v>
      </c>
      <c r="C6" s="16" t="s">
        <v>31</v>
      </c>
    </row>
    <row ht="15.75" r="7" spans="1:3" thickBot="1" x14ac:dyDescent="0.3">
      <c r="A7" s="15">
        <v>46330</v>
      </c>
      <c r="B7" s="15">
        <f ref="B7:B31" si="0" t="shared">A7-15</f>
        <v>46315</v>
      </c>
      <c r="C7" s="16" t="s">
        <v>31</v>
      </c>
    </row>
    <row ht="15.75" r="8" spans="1:3" thickBot="1" x14ac:dyDescent="0.3">
      <c r="A8" s="12">
        <v>46331</v>
      </c>
      <c r="B8" s="12">
        <f si="0" t="shared"/>
        <v>46316</v>
      </c>
      <c r="C8" s="13" t="s">
        <v>32</v>
      </c>
    </row>
    <row ht="15.75" r="9" spans="1:3" thickBot="1" x14ac:dyDescent="0.3">
      <c r="A9" s="12">
        <v>46332</v>
      </c>
      <c r="B9" s="12">
        <f si="0" t="shared"/>
        <v>46317</v>
      </c>
      <c r="C9" s="13" t="s">
        <v>33</v>
      </c>
    </row>
    <row ht="15.75" r="10" spans="1:3" thickBot="1" x14ac:dyDescent="0.3">
      <c r="A10" s="15">
        <v>46333</v>
      </c>
      <c r="B10" s="15">
        <f si="0" t="shared"/>
        <v>46318</v>
      </c>
      <c r="C10" s="16" t="s">
        <v>34</v>
      </c>
    </row>
    <row ht="15.75" r="11" spans="1:3" thickBot="1" x14ac:dyDescent="0.3">
      <c r="A11" s="15">
        <v>46334</v>
      </c>
      <c r="B11" s="15">
        <v>46318</v>
      </c>
      <c r="C11" s="16" t="s">
        <v>34</v>
      </c>
    </row>
    <row ht="15.75" r="12" spans="1:3" thickBot="1" x14ac:dyDescent="0.3">
      <c r="A12" s="15">
        <v>46335</v>
      </c>
      <c r="B12" s="15">
        <v>46318</v>
      </c>
      <c r="C12" s="16" t="s">
        <v>34</v>
      </c>
    </row>
    <row ht="15.75" r="13" spans="1:3" thickBot="1" x14ac:dyDescent="0.3">
      <c r="A13" s="12">
        <v>46336</v>
      </c>
      <c r="B13" s="12">
        <f si="0" t="shared"/>
        <v>46321</v>
      </c>
      <c r="C13" s="13" t="s">
        <v>30</v>
      </c>
    </row>
    <row ht="15.75" r="14" spans="1:3" thickBot="1" x14ac:dyDescent="0.3">
      <c r="A14" s="12">
        <v>46337</v>
      </c>
      <c r="B14" s="12">
        <f si="0" t="shared"/>
        <v>46322</v>
      </c>
      <c r="C14" s="13" t="s">
        <v>31</v>
      </c>
    </row>
    <row ht="15.75" r="15" spans="1:3" thickBot="1" x14ac:dyDescent="0.3">
      <c r="A15" s="12">
        <v>46338</v>
      </c>
      <c r="B15" s="12">
        <f si="0" t="shared"/>
        <v>46323</v>
      </c>
      <c r="C15" s="13" t="s">
        <v>32</v>
      </c>
    </row>
    <row ht="15.75" r="16" spans="1:3" thickBot="1" x14ac:dyDescent="0.3">
      <c r="A16" s="12">
        <v>46339</v>
      </c>
      <c r="B16" s="12">
        <f si="0" t="shared"/>
        <v>46324</v>
      </c>
      <c r="C16" s="13" t="s">
        <v>33</v>
      </c>
    </row>
    <row ht="15.75" r="17" spans="1:3" thickBot="1" x14ac:dyDescent="0.3">
      <c r="A17" s="15">
        <v>46340</v>
      </c>
      <c r="B17" s="15">
        <f si="0" t="shared"/>
        <v>46325</v>
      </c>
      <c r="C17" s="16" t="s">
        <v>34</v>
      </c>
    </row>
    <row ht="15.75" r="18" spans="1:3" thickBot="1" x14ac:dyDescent="0.3">
      <c r="A18" s="15">
        <v>46341</v>
      </c>
      <c r="B18" s="15">
        <v>46325</v>
      </c>
      <c r="C18" s="16" t="s">
        <v>34</v>
      </c>
    </row>
    <row ht="15.75" r="19" spans="1:3" thickBot="1" x14ac:dyDescent="0.3">
      <c r="A19" s="15">
        <v>46342</v>
      </c>
      <c r="B19" s="15">
        <v>46325</v>
      </c>
      <c r="C19" s="16" t="s">
        <v>34</v>
      </c>
    </row>
    <row ht="15.75" r="20" spans="1:3" thickBot="1" x14ac:dyDescent="0.3">
      <c r="A20" s="15">
        <v>46343</v>
      </c>
      <c r="B20" s="15">
        <v>46325</v>
      </c>
      <c r="C20" s="16" t="s">
        <v>34</v>
      </c>
    </row>
    <row ht="15.75" r="21" spans="1:3" thickBot="1" x14ac:dyDescent="0.3">
      <c r="A21" s="12">
        <v>46344</v>
      </c>
      <c r="B21" s="12">
        <f si="0" t="shared"/>
        <v>46329</v>
      </c>
      <c r="C21" s="13" t="s">
        <v>31</v>
      </c>
    </row>
    <row ht="15.75" r="22" spans="1:3" thickBot="1" x14ac:dyDescent="0.3">
      <c r="A22" s="12">
        <v>46345</v>
      </c>
      <c r="B22" s="12">
        <f si="0" t="shared"/>
        <v>46330</v>
      </c>
      <c r="C22" s="13" t="s">
        <v>32</v>
      </c>
    </row>
    <row ht="15.75" r="23" spans="1:3" thickBot="1" x14ac:dyDescent="0.3">
      <c r="A23" s="12">
        <v>46346</v>
      </c>
      <c r="B23" s="12">
        <f si="0" t="shared"/>
        <v>46331</v>
      </c>
      <c r="C23" s="13" t="s">
        <v>33</v>
      </c>
    </row>
    <row ht="15.75" r="24" spans="1:3" thickBot="1" x14ac:dyDescent="0.3">
      <c r="A24" s="15">
        <v>46347</v>
      </c>
      <c r="B24" s="15">
        <f si="0" t="shared"/>
        <v>46332</v>
      </c>
      <c r="C24" s="16" t="s">
        <v>34</v>
      </c>
    </row>
    <row ht="15.75" r="25" spans="1:3" thickBot="1" x14ac:dyDescent="0.3">
      <c r="A25" s="15">
        <v>46348</v>
      </c>
      <c r="B25" s="15">
        <v>46332</v>
      </c>
      <c r="C25" s="16" t="s">
        <v>34</v>
      </c>
    </row>
    <row ht="15.75" r="26" spans="1:3" thickBot="1" x14ac:dyDescent="0.3">
      <c r="A26" s="15">
        <v>46349</v>
      </c>
      <c r="B26" s="15">
        <v>46332</v>
      </c>
      <c r="C26" s="16" t="s">
        <v>34</v>
      </c>
    </row>
    <row ht="15.75" r="27" spans="1:3" thickBot="1" x14ac:dyDescent="0.3">
      <c r="A27" s="12">
        <v>46350</v>
      </c>
      <c r="B27" s="12">
        <f si="0" t="shared"/>
        <v>46335</v>
      </c>
      <c r="C27" s="13" t="s">
        <v>30</v>
      </c>
    </row>
    <row ht="15.75" r="28" spans="1:3" thickBot="1" x14ac:dyDescent="0.3">
      <c r="A28" s="12">
        <v>46351</v>
      </c>
      <c r="B28" s="12">
        <f si="0" t="shared"/>
        <v>46336</v>
      </c>
      <c r="C28" s="13" t="s">
        <v>31</v>
      </c>
    </row>
    <row ht="15.75" r="29" spans="1:3" thickBot="1" x14ac:dyDescent="0.3">
      <c r="A29" s="12">
        <v>46352</v>
      </c>
      <c r="B29" s="12">
        <f si="0" t="shared"/>
        <v>46337</v>
      </c>
      <c r="C29" s="13" t="s">
        <v>32</v>
      </c>
    </row>
    <row ht="15.75" r="30" spans="1:3" thickBot="1" x14ac:dyDescent="0.3">
      <c r="A30" s="12">
        <v>46353</v>
      </c>
      <c r="B30" s="12">
        <f si="0" t="shared"/>
        <v>46338</v>
      </c>
      <c r="C30" s="13" t="s">
        <v>33</v>
      </c>
    </row>
    <row ht="15.75" r="31" spans="1:3" thickBot="1" x14ac:dyDescent="0.3">
      <c r="A31" s="15">
        <v>46354</v>
      </c>
      <c r="B31" s="15">
        <f si="0" t="shared"/>
        <v>46339</v>
      </c>
      <c r="C31" s="16" t="s">
        <v>34</v>
      </c>
    </row>
    <row ht="15.75" r="32" spans="1:3" thickBot="1" x14ac:dyDescent="0.3">
      <c r="A32" s="15">
        <v>46355</v>
      </c>
      <c r="B32" s="15">
        <v>46339</v>
      </c>
      <c r="C32" s="16" t="s">
        <v>34</v>
      </c>
    </row>
    <row ht="15.75" r="33" spans="1:3" thickBot="1" x14ac:dyDescent="0.3">
      <c r="A33" s="15">
        <v>46356</v>
      </c>
      <c r="B33" s="15">
        <v>46339</v>
      </c>
      <c r="C33" s="16" t="s">
        <v>34</v>
      </c>
    </row>
  </sheetData>
  <mergeCells count="3">
    <mergeCell ref="A1:C1"/>
    <mergeCell ref="A2:A3"/>
    <mergeCell ref="B2:C2"/>
  </mergeCells>
  <phoneticPr fontId="6" type="noConversion"/>
  <printOptions horizontalCentered="1"/>
  <pageMargins bottom="0.78740157480314965" footer="0.31496062992125984" header="0.31496062992125984" left="0.51181102362204722" right="0.51181102362204722" top="0.78740157480314965"/>
  <pageSetup orientation="portrait" paperSize="9" r:id="rId1"/>
  <headerFooter>
    <oddFooter><![CDATA[&L&"Calibri,Regular"&08&B&K7F7F7FClassificação Allianz:&K595959 &K7F7F7FINTERNO]]></oddFooter>
    <evenFooter><![CDATA[&L&"Calibri,Regular"&08&B&K7F7F7FClassificação Allianz:&K595959 &K7F7F7FINTERNO]]></evenFooter>
    <firstFooter><![CDATA[&L&"Calibri,Regular"&08&B&K7F7F7FClassificação Allianz:&K595959 &K7F7F7FINTERNO]]></first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UwMjdiYTAxLWUyMjEtNDY1MC04N2M5LWI4ZWVkYTFmZWIyZiIgdmFsdWU9IiIgeG1sbnM9Imh0dHA6Ly93d3cuYm9sZG9uamFtZXMuY29tLzIwMDgvMDEvc2llL2ludGVybmFsL2xhYmVsIiAvPjwvc2lzbD48VXNlck5hbWU+QUxMSUFOWlxCRTAwMTUxPC9Vc2VyTmFtZT48RGF0ZVRpbWU+MTQvMDYvMjAxOSAxMToxMDo1MDwvRGF0ZVRpbWU+PExhYmVsU3RyaW5nPiAgICAgICAxNC8wNi8yMDE5ICBJTlRFUk5PICA8L0xhYmVsU3RyaW5nPjwvaXRlbT48L2xhYmVsSGlzdG9yeT4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5027ba01-e221-4650-87c9-b8eeda1feb2f" value=""/>
</sisl>
</file>

<file path=customXml/itemProps1.xml><?xml version="1.0" encoding="utf-8"?>
<ds:datastoreItem xmlns:ds="http://schemas.openxmlformats.org/officeDocument/2006/customXml" ds:itemID="{A3022B87-2BBC-49A0-87FA-77D3FACDF58A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AF33CF6-F732-4228-AD81-1E86AA894676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4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baseType="lpstr" size="3">
      <vt:lpstr>RenovaSantander</vt:lpstr>
      <vt:lpstr>Cronograma</vt:lpstr>
      <vt:lpstr>Cronograma!Area_de_impressao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2019-04-16T18:13:59Z</dcterms:created>
  <dc:creator>Andre Rodrigues Antunes</dc:creator>
  <cp:lastModifiedBy>DIAS, DENILSON (ALLIANZ SEGUROS S A)</cp:lastModifiedBy>
  <cp:lastPrinted>2020-03-16T19:25:35Z</cp:lastPrinted>
  <dcterms:modified xsi:type="dcterms:W3CDTF">2026-10-20T14:18:28Z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351b3bbb-869c-4d34-9fa1-fa4d5c7395f8</vt:lpwstr>
  </property>
  <property fmtid="{D5CDD505-2E9C-101B-9397-08002B2CF9AE}" name="bjSaver" pid="3">
    <vt:lpwstr>VKL17fUGl7d4b5GpguuTapIeIeZTP1Ht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{A3022B87-2BBC-49A0-87FA-77D3FACDF58A}</vt:lpwstr>
  </property>
  <property fmtid="{D5CDD505-2E9C-101B-9397-08002B2CF9AE}" name="bjLeftFooterLabel-first" pid="6">
    <vt:lpwstr><![CDATA[&"Calibri,Regular"&08&B&K7F7F7FClassificação Allianz:&K595959 &K7F7F7FINTERNO]]></vt:lpwstr>
  </property>
  <property fmtid="{D5CDD505-2E9C-101B-9397-08002B2CF9AE}" name="bjLeftFooterLabel-even" pid="7">
    <vt:lpwstr><![CDATA[&"Calibri,Regular"&08&B&K7F7F7FClassificação Allianz:&K595959 &K7F7F7FINTERNO]]></vt:lpwstr>
  </property>
  <property fmtid="{D5CDD505-2E9C-101B-9397-08002B2CF9AE}" name="bjLeftFooterLabel" pid="8">
    <vt:lpwstr><![CDATA[&"Calibri,Regular"&08&B&K7F7F7FClassificação Allianz:&K595959 &K7F7F7FINTERN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uid="5027ba01-e221-4650-87c9-b8eeda1feb2f" value="" /&gt;&lt;/sisl&gt;</vt:lpwstr>
  </property>
  <property fmtid="{D5CDD505-2E9C-101B-9397-08002B2CF9AE}" name="bjDocumentSecurityLabel" pid="11">
    <vt:lpwstr>       24/09/2021  INTERNO  </vt:lpwstr>
  </property>
  <property fmtid="{D5CDD505-2E9C-101B-9397-08002B2CF9AE}" name="MSIP_Label_ce5f591a-3248-43e9-9b70-1ad50135772d_Enabled" pid="12">
    <vt:lpwstr>true</vt:lpwstr>
  </property>
  <property fmtid="{D5CDD505-2E9C-101B-9397-08002B2CF9AE}" name="MSIP_Label_ce5f591a-3248-43e9-9b70-1ad50135772d_SetDate" pid="13">
    <vt:lpwstr>2022-01-27T18:08:16Z</vt:lpwstr>
  </property>
  <property fmtid="{D5CDD505-2E9C-101B-9397-08002B2CF9AE}" name="MSIP_Label_ce5f591a-3248-43e9-9b70-1ad50135772d_Method" pid="14">
    <vt:lpwstr>Privileged</vt:lpwstr>
  </property>
  <property fmtid="{D5CDD505-2E9C-101B-9397-08002B2CF9AE}" name="MSIP_Label_ce5f591a-3248-43e9-9b70-1ad50135772d_Name" pid="15">
    <vt:lpwstr>ce5f591a-3248-43e9-9b70-1ad50135772d</vt:lpwstr>
  </property>
  <property fmtid="{D5CDD505-2E9C-101B-9397-08002B2CF9AE}" name="MSIP_Label_ce5f591a-3248-43e9-9b70-1ad50135772d_SiteId" pid="16">
    <vt:lpwstr>6e06e42d-6925-47c6-b9e7-9581c7ca302a</vt:lpwstr>
  </property>
  <property fmtid="{D5CDD505-2E9C-101B-9397-08002B2CF9AE}" name="MSIP_Label_ce5f591a-3248-43e9-9b70-1ad50135772d_ActionId" pid="17">
    <vt:lpwstr>3a2fd6b0-b4db-4289-b099-39b78d46df08</vt:lpwstr>
  </property>
  <property fmtid="{D5CDD505-2E9C-101B-9397-08002B2CF9AE}" name="MSIP_Label_ce5f591a-3248-43e9-9b70-1ad50135772d_ContentBits" pid="18">
    <vt:lpwstr>0</vt:lpwstr>
  </property>
  <property fmtid="{D5CDD505-2E9C-101B-9397-08002B2CF9AE}" name="_AdHocReviewCycleID" pid="19">
    <vt:i4>875283219</vt:i4>
  </property>
  <property fmtid="{D5CDD505-2E9C-101B-9397-08002B2CF9AE}" name="_NewReviewCycle" pid="20">
    <vt:lpwstr/>
  </property>
  <property fmtid="{D5CDD505-2E9C-101B-9397-08002B2CF9AE}" name="_EmailSubject" pid="21">
    <vt:lpwstr>Nova planilha Santander - Ajustes de coluna nova e email 15d</vt:lpwstr>
  </property>
  <property fmtid="{D5CDD505-2E9C-101B-9397-08002B2CF9AE}" name="_AuthorEmail" pid="22">
    <vt:lpwstr>andre.antunes@allianz.com.br</vt:lpwstr>
  </property>
  <property fmtid="{D5CDD505-2E9C-101B-9397-08002B2CF9AE}" name="_AuthorEmailDisplayName" pid="23">
    <vt:lpwstr>ANTUNES, ANDRE (ALLIANZSEGUROS S/A)</vt:lpwstr>
  </property>
  <property fmtid="{D5CDD505-2E9C-101B-9397-08002B2CF9AE}" name="_ReviewingToolsShownOnce" pid="24">
    <vt:lpwstr/>
  </property>
</Properties>
</file>