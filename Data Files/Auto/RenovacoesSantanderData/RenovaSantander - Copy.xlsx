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ublic\RPA_ALLIANZ\Data Files\Auto\RenovacoesSantanderData\"/>
    </mc:Choice>
  </mc:AlternateContent>
  <xr:revisionPtr revIDLastSave="0" documentId="13_ncr:1_{7C0CD51D-9C4D-473A-A81E-3B1EAF7F3A7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novaSantander" sheetId="1" r:id="rId1"/>
    <sheet name="Cronograma" sheetId="2" r:id="rId2"/>
  </sheets>
  <definedNames>
    <definedName name="_xlnm._FilterDatabase" localSheetId="0" hidden="1">RenovaSantander!$A$1:$AF$2</definedName>
    <definedName name="_xlnm.Print_Area" localSheetId="1">Cronograma!$A$1:$C$31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4" i="2" l="1"/>
  <c r="B33" i="2"/>
  <c r="B32" i="2"/>
  <c r="B31" i="2"/>
  <c r="B30" i="2"/>
  <c r="B27" i="2"/>
  <c r="B26" i="2"/>
  <c r="B25" i="2"/>
  <c r="B24" i="2"/>
  <c r="B23" i="2"/>
  <c r="B20" i="2"/>
  <c r="B18" i="2"/>
  <c r="B17" i="2"/>
  <c r="B16" i="2"/>
  <c r="B13" i="2"/>
  <c r="B11" i="2"/>
  <c r="B10" i="2"/>
  <c r="B9" i="2"/>
  <c r="B6" i="2"/>
  <c r="B5" i="2"/>
  <c r="B4" i="2"/>
</calcChain>
</file>

<file path=xl/sharedStrings.xml><?xml version="1.0" encoding="utf-8"?>
<sst xmlns="http://schemas.openxmlformats.org/spreadsheetml/2006/main" count="128" uniqueCount="71">
  <si>
    <t>APOLICE ANTERIOR</t>
  </si>
  <si>
    <t>FINAL_VIG</t>
  </si>
  <si>
    <t>EXECUTAR</t>
  </si>
  <si>
    <t>EXECUTADO</t>
  </si>
  <si>
    <t>PROPOSTA ANTERIOR</t>
  </si>
  <si>
    <t>COD. GRUPO SEGURADO ANTERIOR</t>
  </si>
  <si>
    <t>GRUPO SEGURADO ANTERIOR</t>
  </si>
  <si>
    <t>COD. GRUPO SEGURADO ATUAL</t>
  </si>
  <si>
    <t>GRUPO SEGURADO ATUAL</t>
  </si>
  <si>
    <t>PARCELAS</t>
  </si>
  <si>
    <t>SEGURADO</t>
  </si>
  <si>
    <t>E-mail</t>
  </si>
  <si>
    <t>Carta (-30d) - Enviar</t>
  </si>
  <si>
    <t>Carta (-30d) - Enviado</t>
  </si>
  <si>
    <t>Carta (-15d) - Enviar</t>
  </si>
  <si>
    <t>Carta (-15d) - Enviado</t>
  </si>
  <si>
    <t>Carta NR - Enviar</t>
  </si>
  <si>
    <t>Carta NR - Enviado</t>
  </si>
  <si>
    <t>PACOTE</t>
  </si>
  <si>
    <t>PROPOSTA</t>
  </si>
  <si>
    <t>APOLICE EMITIDA</t>
  </si>
  <si>
    <t>ALERTA</t>
  </si>
  <si>
    <t>LOG</t>
  </si>
  <si>
    <t>Início de Vigência</t>
  </si>
  <si>
    <t>Executar</t>
  </si>
  <si>
    <t>Dia Mês</t>
  </si>
  <si>
    <t>Dia Semana</t>
  </si>
  <si>
    <t>Emissão da renovação / Envio da carta de apólice renovada (-15d)</t>
  </si>
  <si>
    <t>PREMIO LIQ. APOLICE ANTERIOR</t>
  </si>
  <si>
    <t>PREMIO TOTAL ATUAL</t>
  </si>
  <si>
    <t>PACOTE ANTERIOR</t>
  </si>
  <si>
    <t>Segunda-feira</t>
  </si>
  <si>
    <t>Terça-feira</t>
  </si>
  <si>
    <t>Quarta-feira</t>
  </si>
  <si>
    <t>Quinta-feira</t>
  </si>
  <si>
    <t>Sexta-feira</t>
  </si>
  <si>
    <t>RAMO</t>
  </si>
  <si>
    <t>NOME SOCIAL</t>
  </si>
  <si>
    <t>PLACA</t>
  </si>
  <si>
    <t>COD_MARCA_MODELO</t>
  </si>
  <si>
    <t>DS_MODELO</t>
  </si>
  <si>
    <t>VERSAO</t>
  </si>
  <si>
    <t>2004</t>
  </si>
  <si>
    <t>Básico</t>
  </si>
  <si>
    <t xml:space="preserve"> </t>
  </si>
  <si>
    <t/>
  </si>
  <si>
    <t>CIVIC SEDAN</t>
  </si>
  <si>
    <t>CORRENTISTA - SEG. VAN GOGH</t>
  </si>
  <si>
    <t>N</t>
  </si>
  <si>
    <t>SPORT 2.0 16V CVT FLEX Aut. 4p</t>
  </si>
  <si>
    <t>x</t>
  </si>
  <si>
    <t>5177202551310058684</t>
  </si>
  <si>
    <t>003449889619</t>
  </si>
  <si>
    <t>YURI ANDERSON DA SILVA COUTINHO</t>
  </si>
  <si>
    <t>yurycouti@hotmail.com</t>
  </si>
  <si>
    <t>POF4I14</t>
  </si>
  <si>
    <t>R$ 3.282,44</t>
  </si>
  <si>
    <t>R$ 1.832,66</t>
  </si>
  <si>
    <t>135894986 / 0 / 0</t>
  </si>
  <si>
    <t>5177-2025-51-31-2756045/000000</t>
  </si>
  <si>
    <t>EMISSÃO REALIZADA : 1211-AUTOMÓVEL [540772287]</t>
  </si>
  <si>
    <t>5177202451312453112</t>
  </si>
  <si>
    <t>003453905092</t>
  </si>
  <si>
    <t>2008</t>
  </si>
  <si>
    <t>FOPA + SEG. SELECT E PRIVATE</t>
  </si>
  <si>
    <t>CLEIDE COMI</t>
  </si>
  <si>
    <t>cleivomi2016@gmail.com</t>
  </si>
  <si>
    <t>PZJ5704</t>
  </si>
  <si>
    <t>LOGAN</t>
  </si>
  <si>
    <t>Expression 1.6 16V SCe Flex 4p</t>
  </si>
  <si>
    <t>Status 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</si>
</sst>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0070C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393"/>
        <bgColor indexed="64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/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37">
    <xf numFmtId="0" fontId="0" fillId="0" borderId="0" xfId="0"/>
    <xf numFmtId="0" fontId="3" fillId="2" borderId="1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4" borderId="9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3" fillId="5" borderId="0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14" fontId="5" fillId="6" borderId="9" xfId="0" applyNumberFormat="1" applyFont="1" applyFill="1" applyBorder="1" applyAlignment="1">
      <alignment horizontal="center"/>
    </xf>
    <xf numFmtId="0" fontId="5" fillId="6" borderId="9" xfId="0" applyFont="1" applyFill="1" applyBorder="1" applyAlignment="1">
      <alignment horizontal="center"/>
    </xf>
    <xf numFmtId="14" fontId="7" fillId="6" borderId="9" xfId="0" applyNumberFormat="1" applyFont="1" applyFill="1" applyBorder="1" applyAlignment="1">
      <alignment horizontal="center"/>
    </xf>
    <xf numFmtId="0" fontId="7" fillId="6" borderId="9" xfId="0" applyFont="1" applyFill="1" applyBorder="1" applyAlignment="1">
      <alignment horizontal="center"/>
    </xf>
    <xf numFmtId="14" fontId="8" fillId="6" borderId="9" xfId="0" applyNumberFormat="1" applyFont="1" applyFill="1" applyBorder="1" applyAlignment="1">
      <alignment horizontal="center"/>
    </xf>
    <xf numFmtId="0" fontId="8" fillId="6" borderId="9" xfId="0" applyFont="1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left"/>
    </xf>
    <xf numFmtId="49" fontId="0" fillId="7" borderId="0" xfId="0" applyNumberFormat="1" applyFill="1"/>
    <xf numFmtId="49" fontId="0" fillId="0" borderId="0" xfId="0" applyNumberFormat="1"/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vertical="center"/>
    </xf>
    <xf numFmtId="0" fontId="0" fillId="8" borderId="0" xfId="0" applyFill="1" applyAlignment="1">
      <alignment horizontal="center"/>
    </xf>
    <xf numFmtId="0" fontId="0" fillId="8" borderId="0" xfId="0" applyFill="1"/>
    <xf numFmtId="0" fontId="0" fillId="8" borderId="0" xfId="0" applyFill="1" applyAlignment="1">
      <alignment horizontal="left"/>
    </xf>
    <xf numFmtId="49" fontId="0" fillId="8" borderId="0" xfId="0" applyNumberFormat="1" applyFill="1"/>
    <xf numFmtId="0" fontId="0" fillId="9" borderId="0" xfId="0" applyFill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left"/>
    </xf>
    <xf numFmtId="49" fontId="0" fillId="9" borderId="0" xfId="0" applyNumberFormat="1" applyFill="1"/>
  </cellXfs>
  <cellStyles count="3">
    <cellStyle name="Normal" xfId="0" builtinId="0"/>
    <cellStyle name="Normal 2" xfId="1" xr:uid="{6092E6CE-1D88-4708-8615-617FC051956B}"/>
    <cellStyle name="Normal 2 2" xfId="2" xr:uid="{426011DD-007C-47A0-A052-4AB327CDA7E7}"/>
  </cellStyles>
  <dxfs count="0"/>
  <tableStyles count="0" defaultTableStyle="TableStyleMedium2" defaultPivotStyle="PivotStyleLight16"/>
  <colors>
    <mruColors>
      <color rgb="FFFF9393"/>
      <color rgb="FFCC99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AF4"/>
  <sheetViews>
    <sheetView tabSelected="1" topLeftCell="S1" zoomScaleNormal="100" workbookViewId="0">
      <pane ySplit="1" topLeftCell="A2" activePane="bottomLeft" state="frozen"/>
      <selection activeCell="J1" sqref="J1"/>
      <selection pane="bottomLeft" activeCell="T7" sqref="T7"/>
    </sheetView>
  </sheetViews>
  <sheetFormatPr defaultRowHeight="15" x14ac:dyDescent="0.25"/>
  <cols>
    <col min="1" max="1" width="22.85546875" bestFit="1" customWidth="1" collapsed="1"/>
    <col min="2" max="2" width="15" customWidth="1" collapsed="1"/>
    <col min="3" max="3" width="14.85546875" customWidth="1" collapsed="1"/>
    <col min="4" max="4" width="16.140625" customWidth="1" collapsed="1"/>
    <col min="5" max="5" width="24.85546875" customWidth="1" collapsed="1"/>
    <col min="6" max="6" width="37.5703125" customWidth="1" collapsed="1"/>
    <col min="7" max="7" width="53.85546875" customWidth="1" collapsed="1"/>
    <col min="8" max="8" width="34.42578125" customWidth="1" collapsed="1"/>
    <col min="9" max="9" width="53.85546875" customWidth="1" collapsed="1"/>
    <col min="10" max="10" width="14.42578125" customWidth="1" collapsed="1"/>
    <col min="11" max="11" width="22.140625" bestFit="1" customWidth="1" collapsed="1"/>
    <col min="12" max="12" width="51" bestFit="1" customWidth="1" collapsed="1"/>
    <col min="13" max="13" width="51" style="11" customWidth="1" collapsed="1"/>
    <col min="14" max="14" width="47.85546875" bestFit="1" customWidth="1" collapsed="1"/>
    <col min="15" max="15" width="11.28515625" style="10" bestFit="1" customWidth="1" collapsed="1"/>
    <col min="16" max="16" width="11.28515625" style="11" bestFit="1" customWidth="1" collapsed="1"/>
    <col min="17" max="17" width="26.42578125" style="11" bestFit="1" customWidth="1" collapsed="1"/>
    <col min="18" max="18" width="26.42578125" style="11" customWidth="1" collapsed="1"/>
    <col min="19" max="19" width="65.5703125" style="11" bestFit="1" customWidth="1" collapsed="1"/>
    <col min="20" max="20" width="23.140625" style="10" bestFit="1" customWidth="1" collapsed="1"/>
    <col min="21" max="21" width="24.85546875" style="10" bestFit="1" customWidth="1" collapsed="1"/>
    <col min="22" max="22" width="23.140625" style="10" bestFit="1" customWidth="1" collapsed="1"/>
    <col min="23" max="23" width="24.85546875" style="10" bestFit="1" customWidth="1" collapsed="1"/>
    <col min="24" max="24" width="20.140625" bestFit="1" customWidth="1" collapsed="1"/>
    <col min="25" max="25" width="22" bestFit="1" customWidth="1" collapsed="1"/>
    <col min="26" max="26" width="12.5703125" bestFit="1" customWidth="1" collapsed="1"/>
    <col min="27" max="27" width="34.5703125" bestFit="1" customWidth="1" collapsed="1"/>
    <col min="28" max="28" width="25.140625" bestFit="1" customWidth="1" collapsed="1"/>
    <col min="29" max="29" width="15.42578125" bestFit="1" customWidth="1" collapsed="1"/>
    <col min="30" max="30" width="29.5703125" bestFit="1" customWidth="1" collapsed="1"/>
    <col min="31" max="31" width="61.140625" bestFit="1" customWidth="1" collapsed="1"/>
    <col min="32" max="32" width="48.85546875" bestFit="1" customWidth="1" collapsed="1"/>
  </cols>
  <sheetData>
    <row r="1" spans="1:32" x14ac:dyDescent="0.25">
      <c r="A1" s="1" t="s">
        <v>0</v>
      </c>
      <c r="B1" s="1" t="s">
        <v>1</v>
      </c>
      <c r="C1" s="6" t="s">
        <v>2</v>
      </c>
      <c r="D1" s="7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30</v>
      </c>
      <c r="L1" s="1" t="s">
        <v>10</v>
      </c>
      <c r="M1" s="1" t="s">
        <v>37</v>
      </c>
      <c r="N1" s="1" t="s">
        <v>11</v>
      </c>
      <c r="O1" s="1" t="s">
        <v>36</v>
      </c>
      <c r="P1" s="1" t="s">
        <v>38</v>
      </c>
      <c r="Q1" s="1" t="s">
        <v>39</v>
      </c>
      <c r="R1" s="1" t="s">
        <v>40</v>
      </c>
      <c r="S1" s="1" t="s">
        <v>41</v>
      </c>
      <c r="T1" s="8" t="s">
        <v>12</v>
      </c>
      <c r="U1" s="9" t="s">
        <v>13</v>
      </c>
      <c r="V1" s="8" t="s">
        <v>14</v>
      </c>
      <c r="W1" s="8" t="s">
        <v>15</v>
      </c>
      <c r="X1" s="8" t="s">
        <v>16</v>
      </c>
      <c r="Y1" s="8" t="s">
        <v>17</v>
      </c>
      <c r="Z1" s="4" t="s">
        <v>18</v>
      </c>
      <c r="AA1" s="4" t="s">
        <v>28</v>
      </c>
      <c r="AB1" s="4" t="s">
        <v>29</v>
      </c>
      <c r="AC1" s="4" t="s">
        <v>19</v>
      </c>
      <c r="AD1" s="4" t="s">
        <v>20</v>
      </c>
      <c r="AE1" s="4" t="s">
        <v>21</v>
      </c>
      <c r="AF1" s="4" t="s">
        <v>22</v>
      </c>
    </row>
    <row r="2" spans="1:32" s="19" customFormat="1" x14ac:dyDescent="0.25">
      <c r="A2" s="18" t="s">
        <v>51</v>
      </c>
      <c r="B2" s="18">
        <v>20260102</v>
      </c>
      <c r="C2" s="18" t="s">
        <v>45</v>
      </c>
      <c r="D2" s="18" t="s">
        <v>50</v>
      </c>
      <c r="E2" s="18" t="s">
        <v>52</v>
      </c>
      <c r="F2" s="18" t="s">
        <v>42</v>
      </c>
      <c r="G2" s="19" t="s">
        <v>47</v>
      </c>
      <c r="H2" s="18" t="s">
        <v>42</v>
      </c>
      <c r="I2" s="19" t="s">
        <v>47</v>
      </c>
      <c r="J2" s="18">
        <v>10</v>
      </c>
      <c r="K2" s="18" t="s">
        <v>43</v>
      </c>
      <c r="L2" s="19" t="s">
        <v>53</v>
      </c>
      <c r="M2" s="19" t="s">
        <v>44</v>
      </c>
      <c r="N2" s="19" t="s">
        <v>54</v>
      </c>
      <c r="O2" s="18">
        <v>1211</v>
      </c>
      <c r="P2" s="18" t="s">
        <v>55</v>
      </c>
      <c r="Q2" s="18">
        <v>19815234</v>
      </c>
      <c r="R2" s="20" t="s">
        <v>46</v>
      </c>
      <c r="S2" s="20" t="s">
        <v>49</v>
      </c>
      <c r="T2" s="18" t="s">
        <v>48</v>
      </c>
      <c r="U2" s="18"/>
      <c r="V2" s="18" t="s">
        <v>50</v>
      </c>
      <c r="W2" s="18"/>
      <c r="X2" s="18" t="s">
        <v>48</v>
      </c>
      <c r="Y2" s="18"/>
      <c r="Z2" s="21" t="s">
        <v>43</v>
      </c>
      <c r="AA2" s="21" t="s">
        <v>56</v>
      </c>
      <c r="AB2" s="21" t="s">
        <v>57</v>
      </c>
      <c r="AC2" s="22" t="s">
        <v>58</v>
      </c>
      <c r="AD2" s="22" t="s">
        <v>59</v>
      </c>
      <c r="AE2" s="22" t="s">
        <v>45</v>
      </c>
      <c r="AF2" s="22" t="s">
        <v>60</v>
      </c>
    </row>
    <row r="3" spans="1:32" s="11" customFormat="1" x14ac:dyDescent="0.25">
      <c r="A3" s="29" t="s">
        <v>61</v>
      </c>
      <c r="B3" s="29">
        <v>20260102</v>
      </c>
      <c r="C3" s="29" t="s">
        <v>48</v>
      </c>
      <c r="D3" s="29"/>
      <c r="E3" s="29" t="s">
        <v>62</v>
      </c>
      <c r="F3" s="29" t="s">
        <v>42</v>
      </c>
      <c r="G3" s="30" t="s">
        <v>47</v>
      </c>
      <c r="H3" s="29" t="s">
        <v>63</v>
      </c>
      <c r="I3" s="30" t="s">
        <v>64</v>
      </c>
      <c r="J3" s="29">
        <v>6</v>
      </c>
      <c r="K3" s="29" t="s">
        <v>43</v>
      </c>
      <c r="L3" s="30" t="s">
        <v>65</v>
      </c>
      <c r="M3" s="30" t="s">
        <v>44</v>
      </c>
      <c r="N3" s="30" t="s">
        <v>66</v>
      </c>
      <c r="O3" s="29">
        <v>1211</v>
      </c>
      <c r="P3" s="29" t="s">
        <v>67</v>
      </c>
      <c r="Q3" s="29">
        <v>40816791</v>
      </c>
      <c r="R3" s="31" t="s">
        <v>68</v>
      </c>
      <c r="S3" s="31" t="s">
        <v>69</v>
      </c>
      <c r="T3" s="29" t="s">
        <v>48</v>
      </c>
      <c r="U3" s="29"/>
      <c r="V3" s="29" t="s">
        <v>48</v>
      </c>
      <c r="W3" s="29"/>
      <c r="X3" s="29" t="s">
        <v>50</v>
      </c>
      <c r="Y3" s="29"/>
      <c r="Z3" s="32"/>
      <c r="AA3" s="32"/>
      <c r="AB3" s="32"/>
      <c r="AC3" s="32"/>
      <c r="AD3" s="32"/>
      <c r="AE3" s="32" t="s">
        <v>70</v>
      </c>
      <c r="AF3" s="32"/>
    </row>
    <row r="4" spans="1:32" s="34" customFormat="1" x14ac:dyDescent="0.25">
      <c r="A4" s="33" t="s">
        <v>61</v>
      </c>
      <c r="B4" s="33">
        <v>20260102</v>
      </c>
      <c r="C4" s="33" t="s">
        <v>48</v>
      </c>
      <c r="D4" s="33"/>
      <c r="E4" s="33" t="s">
        <v>62</v>
      </c>
      <c r="F4" s="33" t="s">
        <v>42</v>
      </c>
      <c r="G4" s="34" t="s">
        <v>47</v>
      </c>
      <c r="H4" s="33" t="s">
        <v>63</v>
      </c>
      <c r="I4" s="34" t="s">
        <v>64</v>
      </c>
      <c r="J4" s="33">
        <v>6</v>
      </c>
      <c r="K4" s="33" t="s">
        <v>43</v>
      </c>
      <c r="L4" s="34" t="s">
        <v>65</v>
      </c>
      <c r="M4" s="34" t="s">
        <v>44</v>
      </c>
      <c r="N4" s="34" t="s">
        <v>66</v>
      </c>
      <c r="O4" s="33">
        <v>1211</v>
      </c>
      <c r="P4" s="33" t="s">
        <v>67</v>
      </c>
      <c r="Q4" s="33">
        <v>40816791</v>
      </c>
      <c r="R4" s="35" t="s">
        <v>68</v>
      </c>
      <c r="S4" s="35" t="s">
        <v>69</v>
      </c>
      <c r="T4" s="33" t="s">
        <v>50</v>
      </c>
      <c r="U4" s="33"/>
      <c r="V4" s="33" t="s">
        <v>48</v>
      </c>
      <c r="W4" s="33"/>
      <c r="X4" s="33" t="s">
        <v>48</v>
      </c>
      <c r="Y4" s="33"/>
      <c r="Z4" s="36"/>
      <c r="AA4" s="36"/>
      <c r="AB4" s="36"/>
      <c r="AC4" s="36"/>
      <c r="AD4" s="36"/>
      <c r="AE4" s="36"/>
      <c r="AF4" s="36"/>
    </row>
  </sheetData>
  <autoFilter ref="A1:AF2" xr:uid="{00000000-0001-0000-0000-000000000000}">
    <sortState xmlns:xlrd2="http://schemas.microsoft.com/office/spreadsheetml/2017/richdata2" ref="A2:AF2">
      <sortCondition ref="B1:B2"/>
    </sortState>
  </autoFilter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C34"/>
  <sheetViews>
    <sheetView zoomScaleNormal="100" workbookViewId="0">
      <selection sqref="A1:C1"/>
    </sheetView>
  </sheetViews>
  <sheetFormatPr defaultRowHeight="15" x14ac:dyDescent="0.25"/>
  <cols>
    <col min="1" max="3" width="19.85546875" customWidth="1" collapsed="1"/>
  </cols>
  <sheetData>
    <row r="1" spans="1:3" ht="15.75" thickBot="1" x14ac:dyDescent="0.3">
      <c r="A1" s="23" t="s">
        <v>27</v>
      </c>
      <c r="B1" s="24"/>
      <c r="C1" s="25"/>
    </row>
    <row r="2" spans="1:3" ht="15.75" thickBot="1" x14ac:dyDescent="0.3">
      <c r="A2" s="26" t="s">
        <v>23</v>
      </c>
      <c r="B2" s="23" t="s">
        <v>24</v>
      </c>
      <c r="C2" s="28"/>
    </row>
    <row r="3" spans="1:3" ht="15.75" thickBot="1" x14ac:dyDescent="0.3">
      <c r="A3" s="27"/>
      <c r="B3" s="5" t="s">
        <v>25</v>
      </c>
      <c r="C3" s="5" t="s">
        <v>26</v>
      </c>
    </row>
    <row r="4" spans="1:3" ht="15.75" thickBot="1" x14ac:dyDescent="0.3">
      <c r="A4" s="12">
        <v>46023</v>
      </c>
      <c r="B4" s="12">
        <f t="shared" ref="B4:B34" si="0">A4-15</f>
        <v>46008</v>
      </c>
      <c r="C4" s="13" t="s">
        <v>33</v>
      </c>
    </row>
    <row r="5" spans="1:3" ht="15.75" thickBot="1" x14ac:dyDescent="0.3">
      <c r="A5" s="12">
        <v>46024</v>
      </c>
      <c r="B5" s="12">
        <f t="shared" si="0"/>
        <v>46009</v>
      </c>
      <c r="C5" s="13" t="s">
        <v>34</v>
      </c>
    </row>
    <row r="6" spans="1:3" ht="15.75" thickBot="1" x14ac:dyDescent="0.3">
      <c r="A6" s="16">
        <v>46025</v>
      </c>
      <c r="B6" s="16">
        <f t="shared" si="0"/>
        <v>46010</v>
      </c>
      <c r="C6" s="17" t="s">
        <v>35</v>
      </c>
    </row>
    <row r="7" spans="1:3" ht="15.75" thickBot="1" x14ac:dyDescent="0.3">
      <c r="A7" s="16">
        <v>46026</v>
      </c>
      <c r="B7" s="16">
        <v>46010</v>
      </c>
      <c r="C7" s="17" t="s">
        <v>35</v>
      </c>
    </row>
    <row r="8" spans="1:3" ht="15.75" thickBot="1" x14ac:dyDescent="0.3">
      <c r="A8" s="16">
        <v>46027</v>
      </c>
      <c r="B8" s="16">
        <v>46010</v>
      </c>
      <c r="C8" s="17" t="s">
        <v>35</v>
      </c>
    </row>
    <row r="9" spans="1:3" ht="15.75" thickBot="1" x14ac:dyDescent="0.3">
      <c r="A9" s="12">
        <v>46028</v>
      </c>
      <c r="B9" s="12">
        <f t="shared" si="0"/>
        <v>46013</v>
      </c>
      <c r="C9" s="13" t="s">
        <v>31</v>
      </c>
    </row>
    <row r="10" spans="1:3" ht="15.75" thickBot="1" x14ac:dyDescent="0.3">
      <c r="A10" s="12">
        <v>46029</v>
      </c>
      <c r="B10" s="12">
        <f t="shared" si="0"/>
        <v>46014</v>
      </c>
      <c r="C10" s="13" t="s">
        <v>32</v>
      </c>
    </row>
    <row r="11" spans="1:3" ht="15.75" thickBot="1" x14ac:dyDescent="0.3">
      <c r="A11" s="14">
        <v>46030</v>
      </c>
      <c r="B11" s="14">
        <f t="shared" si="0"/>
        <v>46015</v>
      </c>
      <c r="C11" s="15" t="s">
        <v>33</v>
      </c>
    </row>
    <row r="12" spans="1:3" ht="15.75" thickBot="1" x14ac:dyDescent="0.3">
      <c r="A12" s="14">
        <v>46031</v>
      </c>
      <c r="B12" s="14">
        <v>46015</v>
      </c>
      <c r="C12" s="15" t="s">
        <v>33</v>
      </c>
    </row>
    <row r="13" spans="1:3" ht="15.75" thickBot="1" x14ac:dyDescent="0.3">
      <c r="A13" s="16">
        <v>46032</v>
      </c>
      <c r="B13" s="16">
        <f t="shared" si="0"/>
        <v>46017</v>
      </c>
      <c r="C13" s="17" t="s">
        <v>35</v>
      </c>
    </row>
    <row r="14" spans="1:3" ht="15.75" thickBot="1" x14ac:dyDescent="0.3">
      <c r="A14" s="16">
        <v>46033</v>
      </c>
      <c r="B14" s="16">
        <v>46017</v>
      </c>
      <c r="C14" s="17" t="s">
        <v>35</v>
      </c>
    </row>
    <row r="15" spans="1:3" ht="15.75" thickBot="1" x14ac:dyDescent="0.3">
      <c r="A15" s="16">
        <v>46034</v>
      </c>
      <c r="B15" s="16">
        <v>46017</v>
      </c>
      <c r="C15" s="17" t="s">
        <v>35</v>
      </c>
    </row>
    <row r="16" spans="1:3" ht="15.75" thickBot="1" x14ac:dyDescent="0.3">
      <c r="A16" s="12">
        <v>46035</v>
      </c>
      <c r="B16" s="12">
        <f t="shared" si="0"/>
        <v>46020</v>
      </c>
      <c r="C16" s="13" t="s">
        <v>31</v>
      </c>
    </row>
    <row r="17" spans="1:3" ht="15.75" thickBot="1" x14ac:dyDescent="0.3">
      <c r="A17" s="12">
        <v>46036</v>
      </c>
      <c r="B17" s="12">
        <f t="shared" si="0"/>
        <v>46021</v>
      </c>
      <c r="C17" s="13" t="s">
        <v>32</v>
      </c>
    </row>
    <row r="18" spans="1:3" ht="15.75" thickBot="1" x14ac:dyDescent="0.3">
      <c r="A18" s="14">
        <v>46037</v>
      </c>
      <c r="B18" s="14">
        <f t="shared" si="0"/>
        <v>46022</v>
      </c>
      <c r="C18" s="15" t="s">
        <v>33</v>
      </c>
    </row>
    <row r="19" spans="1:3" ht="15.75" thickBot="1" x14ac:dyDescent="0.3">
      <c r="A19" s="14">
        <v>46038</v>
      </c>
      <c r="B19" s="14">
        <v>46022</v>
      </c>
      <c r="C19" s="15" t="s">
        <v>33</v>
      </c>
    </row>
    <row r="20" spans="1:3" ht="15.75" thickBot="1" x14ac:dyDescent="0.3">
      <c r="A20" s="16">
        <v>46039</v>
      </c>
      <c r="B20" s="16">
        <f t="shared" si="0"/>
        <v>46024</v>
      </c>
      <c r="C20" s="17" t="s">
        <v>35</v>
      </c>
    </row>
    <row r="21" spans="1:3" ht="15.75" thickBot="1" x14ac:dyDescent="0.3">
      <c r="A21" s="16">
        <v>46040</v>
      </c>
      <c r="B21" s="16">
        <v>46024</v>
      </c>
      <c r="C21" s="17" t="s">
        <v>35</v>
      </c>
    </row>
    <row r="22" spans="1:3" ht="15.75" thickBot="1" x14ac:dyDescent="0.3">
      <c r="A22" s="16">
        <v>46041</v>
      </c>
      <c r="B22" s="16">
        <v>46024</v>
      </c>
      <c r="C22" s="17" t="s">
        <v>35</v>
      </c>
    </row>
    <row r="23" spans="1:3" ht="15.75" thickBot="1" x14ac:dyDescent="0.3">
      <c r="A23" s="12">
        <v>46042</v>
      </c>
      <c r="B23" s="12">
        <f t="shared" si="0"/>
        <v>46027</v>
      </c>
      <c r="C23" s="13" t="s">
        <v>31</v>
      </c>
    </row>
    <row r="24" spans="1:3" ht="15.75" thickBot="1" x14ac:dyDescent="0.3">
      <c r="A24" s="12">
        <v>46043</v>
      </c>
      <c r="B24" s="12">
        <f t="shared" si="0"/>
        <v>46028</v>
      </c>
      <c r="C24" s="13" t="s">
        <v>32</v>
      </c>
    </row>
    <row r="25" spans="1:3" ht="15.75" thickBot="1" x14ac:dyDescent="0.3">
      <c r="A25" s="12">
        <v>46044</v>
      </c>
      <c r="B25" s="12">
        <f t="shared" si="0"/>
        <v>46029</v>
      </c>
      <c r="C25" s="13" t="s">
        <v>33</v>
      </c>
    </row>
    <row r="26" spans="1:3" ht="15.75" thickBot="1" x14ac:dyDescent="0.3">
      <c r="A26" s="12">
        <v>46045</v>
      </c>
      <c r="B26" s="12">
        <f t="shared" si="0"/>
        <v>46030</v>
      </c>
      <c r="C26" s="13" t="s">
        <v>34</v>
      </c>
    </row>
    <row r="27" spans="1:3" ht="15.75" thickBot="1" x14ac:dyDescent="0.3">
      <c r="A27" s="16">
        <v>46046</v>
      </c>
      <c r="B27" s="16">
        <f t="shared" si="0"/>
        <v>46031</v>
      </c>
      <c r="C27" s="17" t="s">
        <v>35</v>
      </c>
    </row>
    <row r="28" spans="1:3" ht="15.75" thickBot="1" x14ac:dyDescent="0.3">
      <c r="A28" s="16">
        <v>46047</v>
      </c>
      <c r="B28" s="16">
        <v>46031</v>
      </c>
      <c r="C28" s="17" t="s">
        <v>35</v>
      </c>
    </row>
    <row r="29" spans="1:3" ht="15.75" thickBot="1" x14ac:dyDescent="0.3">
      <c r="A29" s="16">
        <v>46048</v>
      </c>
      <c r="B29" s="16">
        <v>46031</v>
      </c>
      <c r="C29" s="17" t="s">
        <v>35</v>
      </c>
    </row>
    <row r="30" spans="1:3" ht="15.75" thickBot="1" x14ac:dyDescent="0.3">
      <c r="A30" s="12">
        <v>46049</v>
      </c>
      <c r="B30" s="12">
        <f t="shared" si="0"/>
        <v>46034</v>
      </c>
      <c r="C30" s="13" t="s">
        <v>31</v>
      </c>
    </row>
    <row r="31" spans="1:3" ht="15.75" thickBot="1" x14ac:dyDescent="0.3">
      <c r="A31" s="12">
        <v>46050</v>
      </c>
      <c r="B31" s="12">
        <f t="shared" si="0"/>
        <v>46035</v>
      </c>
      <c r="C31" s="13" t="s">
        <v>32</v>
      </c>
    </row>
    <row r="32" spans="1:3" ht="15.75" thickBot="1" x14ac:dyDescent="0.3">
      <c r="A32" s="12">
        <v>46051</v>
      </c>
      <c r="B32" s="12">
        <f t="shared" si="0"/>
        <v>46036</v>
      </c>
      <c r="C32" s="13" t="s">
        <v>33</v>
      </c>
    </row>
    <row r="33" spans="1:3" ht="15.75" thickBot="1" x14ac:dyDescent="0.3">
      <c r="A33" s="12">
        <v>46052</v>
      </c>
      <c r="B33" s="12">
        <f t="shared" si="0"/>
        <v>46037</v>
      </c>
      <c r="C33" s="13" t="s">
        <v>34</v>
      </c>
    </row>
    <row r="34" spans="1:3" ht="15.75" thickBot="1" x14ac:dyDescent="0.3">
      <c r="A34" s="12">
        <v>46053</v>
      </c>
      <c r="B34" s="12">
        <f t="shared" si="0"/>
        <v>46038</v>
      </c>
      <c r="C34" s="13" t="s">
        <v>35</v>
      </c>
    </row>
  </sheetData>
  <mergeCells count="3">
    <mergeCell ref="A1:C1"/>
    <mergeCell ref="A2:A3"/>
    <mergeCell ref="B2:C2"/>
  </mergeCells>
  <phoneticPr fontId="6" type="noConversion"/>
  <printOptions horizontalCentered="1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UwMjdiYTAxLWUyMjEtNDY1MC04N2M5LWI4ZWVkYTFmZWIyZiIgdmFsdWU9IiIgeG1sbnM9Imh0dHA6Ly93d3cuYm9sZG9uamFtZXMuY29tLzIwMDgvMDEvc2llL2ludGVybmFsL2xhYmVsIiAvPjwvc2lzbD48VXNlck5hbWU+QUxMSUFOWlxCRTAwMTUxPC9Vc2VyTmFtZT48RGF0ZVRpbWU+MTQvMDYvMjAxOSAxMToxMDo1MDwvRGF0ZVRpbWU+PExhYmVsU3RyaW5nPiAgICAgICAxNC8wNi8yMDE5ICBJTlRFUk5PICA8L0xhYmVsU3RyaW5nPjwvaXRlbT48L2xhYmVsSGlzdG9yeT4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5027ba01-e221-4650-87c9-b8eeda1feb2f" value=""/>
</sisl>
</file>

<file path=customXml/itemProps1.xml><?xml version="1.0" encoding="utf-8"?>
<ds:datastoreItem xmlns:ds="http://schemas.openxmlformats.org/officeDocument/2006/customXml" ds:itemID="{A3022B87-2BBC-49A0-87FA-77D3FACDF58A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AF33CF6-F732-4228-AD81-1E86AA894676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RenovaSantander</vt:lpstr>
      <vt:lpstr>Cronograma</vt:lpstr>
      <vt:lpstr>Cronograma!Area_de_impressao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DIAS, DENILSON (ALLIANZ SEGUROS S A)</cp:lastModifiedBy>
  <cp:lastPrinted>2020-03-16T19:25:35Z</cp:lastPrinted>
  <dcterms:created xsi:type="dcterms:W3CDTF">2019-04-16T18:13:59Z</dcterms:created>
  <dcterms:modified xsi:type="dcterms:W3CDTF">2025-12-17T20:58:01Z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351b3bbb-869c-4d34-9fa1-fa4d5c7395f8</vt:lpwstr>
  </property>
  <property fmtid="{D5CDD505-2E9C-101B-9397-08002B2CF9AE}" pid="3" name="bjSaver">
    <vt:lpwstr>VKL17fUGl7d4b5GpguuTapIeIeZTP1Ht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{A3022B87-2BBC-49A0-87FA-77D3FACDF58A}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24/09/2021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2022-01-27T18:08:16Z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3a2fd6b0-b4db-4289-b099-39b78d46df08</vt:lpwstr>
  </property>
  <property fmtid="{D5CDD505-2E9C-101B-9397-08002B2CF9AE}" pid="18" name="MSIP_Label_ce5f591a-3248-43e9-9b70-1ad50135772d_ContentBits">
    <vt:lpwstr>0</vt:lpwstr>
  </property>
</Properties>
</file>