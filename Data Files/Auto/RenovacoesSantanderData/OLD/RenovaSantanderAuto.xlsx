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5B046236-68B3-426F-AAB8-9F1DEA83D06B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RenovaSantander!$A$1:$Z$9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2" l="1"/>
  <c r="F32" i="2"/>
  <c r="F31" i="2"/>
  <c r="F30" i="2"/>
  <c r="F27" i="2"/>
  <c r="F26" i="2"/>
  <c r="F24" i="2"/>
  <c r="F23" i="2"/>
  <c r="F20" i="2"/>
  <c r="F19" i="2"/>
  <c r="F18" i="2"/>
  <c r="F17" i="2"/>
  <c r="F16" i="2"/>
  <c r="F13" i="2"/>
  <c r="F12" i="2"/>
  <c r="F11" i="2"/>
  <c r="F10" i="2"/>
  <c r="F9" i="2"/>
  <c r="F6" i="2"/>
  <c r="F5" i="2"/>
  <c r="F4" i="2"/>
  <c r="B18" i="2"/>
  <c r="B19" i="2"/>
  <c r="B20" i="2"/>
  <c r="B21" i="2"/>
  <c r="B24" i="2"/>
  <c r="B25" i="2"/>
  <c r="B26" i="2"/>
  <c r="B27" i="2"/>
  <c r="B28" i="2"/>
  <c r="B31" i="2"/>
  <c r="B32" i="2"/>
  <c r="B33" i="2"/>
</calcChain>
</file>

<file path=xl/sharedStrings.xml><?xml version="1.0" encoding="utf-8"?>
<sst xmlns="http://schemas.openxmlformats.org/spreadsheetml/2006/main" count="245" uniqueCount="92">
  <si>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</si>
  <si>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</si>
  <si>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</si>
  <si>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</si>
  <si>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</si>
  <si>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</si>
  <si>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</si>
  <si>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</si>
  <si>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</si>
  <si>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</si>
  <si>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</si>
  <si>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</si>
  <si>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</si>
  <si>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</si>
  <si>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</si>
  <si>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</si>
  <si>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</si>
  <si>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</si>
  <si>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</si>
  <si>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</si>
  <si>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</si>
  <si>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</si>
  <si>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</si>
  <si>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</si>
  <si>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</si>
  <si>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</si>
  <si>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</si>
  <si>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</si>
  <si>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</si>
  <si>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</si>
  <si>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</si>
  <si>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</si>
  <si>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</si>
  <si>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</si>
  <si>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</si>
  <si>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</si>
  <si>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</si>
  <si>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</si>
  <si>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2006</t>
  </si>
  <si>
    <t>2014</t>
  </si>
  <si>
    <t>2012</t>
  </si>
  <si>
    <t>2002</t>
  </si>
  <si>
    <t>2013</t>
  </si>
  <si>
    <t>Básico</t>
  </si>
  <si>
    <t>Master</t>
  </si>
  <si>
    <t>N</t>
  </si>
  <si>
    <t>x</t>
  </si>
  <si>
    <t>naotem@naotem.com</t>
  </si>
  <si>
    <t>CORRENTISTA - CLIENTE PF</t>
  </si>
  <si>
    <t>CORRENTISTA - EMPRESAS 1</t>
  </si>
  <si>
    <t>CORRENTISTA - EMPRESAS 2</t>
  </si>
  <si>
    <t>CORRENTISTA - EMPRESAS 3</t>
  </si>
  <si>
    <t>FOPA + CLIENTE PF</t>
  </si>
  <si>
    <t>MONOPRODUTISTA (FINANCEIRA/CARTõES/PREVIDêNCIA)</t>
  </si>
  <si>
    <t>5177202151311819391</t>
  </si>
  <si>
    <t>5177202151311841259</t>
  </si>
  <si>
    <t>5177202151311661673</t>
  </si>
  <si>
    <t>5177202151311697385</t>
  </si>
  <si>
    <t>5177202151311698729</t>
  </si>
  <si>
    <t>5177202151311698974</t>
  </si>
  <si>
    <t>5177202151311706346</t>
  </si>
  <si>
    <t>5177202151311709172</t>
  </si>
  <si>
    <t>001864244668</t>
  </si>
  <si>
    <t>001864245317</t>
  </si>
  <si>
    <t>001864231952</t>
  </si>
  <si>
    <t>000743845372</t>
  </si>
  <si>
    <t>000743849601</t>
  </si>
  <si>
    <t>000743849599</t>
  </si>
  <si>
    <t>000743849566</t>
  </si>
  <si>
    <t>000188283568</t>
  </si>
  <si>
    <t>NILMA MARIA DIAS</t>
  </si>
  <si>
    <t>ESDRAS PESSOA CORREIA</t>
  </si>
  <si>
    <t>MARCELO SOARES DE ABREU</t>
  </si>
  <si>
    <t>AUTO POSTO GUIMARAES LTDA EPP</t>
  </si>
  <si>
    <t>THIAGO NICOLA VENTURA E CIA LTDA ME</t>
  </si>
  <si>
    <t>IGOR PACHECO MAQUINAS PARATI ME</t>
  </si>
  <si>
    <t>CORPORI SAUDE E SEGURANCA DO TRABALHO EIRELI</t>
  </si>
  <si>
    <t>MINAS DRILL SERVICOS DE AR COMPRIMIDO LTDA ME</t>
  </si>
  <si>
    <t>usinagem.usipi@gmail.com</t>
  </si>
  <si>
    <t>esdras1949@gmail.com</t>
  </si>
  <si>
    <t>tetelbar63@gmail.com</t>
  </si>
  <si>
    <t>fernando@minasdrill.com.br</t>
  </si>
  <si>
    <t/>
  </si>
  <si>
    <t>0.0</t>
  </si>
  <si>
    <t>Dados de conta corrente não pode ser de um CNPJ como Pagador</t>
  </si>
  <si>
    <t>1.131,81</t>
  </si>
  <si>
    <t>1.504,8</t>
  </si>
  <si>
    <t> Risco com Cobertura pela Apólice 5177202251311476208</t>
  </si>
  <si>
    <t>1.321,03</t>
  </si>
  <si>
    <t>1.539,43</t>
  </si>
  <si>
    <t> Condutor deve ser pessoa física</t>
  </si>
  <si>
    <t>1.765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</si>
</sst>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9"/>
  <sheetViews>
    <sheetView tabSelected="1" zoomScaleNormal="100" workbookViewId="0">
      <pane ySplit="1" topLeftCell="A2" activePane="bottomLeft" state="frozen"/>
      <selection activeCell="E18" sqref="E18"/>
      <selection pane="bottomLeft" activeCell="D3" sqref="D3"/>
    </sheetView>
  </sheetViews>
  <sheetFormatPr defaultRowHeight="15" x14ac:dyDescent="0.25"/>
  <cols>
    <col min="1" max="1" width="22.7109375" bestFit="1" customWidth="1" collapsed="1"/>
    <col min="2" max="2" width="15" customWidth="1" collapsed="1"/>
    <col min="3" max="3" width="14.7109375" style="6" customWidth="1" collapsed="1"/>
    <col min="4" max="4" width="16.28515625" style="17" customWidth="1" collapsed="1"/>
    <col min="5" max="5" width="24.85546875" customWidth="1" collapsed="1"/>
    <col min="6" max="6" width="37.5703125" customWidth="1" collapsed="1"/>
    <col min="7" max="7" width="53.7109375" customWidth="1" collapsed="1"/>
    <col min="8" max="8" width="34.42578125" customWidth="1" collapsed="1"/>
    <col min="9" max="9" width="53.7109375" customWidth="1" collapsed="1"/>
    <col min="10" max="10" width="14.42578125" customWidth="1" collapsed="1"/>
    <col min="11" max="11" width="22.28515625" bestFit="1" customWidth="1" collapsed="1"/>
    <col min="12" max="12" width="51" bestFit="1" customWidth="1" collapsed="1"/>
    <col min="13" max="13" width="47.85546875" bestFit="1" customWidth="1" collapsed="1"/>
    <col min="14" max="14" width="23.140625" style="17" bestFit="1" customWidth="1" collapsed="1"/>
    <col min="15" max="15" width="24.7109375" bestFit="1" customWidth="1" collapsed="1"/>
    <col min="16" max="16" width="23.140625" bestFit="1" customWidth="1" collapsed="1"/>
    <col min="17" max="17" width="24.7109375" bestFit="1" customWidth="1" collapsed="1"/>
    <col min="18" max="18" width="20.28515625" bestFit="1" customWidth="1" collapsed="1"/>
    <col min="19" max="19" width="22" bestFit="1" customWidth="1" collapsed="1"/>
    <col min="20" max="20" width="12.5703125" bestFit="1" customWidth="1" collapsed="1"/>
    <col min="21" max="21" width="34.5703125" bestFit="1" customWidth="1" collapsed="1"/>
    <col min="22" max="22" width="25.28515625" bestFit="1" customWidth="1" collapsed="1"/>
    <col min="23" max="23" width="15.42578125" bestFit="1" customWidth="1" collapsed="1"/>
    <col min="24" max="24" width="29.5703125" bestFit="1" customWidth="1" collapsed="1"/>
    <col min="25" max="25" width="61.28515625" bestFit="1" customWidth="1" collapsed="1"/>
    <col min="26" max="26" width="48.7109375" bestFit="1" customWidth="1" collapsed="1"/>
  </cols>
  <sheetData>
    <row r="1" spans="1:26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s="16" customFormat="1" x14ac:dyDescent="0.25">
      <c r="A2" s="17" t="s">
        <v>54</v>
      </c>
      <c r="B2" s="17">
        <v>20220830</v>
      </c>
      <c r="C2" s="6" t="s">
        <v>46</v>
      </c>
      <c r="D2" s="17"/>
      <c r="E2" s="17" t="s">
        <v>62</v>
      </c>
      <c r="F2" s="17" t="s">
        <v>38</v>
      </c>
      <c r="G2" s="16" t="s">
        <v>52</v>
      </c>
      <c r="H2" s="17" t="s">
        <v>38</v>
      </c>
      <c r="I2" s="16" t="s">
        <v>52</v>
      </c>
      <c r="J2" s="17">
        <v>10</v>
      </c>
      <c r="K2" s="17" t="s">
        <v>43</v>
      </c>
      <c r="L2" s="16" t="s">
        <v>71</v>
      </c>
      <c r="M2" s="16" t="s">
        <v>79</v>
      </c>
      <c r="N2" s="17" t="s">
        <v>82</v>
      </c>
      <c r="O2" s="17" t="s">
        <v>46</v>
      </c>
      <c r="P2" s="17" t="s">
        <v>45</v>
      </c>
      <c r="Q2" s="17"/>
      <c r="R2" s="17" t="s">
        <v>45</v>
      </c>
      <c r="S2" s="17"/>
      <c r="T2" s="18" t="s">
        <v>43</v>
      </c>
      <c r="U2" s="18" t="s">
        <v>86</v>
      </c>
      <c r="V2" s="18" t="s">
        <v>83</v>
      </c>
      <c r="W2" s="18" t="s">
        <v>82</v>
      </c>
      <c r="X2" s="18" t="s">
        <v>82</v>
      </c>
      <c r="Y2" s="18" t="s">
        <v>87</v>
      </c>
      <c r="Z2" s="18" t="s">
        <v>82</v>
      </c>
    </row>
    <row r="3" spans="1:26" s="16" customFormat="1" x14ac:dyDescent="0.25">
      <c r="A3" s="17" t="s">
        <v>55</v>
      </c>
      <c r="B3" s="17">
        <v>20220830</v>
      </c>
      <c r="C3" s="6"/>
      <c r="D3" s="17" t="s">
        <v>46</v>
      </c>
      <c r="E3" s="17" t="s">
        <v>63</v>
      </c>
      <c r="F3" s="17" t="s">
        <v>37</v>
      </c>
      <c r="G3" s="16" t="s">
        <v>48</v>
      </c>
      <c r="H3" s="17" t="s">
        <v>41</v>
      </c>
      <c r="I3" s="16" t="s">
        <v>53</v>
      </c>
      <c r="J3" s="17">
        <v>10</v>
      </c>
      <c r="K3" s="17" t="s">
        <v>43</v>
      </c>
      <c r="L3" s="16" t="s">
        <v>72</v>
      </c>
      <c r="M3" s="16" t="s">
        <v>80</v>
      </c>
      <c r="N3" s="17" t="s">
        <v>82</v>
      </c>
      <c r="O3" s="17" t="s">
        <v>46</v>
      </c>
      <c r="P3" s="17" t="s">
        <v>45</v>
      </c>
      <c r="Q3" s="17"/>
      <c r="R3" s="17" t="s">
        <v>45</v>
      </c>
      <c r="S3" s="17"/>
      <c r="T3" s="18" t="s">
        <v>43</v>
      </c>
      <c r="U3" s="18" t="s">
        <v>85</v>
      </c>
      <c r="V3" s="18" t="s">
        <v>83</v>
      </c>
      <c r="W3" s="18" t="s">
        <v>82</v>
      </c>
      <c r="X3" s="18" t="s">
        <v>82</v>
      </c>
      <c r="Y3" s="18" t="s">
        <v>84</v>
      </c>
      <c r="Z3" s="18" t="s">
        <v>82</v>
      </c>
    </row>
    <row r="4" spans="1:26" s="16" customFormat="1" x14ac:dyDescent="0.25">
      <c r="A4" s="17" t="s">
        <v>56</v>
      </c>
      <c r="B4" s="17">
        <v>20220831</v>
      </c>
      <c r="C4" s="6"/>
      <c r="D4" s="17" t="s">
        <v>46</v>
      </c>
      <c r="E4" s="17" t="s">
        <v>64</v>
      </c>
      <c r="F4" s="17" t="s">
        <v>37</v>
      </c>
      <c r="G4" s="16" t="s">
        <v>48</v>
      </c>
      <c r="H4" s="17" t="s">
        <v>37</v>
      </c>
      <c r="I4" s="16" t="s">
        <v>48</v>
      </c>
      <c r="J4" s="17">
        <v>10</v>
      </c>
      <c r="K4" s="17" t="s">
        <v>44</v>
      </c>
      <c r="L4" s="16" t="s">
        <v>70</v>
      </c>
      <c r="M4" s="16" t="s">
        <v>78</v>
      </c>
      <c r="N4" s="17" t="s">
        <v>82</v>
      </c>
      <c r="O4" s="17" t="s">
        <v>46</v>
      </c>
      <c r="P4" s="17" t="s">
        <v>45</v>
      </c>
      <c r="Q4" s="17"/>
      <c r="R4" s="17" t="s">
        <v>45</v>
      </c>
      <c r="S4" s="17"/>
      <c r="T4" s="18"/>
      <c r="U4" s="18"/>
      <c r="V4" s="18"/>
      <c r="W4" s="18"/>
      <c r="X4" s="18"/>
      <c r="Y4" s="18" t="s">
        <v>84</v>
      </c>
      <c r="Z4" s="18"/>
    </row>
    <row r="5" spans="1:26" s="16" customFormat="1" x14ac:dyDescent="0.25">
      <c r="A5" s="17" t="s">
        <v>57</v>
      </c>
      <c r="B5" s="17">
        <v>20220831</v>
      </c>
      <c r="C5" s="6" t="s">
        <v>82</v>
      </c>
      <c r="D5" s="17" t="s">
        <v>46</v>
      </c>
      <c r="E5" s="17" t="s">
        <v>65</v>
      </c>
      <c r="F5" s="17" t="s">
        <v>42</v>
      </c>
      <c r="G5" s="16" t="s">
        <v>50</v>
      </c>
      <c r="H5" s="17" t="s">
        <v>42</v>
      </c>
      <c r="I5" s="16" t="s">
        <v>50</v>
      </c>
      <c r="J5" s="17">
        <v>10</v>
      </c>
      <c r="K5" s="17" t="s">
        <v>43</v>
      </c>
      <c r="L5" s="16" t="s">
        <v>73</v>
      </c>
      <c r="M5" s="16" t="s">
        <v>47</v>
      </c>
      <c r="N5" s="17"/>
      <c r="O5" s="19" t="s">
        <v>46</v>
      </c>
      <c r="P5" s="17" t="s">
        <v>45</v>
      </c>
      <c r="Q5" s="17"/>
      <c r="R5" s="17" t="s">
        <v>45</v>
      </c>
      <c r="S5" s="17"/>
      <c r="T5" s="18" t="s">
        <v>43</v>
      </c>
      <c r="U5" s="18" t="s">
        <v>88</v>
      </c>
      <c r="V5" s="18" t="s">
        <v>83</v>
      </c>
      <c r="W5" s="18" t="s">
        <v>82</v>
      </c>
      <c r="X5" s="18" t="s">
        <v>82</v>
      </c>
      <c r="Y5" s="18" t="s">
        <v>90</v>
      </c>
      <c r="Z5" s="18" t="s">
        <v>82</v>
      </c>
    </row>
    <row r="6" spans="1:26" s="16" customFormat="1" x14ac:dyDescent="0.25">
      <c r="A6" s="17" t="s">
        <v>58</v>
      </c>
      <c r="B6" s="17">
        <v>20220831</v>
      </c>
      <c r="C6" s="6" t="s">
        <v>82</v>
      </c>
      <c r="D6" s="17" t="s">
        <v>46</v>
      </c>
      <c r="E6" s="17" t="s">
        <v>66</v>
      </c>
      <c r="F6" s="17" t="s">
        <v>40</v>
      </c>
      <c r="G6" s="16" t="s">
        <v>49</v>
      </c>
      <c r="H6" s="17" t="s">
        <v>40</v>
      </c>
      <c r="I6" s="16" t="s">
        <v>49</v>
      </c>
      <c r="J6" s="17">
        <v>10</v>
      </c>
      <c r="K6" s="17" t="s">
        <v>43</v>
      </c>
      <c r="L6" s="16" t="s">
        <v>74</v>
      </c>
      <c r="M6" s="16" t="s">
        <v>47</v>
      </c>
      <c r="N6" s="17"/>
      <c r="O6" s="17" t="s">
        <v>46</v>
      </c>
      <c r="P6" s="17" t="s">
        <v>45</v>
      </c>
      <c r="Q6" s="17"/>
      <c r="R6" s="17" t="s">
        <v>45</v>
      </c>
      <c r="S6" s="17"/>
      <c r="T6" s="18" t="s">
        <v>43</v>
      </c>
      <c r="U6" s="18" t="s">
        <v>89</v>
      </c>
      <c r="V6" s="18" t="s">
        <v>83</v>
      </c>
      <c r="W6" s="18" t="s">
        <v>82</v>
      </c>
      <c r="X6" s="18" t="s">
        <v>82</v>
      </c>
      <c r="Y6" s="18" t="s">
        <v>90</v>
      </c>
      <c r="Z6" s="18" t="s">
        <v>82</v>
      </c>
    </row>
    <row r="7" spans="1:26" s="16" customFormat="1" x14ac:dyDescent="0.25">
      <c r="A7" s="17" t="s">
        <v>59</v>
      </c>
      <c r="B7" s="17">
        <v>20220831</v>
      </c>
      <c r="C7" s="6" t="s">
        <v>82</v>
      </c>
      <c r="D7" s="17" t="s">
        <v>46</v>
      </c>
      <c r="E7" s="17" t="s">
        <v>67</v>
      </c>
      <c r="F7" s="17" t="s">
        <v>40</v>
      </c>
      <c r="G7" s="16" t="s">
        <v>49</v>
      </c>
      <c r="H7" s="17" t="s">
        <v>40</v>
      </c>
      <c r="I7" s="16" t="s">
        <v>49</v>
      </c>
      <c r="J7" s="17">
        <v>10</v>
      </c>
      <c r="K7" s="17" t="s">
        <v>43</v>
      </c>
      <c r="L7" s="16" t="s">
        <v>75</v>
      </c>
      <c r="M7" s="16" t="s">
        <v>47</v>
      </c>
      <c r="N7" s="17" t="s">
        <v>82</v>
      </c>
      <c r="O7" s="17" t="s">
        <v>46</v>
      </c>
      <c r="P7" s="17" t="s">
        <v>45</v>
      </c>
      <c r="Q7" s="17"/>
      <c r="R7" s="17" t="s">
        <v>45</v>
      </c>
      <c r="S7" s="17"/>
      <c r="T7" s="18" t="s">
        <v>43</v>
      </c>
      <c r="U7" s="18" t="s">
        <v>91</v>
      </c>
      <c r="V7" s="18" t="s">
        <v>83</v>
      </c>
      <c r="W7" s="18" t="s">
        <v>82</v>
      </c>
      <c r="X7" s="18" t="s">
        <v>82</v>
      </c>
      <c r="Y7" s="18" t="s">
        <v>90</v>
      </c>
      <c r="Z7" s="18" t="s">
        <v>82</v>
      </c>
    </row>
    <row r="8" spans="1:26" s="16" customFormat="1" x14ac:dyDescent="0.25">
      <c r="A8" s="17" t="s">
        <v>60</v>
      </c>
      <c r="B8" s="17">
        <v>20220831</v>
      </c>
      <c r="C8" s="6"/>
      <c r="D8" s="17" t="s">
        <v>46</v>
      </c>
      <c r="E8" s="17" t="s">
        <v>68</v>
      </c>
      <c r="F8" s="17" t="s">
        <v>39</v>
      </c>
      <c r="G8" s="16" t="s">
        <v>51</v>
      </c>
      <c r="H8" s="17" t="s">
        <v>39</v>
      </c>
      <c r="I8" s="16" t="s">
        <v>51</v>
      </c>
      <c r="J8" s="17">
        <v>10</v>
      </c>
      <c r="K8" s="17" t="s">
        <v>43</v>
      </c>
      <c r="L8" s="16" t="s">
        <v>76</v>
      </c>
      <c r="M8" s="16" t="s">
        <v>47</v>
      </c>
      <c r="N8" s="17" t="s">
        <v>82</v>
      </c>
      <c r="O8" s="17" t="s">
        <v>46</v>
      </c>
      <c r="P8" s="17" t="s">
        <v>45</v>
      </c>
      <c r="Q8" s="17"/>
      <c r="R8" s="17" t="s">
        <v>45</v>
      </c>
      <c r="S8" s="17"/>
      <c r="T8" s="18"/>
      <c r="U8" s="18"/>
      <c r="V8" s="18"/>
      <c r="W8" s="18"/>
      <c r="X8" s="18"/>
      <c r="Y8" s="18"/>
      <c r="Z8" s="18"/>
    </row>
    <row r="9" spans="1:26" s="16" customFormat="1" x14ac:dyDescent="0.25">
      <c r="A9" s="17" t="s">
        <v>61</v>
      </c>
      <c r="B9" s="17">
        <v>20220831</v>
      </c>
      <c r="C9" s="6"/>
      <c r="D9" s="17" t="s">
        <v>46</v>
      </c>
      <c r="E9" s="17" t="s">
        <v>69</v>
      </c>
      <c r="F9" s="17" t="s">
        <v>40</v>
      </c>
      <c r="G9" s="16" t="s">
        <v>49</v>
      </c>
      <c r="H9" s="17" t="s">
        <v>40</v>
      </c>
      <c r="I9" s="16" t="s">
        <v>49</v>
      </c>
      <c r="J9" s="17">
        <v>6</v>
      </c>
      <c r="K9" s="17" t="s">
        <v>43</v>
      </c>
      <c r="L9" s="16" t="s">
        <v>77</v>
      </c>
      <c r="M9" s="16" t="s">
        <v>81</v>
      </c>
      <c r="N9" s="17" t="s">
        <v>82</v>
      </c>
      <c r="O9" s="17" t="s">
        <v>46</v>
      </c>
      <c r="P9" s="17" t="s">
        <v>45</v>
      </c>
      <c r="Q9" s="17"/>
      <c r="R9" s="17" t="s">
        <v>45</v>
      </c>
      <c r="S9" s="17"/>
      <c r="T9" s="18"/>
      <c r="U9" s="18"/>
      <c r="V9" s="18"/>
      <c r="W9" s="18"/>
      <c r="X9" s="18"/>
      <c r="Y9" s="18"/>
      <c r="Z9" s="18"/>
    </row>
  </sheetData>
  <autoFilter ref="A1:Z9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3"/>
  <sheetViews>
    <sheetView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0" t="s">
        <v>28</v>
      </c>
      <c r="B1" s="21"/>
      <c r="C1" s="22"/>
      <c r="D1" s="5"/>
      <c r="E1" s="20" t="s">
        <v>27</v>
      </c>
      <c r="F1" s="21"/>
      <c r="G1" s="22"/>
    </row>
    <row r="2" spans="1:7" ht="15.75" thickBot="1" x14ac:dyDescent="0.3">
      <c r="A2" s="23" t="s">
        <v>23</v>
      </c>
      <c r="B2" s="20" t="s">
        <v>24</v>
      </c>
      <c r="C2" s="22"/>
      <c r="D2" s="6"/>
      <c r="E2" s="23" t="s">
        <v>23</v>
      </c>
      <c r="F2" s="20" t="s">
        <v>24</v>
      </c>
      <c r="G2" s="25"/>
    </row>
    <row r="3" spans="1:7" ht="15.75" thickBot="1" x14ac:dyDescent="0.3">
      <c r="A3" s="24"/>
      <c r="B3" s="7" t="s">
        <v>25</v>
      </c>
      <c r="C3" s="7" t="s">
        <v>26</v>
      </c>
      <c r="D3" s="6"/>
      <c r="E3" s="24"/>
      <c r="F3" s="7" t="s">
        <v>25</v>
      </c>
      <c r="G3" s="7" t="s">
        <v>26</v>
      </c>
    </row>
    <row r="4" spans="1:7" ht="15.75" thickBot="1" x14ac:dyDescent="0.3">
      <c r="A4" s="14">
        <v>44805</v>
      </c>
      <c r="B4" s="14">
        <v>44789</v>
      </c>
      <c r="C4" s="15" t="s">
        <v>33</v>
      </c>
      <c r="D4" s="6"/>
      <c r="E4" s="8">
        <v>44805</v>
      </c>
      <c r="F4" s="8">
        <f t="shared" ref="F4:F33" si="0">E4-15</f>
        <v>44790</v>
      </c>
      <c r="G4" s="9" t="s">
        <v>34</v>
      </c>
    </row>
    <row r="5" spans="1:7" ht="15.75" thickBot="1" x14ac:dyDescent="0.3">
      <c r="A5" s="14">
        <v>44806</v>
      </c>
      <c r="B5" s="14">
        <v>44789</v>
      </c>
      <c r="C5" s="15" t="s">
        <v>33</v>
      </c>
      <c r="D5" s="6"/>
      <c r="E5" s="8">
        <v>44806</v>
      </c>
      <c r="F5" s="8">
        <f t="shared" si="0"/>
        <v>44791</v>
      </c>
      <c r="G5" s="9" t="s">
        <v>35</v>
      </c>
    </row>
    <row r="6" spans="1:7" ht="15.75" thickBot="1" x14ac:dyDescent="0.3">
      <c r="A6" s="14">
        <v>44807</v>
      </c>
      <c r="B6" s="14">
        <v>44789</v>
      </c>
      <c r="C6" s="15" t="s">
        <v>33</v>
      </c>
      <c r="D6" s="6"/>
      <c r="E6" s="14">
        <v>44807</v>
      </c>
      <c r="F6" s="14">
        <f t="shared" si="0"/>
        <v>44792</v>
      </c>
      <c r="G6" s="15" t="s">
        <v>36</v>
      </c>
    </row>
    <row r="7" spans="1:7" ht="15.75" thickBot="1" x14ac:dyDescent="0.3">
      <c r="A7" s="14">
        <v>44808</v>
      </c>
      <c r="B7" s="14">
        <v>44789</v>
      </c>
      <c r="C7" s="15" t="s">
        <v>33</v>
      </c>
      <c r="D7" s="6"/>
      <c r="E7" s="14">
        <v>44808</v>
      </c>
      <c r="F7" s="14">
        <v>44792</v>
      </c>
      <c r="G7" s="15" t="s">
        <v>36</v>
      </c>
    </row>
    <row r="8" spans="1:7" ht="15.75" thickBot="1" x14ac:dyDescent="0.3">
      <c r="A8" s="14">
        <v>44809</v>
      </c>
      <c r="B8" s="14">
        <v>44789</v>
      </c>
      <c r="C8" s="15" t="s">
        <v>33</v>
      </c>
      <c r="D8" s="6"/>
      <c r="E8" s="14">
        <v>44809</v>
      </c>
      <c r="F8" s="14">
        <v>44792</v>
      </c>
      <c r="G8" s="15" t="s">
        <v>36</v>
      </c>
    </row>
    <row r="9" spans="1:7" ht="15.75" thickBot="1" x14ac:dyDescent="0.3">
      <c r="A9" s="14">
        <v>44810</v>
      </c>
      <c r="B9" s="14">
        <v>44789</v>
      </c>
      <c r="C9" s="15" t="s">
        <v>33</v>
      </c>
      <c r="D9" s="6"/>
      <c r="E9" s="8">
        <v>44810</v>
      </c>
      <c r="F9" s="8">
        <f t="shared" si="0"/>
        <v>44795</v>
      </c>
      <c r="G9" s="9" t="s">
        <v>32</v>
      </c>
    </row>
    <row r="10" spans="1:7" ht="15.75" thickBot="1" x14ac:dyDescent="0.3">
      <c r="A10" s="14">
        <v>44811</v>
      </c>
      <c r="B10" s="14">
        <v>44789</v>
      </c>
      <c r="C10" s="15" t="s">
        <v>33</v>
      </c>
      <c r="D10" s="6"/>
      <c r="E10" s="8">
        <v>44811</v>
      </c>
      <c r="F10" s="8">
        <f t="shared" si="0"/>
        <v>44796</v>
      </c>
      <c r="G10" s="9" t="s">
        <v>33</v>
      </c>
    </row>
    <row r="11" spans="1:7" ht="15.75" thickBot="1" x14ac:dyDescent="0.3">
      <c r="A11" s="14">
        <v>44812</v>
      </c>
      <c r="B11" s="14">
        <v>44789</v>
      </c>
      <c r="C11" s="15" t="s">
        <v>33</v>
      </c>
      <c r="D11" s="6"/>
      <c r="E11" s="8">
        <v>44812</v>
      </c>
      <c r="F11" s="8">
        <f t="shared" si="0"/>
        <v>44797</v>
      </c>
      <c r="G11" s="9" t="s">
        <v>34</v>
      </c>
    </row>
    <row r="12" spans="1:7" ht="15.75" thickBot="1" x14ac:dyDescent="0.3">
      <c r="A12" s="14">
        <v>44813</v>
      </c>
      <c r="B12" s="14">
        <v>44789</v>
      </c>
      <c r="C12" s="15" t="s">
        <v>33</v>
      </c>
      <c r="D12" s="6"/>
      <c r="E12" s="8">
        <v>44813</v>
      </c>
      <c r="F12" s="8">
        <f t="shared" si="0"/>
        <v>44798</v>
      </c>
      <c r="G12" s="9" t="s">
        <v>35</v>
      </c>
    </row>
    <row r="13" spans="1:7" ht="15.75" thickBot="1" x14ac:dyDescent="0.3">
      <c r="A13" s="14">
        <v>44814</v>
      </c>
      <c r="B13" s="14">
        <v>44789</v>
      </c>
      <c r="C13" s="15" t="s">
        <v>33</v>
      </c>
      <c r="D13" s="6"/>
      <c r="E13" s="14">
        <v>44814</v>
      </c>
      <c r="F13" s="14">
        <f t="shared" si="0"/>
        <v>44799</v>
      </c>
      <c r="G13" s="15" t="s">
        <v>36</v>
      </c>
    </row>
    <row r="14" spans="1:7" ht="15.75" thickBot="1" x14ac:dyDescent="0.3">
      <c r="A14" s="14">
        <v>44815</v>
      </c>
      <c r="B14" s="14">
        <v>44789</v>
      </c>
      <c r="C14" s="15" t="s">
        <v>33</v>
      </c>
      <c r="D14" s="6"/>
      <c r="E14" s="14">
        <v>44815</v>
      </c>
      <c r="F14" s="14">
        <v>44799</v>
      </c>
      <c r="G14" s="15" t="s">
        <v>36</v>
      </c>
    </row>
    <row r="15" spans="1:7" ht="15.75" thickBot="1" x14ac:dyDescent="0.3">
      <c r="A15" s="14">
        <v>44816</v>
      </c>
      <c r="B15" s="14">
        <v>44789</v>
      </c>
      <c r="C15" s="15" t="s">
        <v>33</v>
      </c>
      <c r="D15" s="6"/>
      <c r="E15" s="14">
        <v>44816</v>
      </c>
      <c r="F15" s="14">
        <v>44799</v>
      </c>
      <c r="G15" s="15" t="s">
        <v>36</v>
      </c>
    </row>
    <row r="16" spans="1:7" ht="15.75" thickBot="1" x14ac:dyDescent="0.3">
      <c r="A16" s="14">
        <v>44817</v>
      </c>
      <c r="B16" s="14">
        <v>44789</v>
      </c>
      <c r="C16" s="15" t="s">
        <v>33</v>
      </c>
      <c r="D16" s="6"/>
      <c r="E16" s="8">
        <v>44817</v>
      </c>
      <c r="F16" s="8">
        <f t="shared" si="0"/>
        <v>44802</v>
      </c>
      <c r="G16" s="9" t="s">
        <v>32</v>
      </c>
    </row>
    <row r="17" spans="1:7" ht="15.75" thickBot="1" x14ac:dyDescent="0.3">
      <c r="A17" s="14">
        <v>44818</v>
      </c>
      <c r="B17" s="14">
        <v>44789</v>
      </c>
      <c r="C17" s="15" t="s">
        <v>33</v>
      </c>
      <c r="D17" s="6"/>
      <c r="E17" s="8">
        <v>44818</v>
      </c>
      <c r="F17" s="8">
        <f t="shared" si="0"/>
        <v>44803</v>
      </c>
      <c r="G17" s="9" t="s">
        <v>33</v>
      </c>
    </row>
    <row r="18" spans="1:7" ht="15.75" thickBot="1" x14ac:dyDescent="0.3">
      <c r="A18" s="14">
        <v>44819</v>
      </c>
      <c r="B18" s="14">
        <f t="shared" ref="B18:B33" si="1">A18-30</f>
        <v>44789</v>
      </c>
      <c r="C18" s="15" t="s">
        <v>33</v>
      </c>
      <c r="D18" s="6"/>
      <c r="E18" s="8">
        <v>44819</v>
      </c>
      <c r="F18" s="8">
        <f t="shared" si="0"/>
        <v>44804</v>
      </c>
      <c r="G18" s="9" t="s">
        <v>34</v>
      </c>
    </row>
    <row r="19" spans="1:7" ht="15.75" thickBot="1" x14ac:dyDescent="0.3">
      <c r="A19" s="8">
        <v>44820</v>
      </c>
      <c r="B19" s="8">
        <f t="shared" si="1"/>
        <v>44790</v>
      </c>
      <c r="C19" s="9" t="s">
        <v>34</v>
      </c>
      <c r="D19" s="6"/>
      <c r="E19" s="8">
        <v>44820</v>
      </c>
      <c r="F19" s="8">
        <f t="shared" si="0"/>
        <v>44805</v>
      </c>
      <c r="G19" s="9" t="s">
        <v>35</v>
      </c>
    </row>
    <row r="20" spans="1:7" ht="15.75" thickBot="1" x14ac:dyDescent="0.3">
      <c r="A20" s="8">
        <v>44821</v>
      </c>
      <c r="B20" s="8">
        <f t="shared" si="1"/>
        <v>44791</v>
      </c>
      <c r="C20" s="9" t="s">
        <v>35</v>
      </c>
      <c r="D20" s="6"/>
      <c r="E20" s="14">
        <v>44821</v>
      </c>
      <c r="F20" s="14">
        <f t="shared" si="0"/>
        <v>44806</v>
      </c>
      <c r="G20" s="15" t="s">
        <v>36</v>
      </c>
    </row>
    <row r="21" spans="1:7" ht="15.75" thickBot="1" x14ac:dyDescent="0.3">
      <c r="A21" s="14">
        <v>44822</v>
      </c>
      <c r="B21" s="14">
        <f t="shared" si="1"/>
        <v>44792</v>
      </c>
      <c r="C21" s="15" t="s">
        <v>36</v>
      </c>
      <c r="D21" s="6"/>
      <c r="E21" s="14">
        <v>44822</v>
      </c>
      <c r="F21" s="14">
        <v>44806</v>
      </c>
      <c r="G21" s="15" t="s">
        <v>36</v>
      </c>
    </row>
    <row r="22" spans="1:7" ht="15.75" thickBot="1" x14ac:dyDescent="0.3">
      <c r="A22" s="14">
        <v>44823</v>
      </c>
      <c r="B22" s="14">
        <v>44792</v>
      </c>
      <c r="C22" s="15" t="s">
        <v>36</v>
      </c>
      <c r="D22" s="6"/>
      <c r="E22" s="14">
        <v>44823</v>
      </c>
      <c r="F22" s="14">
        <v>44806</v>
      </c>
      <c r="G22" s="15" t="s">
        <v>36</v>
      </c>
    </row>
    <row r="23" spans="1:7" ht="15.75" thickBot="1" x14ac:dyDescent="0.3">
      <c r="A23" s="14">
        <v>44824</v>
      </c>
      <c r="B23" s="14">
        <v>44792</v>
      </c>
      <c r="C23" s="15" t="s">
        <v>36</v>
      </c>
      <c r="D23" s="6"/>
      <c r="E23" s="8">
        <v>44824</v>
      </c>
      <c r="F23" s="8">
        <f t="shared" si="0"/>
        <v>44809</v>
      </c>
      <c r="G23" s="9" t="s">
        <v>32</v>
      </c>
    </row>
    <row r="24" spans="1:7" ht="15.75" thickBot="1" x14ac:dyDescent="0.3">
      <c r="A24" s="8">
        <v>44825</v>
      </c>
      <c r="B24" s="8">
        <f t="shared" si="1"/>
        <v>44795</v>
      </c>
      <c r="C24" s="9" t="s">
        <v>32</v>
      </c>
      <c r="D24" s="6"/>
      <c r="E24" s="14">
        <v>44825</v>
      </c>
      <c r="F24" s="14">
        <f t="shared" si="0"/>
        <v>44810</v>
      </c>
      <c r="G24" s="15" t="s">
        <v>33</v>
      </c>
    </row>
    <row r="25" spans="1:7" ht="15.75" thickBot="1" x14ac:dyDescent="0.3">
      <c r="A25" s="8">
        <v>44826</v>
      </c>
      <c r="B25" s="8">
        <f t="shared" si="1"/>
        <v>44796</v>
      </c>
      <c r="C25" s="9" t="s">
        <v>33</v>
      </c>
      <c r="D25" s="6"/>
      <c r="E25" s="14">
        <v>44826</v>
      </c>
      <c r="F25" s="14">
        <v>44810</v>
      </c>
      <c r="G25" s="15" t="s">
        <v>33</v>
      </c>
    </row>
    <row r="26" spans="1:7" ht="15.75" thickBot="1" x14ac:dyDescent="0.3">
      <c r="A26" s="8">
        <v>44827</v>
      </c>
      <c r="B26" s="8">
        <f t="shared" si="1"/>
        <v>44797</v>
      </c>
      <c r="C26" s="9" t="s">
        <v>34</v>
      </c>
      <c r="D26" s="6"/>
      <c r="E26" s="8">
        <v>44827</v>
      </c>
      <c r="F26" s="8">
        <f t="shared" si="0"/>
        <v>44812</v>
      </c>
      <c r="G26" s="9" t="s">
        <v>35</v>
      </c>
    </row>
    <row r="27" spans="1:7" ht="15.75" thickBot="1" x14ac:dyDescent="0.3">
      <c r="A27" s="8">
        <v>44828</v>
      </c>
      <c r="B27" s="8">
        <f t="shared" si="1"/>
        <v>44798</v>
      </c>
      <c r="C27" s="9" t="s">
        <v>35</v>
      </c>
      <c r="D27" s="6"/>
      <c r="E27" s="14">
        <v>44828</v>
      </c>
      <c r="F27" s="14">
        <f t="shared" si="0"/>
        <v>44813</v>
      </c>
      <c r="G27" s="15" t="s">
        <v>36</v>
      </c>
    </row>
    <row r="28" spans="1:7" ht="15.75" thickBot="1" x14ac:dyDescent="0.3">
      <c r="A28" s="14">
        <v>44829</v>
      </c>
      <c r="B28" s="14">
        <f t="shared" si="1"/>
        <v>44799</v>
      </c>
      <c r="C28" s="15" t="s">
        <v>36</v>
      </c>
      <c r="D28" s="6"/>
      <c r="E28" s="14">
        <v>44829</v>
      </c>
      <c r="F28" s="14">
        <v>44813</v>
      </c>
      <c r="G28" s="15" t="s">
        <v>36</v>
      </c>
    </row>
    <row r="29" spans="1:7" ht="15.75" thickBot="1" x14ac:dyDescent="0.3">
      <c r="A29" s="14">
        <v>44830</v>
      </c>
      <c r="B29" s="14">
        <v>44799</v>
      </c>
      <c r="C29" s="15" t="s">
        <v>36</v>
      </c>
      <c r="D29" s="6"/>
      <c r="E29" s="14">
        <v>44830</v>
      </c>
      <c r="F29" s="14">
        <v>44813</v>
      </c>
      <c r="G29" s="15" t="s">
        <v>36</v>
      </c>
    </row>
    <row r="30" spans="1:7" ht="15.75" thickBot="1" x14ac:dyDescent="0.3">
      <c r="A30" s="14">
        <v>44831</v>
      </c>
      <c r="B30" s="14">
        <v>44799</v>
      </c>
      <c r="C30" s="15" t="s">
        <v>36</v>
      </c>
      <c r="D30" s="6"/>
      <c r="E30" s="8">
        <v>44831</v>
      </c>
      <c r="F30" s="8">
        <f t="shared" si="0"/>
        <v>44816</v>
      </c>
      <c r="G30" s="9" t="s">
        <v>32</v>
      </c>
    </row>
    <row r="31" spans="1:7" ht="15.75" thickBot="1" x14ac:dyDescent="0.3">
      <c r="A31" s="8">
        <v>44832</v>
      </c>
      <c r="B31" s="8">
        <f t="shared" si="1"/>
        <v>44802</v>
      </c>
      <c r="C31" s="9" t="s">
        <v>32</v>
      </c>
      <c r="D31" s="6"/>
      <c r="E31" s="8">
        <v>44832</v>
      </c>
      <c r="F31" s="8">
        <f t="shared" si="0"/>
        <v>44817</v>
      </c>
      <c r="G31" s="9" t="s">
        <v>33</v>
      </c>
    </row>
    <row r="32" spans="1:7" ht="15.75" thickBot="1" x14ac:dyDescent="0.3">
      <c r="A32" s="8">
        <v>44833</v>
      </c>
      <c r="B32" s="8">
        <f t="shared" si="1"/>
        <v>44803</v>
      </c>
      <c r="C32" s="9" t="s">
        <v>33</v>
      </c>
      <c r="E32" s="8">
        <v>44833</v>
      </c>
      <c r="F32" s="8">
        <f t="shared" si="0"/>
        <v>44818</v>
      </c>
      <c r="G32" s="9" t="s">
        <v>34</v>
      </c>
    </row>
    <row r="33" spans="1:7" ht="15.75" thickBot="1" x14ac:dyDescent="0.3">
      <c r="A33" s="8">
        <v>44834</v>
      </c>
      <c r="B33" s="8">
        <f t="shared" si="1"/>
        <v>44804</v>
      </c>
      <c r="C33" s="9" t="s">
        <v>34</v>
      </c>
      <c r="E33" s="8">
        <v>44834</v>
      </c>
      <c r="F33" s="8">
        <f t="shared" si="0"/>
        <v>44819</v>
      </c>
      <c r="G33" s="9" t="s">
        <v>35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2022-08-17T18:01:32Z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