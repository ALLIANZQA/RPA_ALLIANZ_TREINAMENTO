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53222"/>
  <mc:AlternateContent xmlns:mc="http://schemas.openxmlformats.org/markup-compatibility/2006">
    <mc:Choice Requires="x15">
      <x15ac:absPath xmlns:x15ac="http://schemas.microsoft.com/office/spreadsheetml/2010/11/ac" url="C:\Katalon\Projetos\SINISTROS\GIS_Reabre_Reavalia_Sinistro\Data Files\"/>
    </mc:Choice>
  </mc:AlternateContent>
  <bookViews>
    <workbookView xWindow="0" yWindow="0" windowWidth="20490" windowHeight="7910"/>
  </bookViews>
  <sheets>
    <sheet name="Planilha1" sheetId="2" r:id="rId1"/>
    <sheet name="Plan1" sheetId="1" r:id="rId2"/>
  </sheets>
  <definedNames>
    <definedName name="_xlnm._FilterDatabase" localSheetId="1" hidden="1">Plan1!$A$1:$G$718</definedName>
    <definedName name="_xlnm._FilterDatabase" localSheetId="0" hidden="1">Planilha1!$A$1:$I$341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1" i="2" l="1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E2" i="2"/>
  <c r="C2" i="2"/>
  <c r="B2" i="2"/>
</calcChain>
</file>

<file path=xl/sharedStrings.xml><?xml version="1.0" encoding="utf-8"?>
<sst xmlns="http://schemas.openxmlformats.org/spreadsheetml/2006/main" count="2847" uniqueCount="358">
  <si>
    <t>Susep</t>
  </si>
  <si>
    <t>Cobertura</t>
  </si>
  <si>
    <t>Nome Cobertura</t>
  </si>
  <si>
    <t>Status Sinistro</t>
  </si>
  <si>
    <t>Apolice</t>
  </si>
  <si>
    <t>DESPESAS FARMACEUTICAS</t>
  </si>
  <si>
    <t>REABERTO</t>
  </si>
  <si>
    <t>VIMTP07000016238</t>
  </si>
  <si>
    <t>DESPESAS ODONTOLOGICAS</t>
  </si>
  <si>
    <t>VIMTP20000048303</t>
  </si>
  <si>
    <t>DESPESAS MEDICAS, HOSPITALARES</t>
  </si>
  <si>
    <t>ENCERRADO</t>
  </si>
  <si>
    <t>VIMTP07000093358</t>
  </si>
  <si>
    <t>VIEGA02000124079</t>
  </si>
  <si>
    <t>VIAGA06000150284</t>
  </si>
  <si>
    <t>VIMTP20000194433</t>
  </si>
  <si>
    <t>VIMTP08000162623</t>
  </si>
  <si>
    <t>VIAGA18000204434</t>
  </si>
  <si>
    <t>VIAGA05000202332</t>
  </si>
  <si>
    <t>VIAGA17000253425</t>
  </si>
  <si>
    <t>VIMTP19000166479</t>
  </si>
  <si>
    <t>VIEGA02000288303</t>
  </si>
  <si>
    <t>VIMTP07000347949</t>
  </si>
  <si>
    <t>ABERTO</t>
  </si>
  <si>
    <t>VIMTP19000300939</t>
  </si>
  <si>
    <t>VIEGA02000288656</t>
  </si>
  <si>
    <t>VIAGA60000351666</t>
  </si>
  <si>
    <t>VIMTP12000403290</t>
  </si>
  <si>
    <t>VIMTP08000228881</t>
  </si>
  <si>
    <t>VIMTP08000450233</t>
  </si>
  <si>
    <t>VIAGA68000334582</t>
  </si>
  <si>
    <t>VIMTP08000455508</t>
  </si>
  <si>
    <t>VIAGA68000350435</t>
  </si>
  <si>
    <t>VIMTP20000455654</t>
  </si>
  <si>
    <t>VIMTP41000491532</t>
  </si>
  <si>
    <t>VIMTP19000486627</t>
  </si>
  <si>
    <t>REGRESSO SANITARIO</t>
  </si>
  <si>
    <t>VIMTP19000435615</t>
  </si>
  <si>
    <t>VIAGA54000482286</t>
  </si>
  <si>
    <t>VIMTP19000395186</t>
  </si>
  <si>
    <t>VIMTP20000484408</t>
  </si>
  <si>
    <t>VIMTP07000492840</t>
  </si>
  <si>
    <t>VIAGA15000499582</t>
  </si>
  <si>
    <t>CANCELAMENTO, INTERRUPÇÃO  E EXTENSÃO DE VIAGEM</t>
  </si>
  <si>
    <t>VIMTP08000516401</t>
  </si>
  <si>
    <t>VIMTP08000519451</t>
  </si>
  <si>
    <t>VIMTP07000418488</t>
  </si>
  <si>
    <t>VIMTP33000423871</t>
  </si>
  <si>
    <t>VIMTP33000536749</t>
  </si>
  <si>
    <t>VIMTP33000445798</t>
  </si>
  <si>
    <t>VIMTP08000490008</t>
  </si>
  <si>
    <t>VISUB05000523214</t>
  </si>
  <si>
    <t>VIMTP08000505924</t>
  </si>
  <si>
    <t>VIMTP08000456878</t>
  </si>
  <si>
    <t>VIMTP33000523655</t>
  </si>
  <si>
    <t>VIMTP08000454968</t>
  </si>
  <si>
    <t>VIAGA62000507525</t>
  </si>
  <si>
    <t>VIAGA60000554658</t>
  </si>
  <si>
    <t>VITAM24000460003</t>
  </si>
  <si>
    <t>TRASLADO MEDICO</t>
  </si>
  <si>
    <t>VIAGA67000609670</t>
  </si>
  <si>
    <t>VIMTP07000602978</t>
  </si>
  <si>
    <t>VIMTP08000593116</t>
  </si>
  <si>
    <t>VIMTP08000630100</t>
  </si>
  <si>
    <t>VIMTP08000632202</t>
  </si>
  <si>
    <t>VIMTP11000530678</t>
  </si>
  <si>
    <t>VIMTP11000613901</t>
  </si>
  <si>
    <t>VIMTP08000515522</t>
  </si>
  <si>
    <t>VIMTP08000568791</t>
  </si>
  <si>
    <t>VIMTP07000525931</t>
  </si>
  <si>
    <t>VIMTP07000640471</t>
  </si>
  <si>
    <t>VIMTP07000452506</t>
  </si>
  <si>
    <t>VIMTP11000673778</t>
  </si>
  <si>
    <t>VIMTP11000649137</t>
  </si>
  <si>
    <t>VIMTP12000642689</t>
  </si>
  <si>
    <t>EXTRAVIO DE BAGAGEM</t>
  </si>
  <si>
    <t>VIMTP19000580693</t>
  </si>
  <si>
    <t>VIAGA18000286788</t>
  </si>
  <si>
    <t>VIMTP12000659512</t>
  </si>
  <si>
    <t>VIMTP12000657951</t>
  </si>
  <si>
    <t>VIAGA68000676717</t>
  </si>
  <si>
    <t>VIMTP08000641672</t>
  </si>
  <si>
    <t>VIMTP08000678432</t>
  </si>
  <si>
    <t>VIMTP11000557552</t>
  </si>
  <si>
    <t>VIMTP20000683757</t>
  </si>
  <si>
    <t>VIMTP07000552175</t>
  </si>
  <si>
    <t>VIMTP12000688514</t>
  </si>
  <si>
    <t>VIMTP08000566821</t>
  </si>
  <si>
    <t>VIMTP07000525929</t>
  </si>
  <si>
    <t>VIAGA70000660512</t>
  </si>
  <si>
    <t>VIAGA68000619951</t>
  </si>
  <si>
    <t>VIMTP11000592713</t>
  </si>
  <si>
    <t>VIMTP19000654157</t>
  </si>
  <si>
    <t>VIAGA62000453820</t>
  </si>
  <si>
    <t>VIAGA54000555022</t>
  </si>
  <si>
    <t>VIMTP19000575271</t>
  </si>
  <si>
    <t>VIMTP20000695958</t>
  </si>
  <si>
    <t>VIMTP07000621908</t>
  </si>
  <si>
    <t>VIMTP12000714406</t>
  </si>
  <si>
    <t>VISUB14000420219</t>
  </si>
  <si>
    <t>VIMTP08000713239</t>
  </si>
  <si>
    <t>VIMTP11000676601</t>
  </si>
  <si>
    <t>VIMTP07000695964</t>
  </si>
  <si>
    <t>REGRESSO ANTECIPADO DO SEGURADO</t>
  </si>
  <si>
    <t>VIMTP11000702875</t>
  </si>
  <si>
    <t>VIMTP11000507497</t>
  </si>
  <si>
    <t>VIMTP11000707555</t>
  </si>
  <si>
    <t>VIMTP11000654797</t>
  </si>
  <si>
    <t>VIMTP08000596082</t>
  </si>
  <si>
    <t>VIMTP08000727974</t>
  </si>
  <si>
    <t>VIMTP11000737858</t>
  </si>
  <si>
    <t>VIMTP20000730732</t>
  </si>
  <si>
    <t>VIMTP19000643388</t>
  </si>
  <si>
    <t>VIMTP07000730052</t>
  </si>
  <si>
    <t>VIMTP12000725965</t>
  </si>
  <si>
    <t>VIMTP08000718462</t>
  </si>
  <si>
    <t>VIAGA54000756365</t>
  </si>
  <si>
    <t>VIMTP19000709023</t>
  </si>
  <si>
    <t>VIMTP08000757056</t>
  </si>
  <si>
    <t>VIMTP33000753578</t>
  </si>
  <si>
    <t>VIAGA54000745774</t>
  </si>
  <si>
    <t>VIMTP08000715005</t>
  </si>
  <si>
    <t>VIMTP34000759334</t>
  </si>
  <si>
    <t>VIIBE01000729981</t>
  </si>
  <si>
    <t>VIMTP20000478972</t>
  </si>
  <si>
    <t>VIMTP08000758370</t>
  </si>
  <si>
    <t>VIMTP19000761670</t>
  </si>
  <si>
    <t>VIMTP08000758698</t>
  </si>
  <si>
    <t>VIMTP33000760991</t>
  </si>
  <si>
    <t>VIMTP07000592300</t>
  </si>
  <si>
    <t>VIMTP08000771404</t>
  </si>
  <si>
    <t>VIAGA15000774685</t>
  </si>
  <si>
    <t>VIAGA52000745148</t>
  </si>
  <si>
    <t>VIAGA54000775312</t>
  </si>
  <si>
    <t>VIMTP12000779269</t>
  </si>
  <si>
    <t>VIMTP19000569308</t>
  </si>
  <si>
    <t>VIAGA60000759918</t>
  </si>
  <si>
    <t>VIAGA54000743138</t>
  </si>
  <si>
    <t>VIAGA54000697866</t>
  </si>
  <si>
    <t>VIMTP07000570675</t>
  </si>
  <si>
    <t>VIMTP33000769071</t>
  </si>
  <si>
    <t>VIIBE01000755563</t>
  </si>
  <si>
    <t>VIMTP11000782163</t>
  </si>
  <si>
    <t>VIMTP34000763182</t>
  </si>
  <si>
    <t>VIMTP33000777156</t>
  </si>
  <si>
    <t>VIAGA60000778958</t>
  </si>
  <si>
    <t>VIMTP19000737063</t>
  </si>
  <si>
    <t>VIMTP07000727376</t>
  </si>
  <si>
    <t>VIMTP33000785562</t>
  </si>
  <si>
    <t>VIMTP19000727520</t>
  </si>
  <si>
    <t>VIMTP19000774274</t>
  </si>
  <si>
    <t>VIMTP08000750528</t>
  </si>
  <si>
    <t>VIMTP19000794839</t>
  </si>
  <si>
    <t>VIMTP33000576124</t>
  </si>
  <si>
    <t>VIAGA68000610800</t>
  </si>
  <si>
    <t>VIMTP08000789212</t>
  </si>
  <si>
    <t>VIMTP11000796996</t>
  </si>
  <si>
    <t>VIMTP08000766602</t>
  </si>
  <si>
    <t>VIMTP08000798203</t>
  </si>
  <si>
    <t>VIMTP33000794912</t>
  </si>
  <si>
    <t>VIMTP11000796994</t>
  </si>
  <si>
    <t>VIMTP11000796995</t>
  </si>
  <si>
    <t>VIMTP07000770560</t>
  </si>
  <si>
    <t>VIMTP12000803588</t>
  </si>
  <si>
    <t>VIMTP12000803696</t>
  </si>
  <si>
    <t>VIMTP08000788925</t>
  </si>
  <si>
    <t>VIMTP08000814974</t>
  </si>
  <si>
    <t>VIMTP08000786764</t>
  </si>
  <si>
    <t>HOSPEDAGEM DE ACOMPANHANTE</t>
  </si>
  <si>
    <t>VIMTP41000824131</t>
  </si>
  <si>
    <t>VIMTP19000831362</t>
  </si>
  <si>
    <t>VIMTP07000812680</t>
  </si>
  <si>
    <t>VIMTP08000800789</t>
  </si>
  <si>
    <t>VIMTP08000809315</t>
  </si>
  <si>
    <t>VIMTP19000712938</t>
  </si>
  <si>
    <t>VIMTP19000712937</t>
  </si>
  <si>
    <t>VIMTP20000762056</t>
  </si>
  <si>
    <t>VIMTP33000826472</t>
  </si>
  <si>
    <t>VIMTP11000829685</t>
  </si>
  <si>
    <t>VIMTP08000761010</t>
  </si>
  <si>
    <t>VIMTP11000776613</t>
  </si>
  <si>
    <t>VIMTP19000761817</t>
  </si>
  <si>
    <t>VIMTP08000827361</t>
  </si>
  <si>
    <t>VIMTP07000852336</t>
  </si>
  <si>
    <t>VIMTP07000787111</t>
  </si>
  <si>
    <t>TRASLADO DE CORPO</t>
  </si>
  <si>
    <t>VIMTP08000823808</t>
  </si>
  <si>
    <t>VIMTP07000856474</t>
  </si>
  <si>
    <t>VIMTP07000860583</t>
  </si>
  <si>
    <t>VIAGA68000863344</t>
  </si>
  <si>
    <t>VIMTP08000861769</t>
  </si>
  <si>
    <t>RETORNO DE MENORES</t>
  </si>
  <si>
    <t>VIAGA68000863345</t>
  </si>
  <si>
    <t>VIMTP19000830148</t>
  </si>
  <si>
    <t>VIMTP08000829303</t>
  </si>
  <si>
    <t>VIMTP08000844368</t>
  </si>
  <si>
    <t>VIMTP08000863725</t>
  </si>
  <si>
    <t>VIAGA15000854542</t>
  </si>
  <si>
    <t>VIMTP07000766907</t>
  </si>
  <si>
    <t>VIMTP08000821068</t>
  </si>
  <si>
    <t>VIMTP08000786582</t>
  </si>
  <si>
    <t>VIMTP08000847628</t>
  </si>
  <si>
    <t>VIMTP07000861475</t>
  </si>
  <si>
    <t>VIAGA52000846989</t>
  </si>
  <si>
    <t>VIAGA15000781659</t>
  </si>
  <si>
    <t>VIMTP08000861810</t>
  </si>
  <si>
    <t>VIMTP07000869567</t>
  </si>
  <si>
    <t>VIMTP07000861914</t>
  </si>
  <si>
    <t>VIAGA68000798482</t>
  </si>
  <si>
    <t>VIMTP19000852666</t>
  </si>
  <si>
    <t>VIMTP08000596274</t>
  </si>
  <si>
    <t>VIMTP08000596275</t>
  </si>
  <si>
    <t>VIAGA54000821551</t>
  </si>
  <si>
    <t>VIMTP33000878700</t>
  </si>
  <si>
    <t>VIAGA52000858960</t>
  </si>
  <si>
    <t>VIMTP08000860007</t>
  </si>
  <si>
    <t>VIAGA54000869174</t>
  </si>
  <si>
    <t>VIMTP16000880282</t>
  </si>
  <si>
    <t>VIMTP33000874341</t>
  </si>
  <si>
    <t>VIMTP08000854753</t>
  </si>
  <si>
    <t>VIMTP08000800487</t>
  </si>
  <si>
    <t>VIMTP19000874757</t>
  </si>
  <si>
    <t>VIMTP19000846492</t>
  </si>
  <si>
    <t>MORTE ACIDENTAL</t>
  </si>
  <si>
    <t>VIMTP40000883108</t>
  </si>
  <si>
    <t>VIMTP08000798488</t>
  </si>
  <si>
    <t>VIMTP08000800486</t>
  </si>
  <si>
    <t>VIMTP08000832863</t>
  </si>
  <si>
    <t>VIAGA68000869971</t>
  </si>
  <si>
    <t>VIMTP08000837944</t>
  </si>
  <si>
    <t>VIMTP19000801588</t>
  </si>
  <si>
    <t>VIMTP08000776041</t>
  </si>
  <si>
    <t>VIAGA15000856968</t>
  </si>
  <si>
    <t>VIMTP19000859355</t>
  </si>
  <si>
    <t>VIMTP08000859649</t>
  </si>
  <si>
    <t>VIMTP41000827630</t>
  </si>
  <si>
    <t>VIMTP21000824311</t>
  </si>
  <si>
    <t>VIMTP19000874142</t>
  </si>
  <si>
    <t>VIMTP08000847668</t>
  </si>
  <si>
    <t>VIAGA54000848576</t>
  </si>
  <si>
    <t>VIMTP08000880449</t>
  </si>
  <si>
    <t>VIMTP08000818618</t>
  </si>
  <si>
    <t>VIMTP08000818619</t>
  </si>
  <si>
    <t>VIMTP08000885373</t>
  </si>
  <si>
    <t>VIMTP20000869415</t>
  </si>
  <si>
    <t>DESPESAS COM FISIOTERAPIA</t>
  </si>
  <si>
    <t>VIMTP07000615398</t>
  </si>
  <si>
    <t>VIMTP08000789439</t>
  </si>
  <si>
    <t>VIMTP34000878577</t>
  </si>
  <si>
    <t>HOSPEDAGEM APOS ALTA HOSPITALAR</t>
  </si>
  <si>
    <t>VIMTP08000823893</t>
  </si>
  <si>
    <t>VIMTP19000859079</t>
  </si>
  <si>
    <t>VIMTP08000880615</t>
  </si>
  <si>
    <t>VISUB05000548933</t>
  </si>
  <si>
    <t>VIMTP08000876098</t>
  </si>
  <si>
    <t>VIMTP08000849511</t>
  </si>
  <si>
    <t>VIAGA67000880541</t>
  </si>
  <si>
    <t>VIMTP08000881644</t>
  </si>
  <si>
    <t>VIMTP33000738959</t>
  </si>
  <si>
    <t>VIMTP19000867683</t>
  </si>
  <si>
    <t>VIAGA52000835995</t>
  </si>
  <si>
    <t>VIMTP12000887425</t>
  </si>
  <si>
    <t>VIMTP12000887424</t>
  </si>
  <si>
    <t>VIMTP08000590442</t>
  </si>
  <si>
    <t>VIAGA54000815099</t>
  </si>
  <si>
    <t>VIMTP16000832192</t>
  </si>
  <si>
    <t>VIMTP19000888363</t>
  </si>
  <si>
    <t>VIMTP19000888364</t>
  </si>
  <si>
    <t>VIAGA68000815898</t>
  </si>
  <si>
    <t>VIAGA60000878200</t>
  </si>
  <si>
    <t>VIAGA15000855119</t>
  </si>
  <si>
    <t>VIMTP08000834613</t>
  </si>
  <si>
    <t>VIMTP08000834614</t>
  </si>
  <si>
    <t>VIMTP33000802418</t>
  </si>
  <si>
    <t>VIMTP08000910654</t>
  </si>
  <si>
    <t>VIAGA52000845626</t>
  </si>
  <si>
    <t>VIMTP33000829181</t>
  </si>
  <si>
    <t>VIMTP08000825049</t>
  </si>
  <si>
    <t>VIMTP11000911365</t>
  </si>
  <si>
    <t>VIMTP08000886233</t>
  </si>
  <si>
    <t>VIAGA68000794900</t>
  </si>
  <si>
    <t>VIAGA52000645000</t>
  </si>
  <si>
    <t>VIMTP07000593017</t>
  </si>
  <si>
    <t>VIAGA54000793611</t>
  </si>
  <si>
    <t>VIMTP19000797141</t>
  </si>
  <si>
    <t>VIMTP08000837400</t>
  </si>
  <si>
    <t>VIMTP20000908478</t>
  </si>
  <si>
    <t>VIMTP07000877433</t>
  </si>
  <si>
    <t>VIMTP33000918266</t>
  </si>
  <si>
    <t>VIMTP07000864794</t>
  </si>
  <si>
    <t>VIMTP19000908883</t>
  </si>
  <si>
    <t>VIMTP33000743939</t>
  </si>
  <si>
    <t>VIAGA54000911261</t>
  </si>
  <si>
    <t>VIMTP08000904039</t>
  </si>
  <si>
    <t>VIMTP08000898694</t>
  </si>
  <si>
    <t>VIAGA68000860830</t>
  </si>
  <si>
    <t>VIMTP08000920154</t>
  </si>
  <si>
    <t>VIMTP16000818871</t>
  </si>
  <si>
    <t>VIAGA52000869385</t>
  </si>
  <si>
    <t>VIAGA54000889440</t>
  </si>
  <si>
    <t>VIMTP33000855592</t>
  </si>
  <si>
    <t>VIMTP07000909261</t>
  </si>
  <si>
    <t>VIMTP19000587134</t>
  </si>
  <si>
    <t>VIAGA15000923830</t>
  </si>
  <si>
    <t>VIMTP07000926161</t>
  </si>
  <si>
    <t>VIMTP19000899585</t>
  </si>
  <si>
    <t>VIAGA68000929039</t>
  </si>
  <si>
    <t>VIMTP33000855096</t>
  </si>
  <si>
    <t>VIMTP08000895631</t>
  </si>
  <si>
    <t>VIMTP19000862832</t>
  </si>
  <si>
    <t>VIAGA54000823570</t>
  </si>
  <si>
    <t>VIMTP07000936674</t>
  </si>
  <si>
    <t>VIAGA68000821814</t>
  </si>
  <si>
    <t>VIAGA54000896181</t>
  </si>
  <si>
    <t>VIMTP20000927833</t>
  </si>
  <si>
    <t>VIMTP19000918008</t>
  </si>
  <si>
    <t>VIMTP12000953229</t>
  </si>
  <si>
    <t>VIMTP08000938587</t>
  </si>
  <si>
    <t>VIMTP19000949997</t>
  </si>
  <si>
    <t>VIMTP08000958154</t>
  </si>
  <si>
    <t>VIMTP33000847632</t>
  </si>
  <si>
    <t>VIMTP07000960084</t>
  </si>
  <si>
    <t>VIMTP07000952273</t>
  </si>
  <si>
    <t>VIMTP33000919221</t>
  </si>
  <si>
    <t>VIMTP08000934498</t>
  </si>
  <si>
    <t>VIMTP08000836637</t>
  </si>
  <si>
    <t>VIAGA54000937841</t>
  </si>
  <si>
    <t>VIMTP08000957231</t>
  </si>
  <si>
    <t>VIMTP07000956350</t>
  </si>
  <si>
    <t>VIMTP08000800562</t>
  </si>
  <si>
    <t>VIMTP20000956282</t>
  </si>
  <si>
    <t>VIMTP19000929999</t>
  </si>
  <si>
    <t>VIMTP33000978374</t>
  </si>
  <si>
    <t>VIMTP20000848770</t>
  </si>
  <si>
    <t>VIAGA52000831050</t>
  </si>
  <si>
    <t>VIMTP12001000954</t>
  </si>
  <si>
    <t>VIAGA70000952393</t>
  </si>
  <si>
    <t>VIMTP11001009247</t>
  </si>
  <si>
    <t>VIMTP07000901526</t>
  </si>
  <si>
    <t>VIMTP07000863926</t>
  </si>
  <si>
    <t>VIAGA52000923651</t>
  </si>
  <si>
    <t>VIMTP08000941356</t>
  </si>
  <si>
    <t>VIMTP19000939544</t>
  </si>
  <si>
    <t>VIMTP08000998976</t>
  </si>
  <si>
    <t>VIMTP33000972142</t>
  </si>
  <si>
    <t>VIAGA54000827988</t>
  </si>
  <si>
    <t>VIMTP07000985760</t>
  </si>
  <si>
    <t>Valor Pago Moeda Original</t>
  </si>
  <si>
    <t>Valor Liberado R$</t>
  </si>
  <si>
    <t>Soma de Valor Pago Moeda Original</t>
  </si>
  <si>
    <t>Soma de Valor Liberado R$</t>
  </si>
  <si>
    <t>Processado</t>
  </si>
  <si>
    <t>Retorno</t>
  </si>
  <si>
    <t>OK</t>
  </si>
  <si>
    <t>KO</t>
  </si>
  <si>
    <t xml:space="preserve"> Operação realizada.</t>
  </si>
  <si>
    <t xml:space="preserve"> Sinistro Judicial</t>
  </si>
  <si>
    <t xml:space="preserve"> Reserva + Pagamentos ultrapassa a cobertura.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</si>
</sst>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_ ;\-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333333"/>
      <name val="Arial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49" fontId="3" fillId="3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43" fontId="2" fillId="2" borderId="1" xfId="1" applyNumberFormat="1" applyFont="1" applyFill="1" applyBorder="1" applyAlignment="1">
      <alignment horizontal="left"/>
    </xf>
    <xf numFmtId="43" fontId="3" fillId="3" borderId="2" xfId="1" applyNumberFormat="1" applyFont="1" applyFill="1" applyBorder="1" applyAlignment="1">
      <alignment horizontal="right"/>
    </xf>
    <xf numFmtId="43" fontId="3" fillId="4" borderId="2" xfId="1" applyNumberFormat="1" applyFont="1" applyFill="1" applyBorder="1" applyAlignment="1">
      <alignment horizontal="right"/>
    </xf>
    <xf numFmtId="43" fontId="0" fillId="0" borderId="0" xfId="1" applyNumberFormat="1" applyFont="1"/>
    <xf numFmtId="0" fontId="4" fillId="5" borderId="0" xfId="0" applyFont="1" applyFill="1" applyAlignment="1">
      <alignment horizontal="center"/>
    </xf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341"/>
  <sheetViews>
    <sheetView tabSelected="1" topLeftCell="E1" workbookViewId="0">
      <selection activeCell="E1" sqref="E1"/>
    </sheetView>
  </sheetViews>
  <sheetFormatPr defaultRowHeight="14.5" x14ac:dyDescent="0.35"/>
  <cols>
    <col min="1" max="1" width="9.81640625" bestFit="1" customWidth="1" collapsed="1"/>
    <col min="2" max="2" width="17.54296875" bestFit="1" customWidth="1" collapsed="1"/>
    <col min="3" max="3" width="14.6328125" bestFit="1" customWidth="1" collapsed="1"/>
    <col min="4" max="4" width="11" bestFit="1" customWidth="1" collapsed="1"/>
    <col min="5" max="5" width="49.54296875" bestFit="1" customWidth="1" collapsed="1"/>
    <col min="6" max="6" width="33.08984375" bestFit="1" customWidth="1" collapsed="1"/>
    <col min="7" max="7" width="26.08984375" bestFit="1" customWidth="1" collapsed="1"/>
    <col min="8" max="8" width="14.90625" bestFit="1" customWidth="1" collapsed="1"/>
    <col min="9" max="9" width="40.26953125" bestFit="1" customWidth="1" collapsed="1"/>
  </cols>
  <sheetData>
    <row r="1" spans="1:9" x14ac:dyDescent="0.35">
      <c r="A1" s="1" t="s">
        <v>0</v>
      </c>
      <c r="B1" s="1" t="s">
        <v>4</v>
      </c>
      <c r="C1" s="1" t="s">
        <v>3</v>
      </c>
      <c r="D1" s="1" t="s">
        <v>1</v>
      </c>
      <c r="E1" s="1" t="s">
        <v>2</v>
      </c>
      <c r="F1" s="6" t="s">
        <v>349</v>
      </c>
      <c r="G1" s="6" t="s">
        <v>350</v>
      </c>
      <c r="H1" s="10" t="s">
        <v>351</v>
      </c>
      <c r="I1" s="10" t="s">
        <v>352</v>
      </c>
    </row>
    <row r="2" spans="1:9" x14ac:dyDescent="0.35">
      <c r="A2">
        <v>206366658</v>
      </c>
      <c r="B2" t="str">
        <f>VLOOKUP(A2,Plan1!$A$1:$G$718,2,0)</f>
        <v>VIMTP07000016238</v>
      </c>
      <c r="C2" t="str">
        <f>VLOOKUP(A2,Plan1!$A$1:$G$718,3,0)</f>
        <v>REABERTO</v>
      </c>
      <c r="D2">
        <v>24</v>
      </c>
      <c r="E2" t="str">
        <f>VLOOKUP(A2,Plan1!$A$1:$G$718,5,0)</f>
        <v>DESPESAS FARMACEUTICAS</v>
      </c>
      <c r="F2" s="11">
        <v>47.99</v>
      </c>
      <c r="G2" s="11">
        <v>47.99</v>
      </c>
      <c r="H2" t="s">
        <v>353</v>
      </c>
      <c r="I2" t="s">
        <v>355</v>
      </c>
    </row>
    <row r="3" spans="1:9" x14ac:dyDescent="0.35">
      <c r="A3">
        <v>206366677</v>
      </c>
      <c r="B3" t="str">
        <f>VLOOKUP(A3,Plan1!$A$1:$G$718,2,0)</f>
        <v>VIMTP20000048303</v>
      </c>
      <c r="C3" t="str">
        <f>VLOOKUP(A3,Plan1!$A$1:$G$718,3,0)</f>
        <v>REABERTO</v>
      </c>
      <c r="D3">
        <v>12</v>
      </c>
      <c r="E3" t="str">
        <f>VLOOKUP(A3,Plan1!$A$1:$G$718,5,0)</f>
        <v>DESPESAS ODONTOLOGICAS</v>
      </c>
      <c r="F3" s="11">
        <v>92.68</v>
      </c>
      <c r="G3" s="11">
        <v>401.61</v>
      </c>
      <c r="H3" t="s">
        <v>354</v>
      </c>
      <c r="I3" t="s">
        <v>356</v>
      </c>
    </row>
    <row r="4" spans="1:9" x14ac:dyDescent="0.35">
      <c r="A4">
        <v>209702916</v>
      </c>
      <c r="B4" t="str">
        <f>VLOOKUP(A4,Plan1!$A$1:$G$718,2,0)</f>
        <v>VIMTP07000093358</v>
      </c>
      <c r="C4" t="str">
        <f>VLOOKUP(A4,Plan1!$A$1:$G$718,3,0)</f>
        <v>ENCERRADO</v>
      </c>
      <c r="D4">
        <v>8</v>
      </c>
      <c r="E4" t="str">
        <f>VLOOKUP(A4,Plan1!$A$1:$G$718,5,0)</f>
        <v>DESPESAS MEDICAS, HOSPITALARES</v>
      </c>
      <c r="F4" s="11">
        <v>818</v>
      </c>
      <c r="G4" s="11">
        <v>2661.77</v>
      </c>
      <c r="H4" t="s">
        <v>353</v>
      </c>
      <c r="I4" t="s">
        <v>355</v>
      </c>
    </row>
    <row r="5" spans="1:9" x14ac:dyDescent="0.35">
      <c r="A5">
        <v>209703198</v>
      </c>
      <c r="B5" t="str">
        <f>VLOOKUP(A5,Plan1!$A$1:$G$718,2,0)</f>
        <v>VIEGA02000124079</v>
      </c>
      <c r="C5" t="str">
        <f>VLOOKUP(A5,Plan1!$A$1:$G$718,3,0)</f>
        <v>ENCERRADO</v>
      </c>
      <c r="D5">
        <v>4</v>
      </c>
      <c r="E5" t="str">
        <f>VLOOKUP(A5,Plan1!$A$1:$G$718,5,0)</f>
        <v>DESPESAS MEDICAS, HOSPITALARES</v>
      </c>
      <c r="F5" s="11">
        <v>275</v>
      </c>
      <c r="G5" s="11">
        <v>1075.1099999999999</v>
      </c>
      <c r="H5" t="s">
        <v>353</v>
      </c>
      <c r="I5" t="s">
        <v>355</v>
      </c>
    </row>
    <row r="6" spans="1:9" x14ac:dyDescent="0.35">
      <c r="A6">
        <v>213186373</v>
      </c>
      <c r="B6" t="str">
        <f>VLOOKUP(A6,Plan1!$A$1:$G$718,2,0)</f>
        <v>VIAGA06000150284</v>
      </c>
      <c r="C6" t="str">
        <f>VLOOKUP(A6,Plan1!$A$1:$G$718,3,0)</f>
        <v>ENCERRADO</v>
      </c>
      <c r="D6">
        <v>4</v>
      </c>
      <c r="E6" t="str">
        <f>VLOOKUP(A6,Plan1!$A$1:$G$718,5,0)</f>
        <v>DESPESAS MEDICAS, HOSPITALARES</v>
      </c>
      <c r="F6" s="11">
        <v>55</v>
      </c>
      <c r="G6" s="11">
        <v>153.63999999999999</v>
      </c>
      <c r="H6" t="s">
        <v>353</v>
      </c>
      <c r="I6" t="s">
        <v>355</v>
      </c>
    </row>
    <row r="7" spans="1:9" x14ac:dyDescent="0.35">
      <c r="A7">
        <v>215287609</v>
      </c>
      <c r="B7" t="str">
        <f>VLOOKUP(A7,Plan1!$A$1:$G$718,2,0)</f>
        <v>VIMTP20000194433</v>
      </c>
      <c r="C7" t="str">
        <f>VLOOKUP(A7,Plan1!$A$1:$G$718,3,0)</f>
        <v>ENCERRADO</v>
      </c>
      <c r="D7">
        <v>4</v>
      </c>
      <c r="E7" t="str">
        <f>VLOOKUP(A7,Plan1!$A$1:$G$718,5,0)</f>
        <v>DESPESAS MEDICAS, HOSPITALARES</v>
      </c>
      <c r="F7" s="11">
        <v>17558.5</v>
      </c>
      <c r="G7" s="11">
        <v>106883.32</v>
      </c>
      <c r="H7" t="s">
        <v>353</v>
      </c>
      <c r="I7" t="s">
        <v>355</v>
      </c>
    </row>
    <row r="8" spans="1:9" x14ac:dyDescent="0.35">
      <c r="A8">
        <v>215287233</v>
      </c>
      <c r="B8" t="str">
        <f>VLOOKUP(A8,Plan1!$A$1:$G$718,2,0)</f>
        <v>VIMTP08000162623</v>
      </c>
      <c r="C8" t="str">
        <f>VLOOKUP(A8,Plan1!$A$1:$G$718,3,0)</f>
        <v>ENCERRADO</v>
      </c>
      <c r="D8">
        <v>4</v>
      </c>
      <c r="E8" t="str">
        <f>VLOOKUP(A8,Plan1!$A$1:$G$718,5,0)</f>
        <v>DESPESAS MEDICAS, HOSPITALARES</v>
      </c>
      <c r="F8" s="11">
        <v>2412.41</v>
      </c>
      <c r="G8" s="11">
        <v>2412.41</v>
      </c>
      <c r="H8" t="s">
        <v>353</v>
      </c>
      <c r="I8" t="s">
        <v>355</v>
      </c>
    </row>
    <row r="9" spans="1:9" x14ac:dyDescent="0.35">
      <c r="A9">
        <v>215287763</v>
      </c>
      <c r="B9" t="str">
        <f>VLOOKUP(A9,Plan1!$A$1:$G$718,2,0)</f>
        <v>VIAGA18000204434</v>
      </c>
      <c r="C9" t="str">
        <f>VLOOKUP(A9,Plan1!$A$1:$G$718,3,0)</f>
        <v>ENCERRADO</v>
      </c>
      <c r="D9">
        <v>4</v>
      </c>
      <c r="E9" t="str">
        <f>VLOOKUP(A9,Plan1!$A$1:$G$718,5,0)</f>
        <v>DESPESAS MEDICAS, HOSPITALARES</v>
      </c>
      <c r="F9" s="11">
        <v>5.6</v>
      </c>
      <c r="G9" s="11">
        <v>29.91</v>
      </c>
      <c r="H9" t="s">
        <v>353</v>
      </c>
      <c r="I9" t="s">
        <v>355</v>
      </c>
    </row>
    <row r="10" spans="1:9" x14ac:dyDescent="0.35">
      <c r="A10">
        <v>218179941</v>
      </c>
      <c r="B10" t="str">
        <f>VLOOKUP(A10,Plan1!$A$1:$G$718,2,0)</f>
        <v>VIAGA05000202332</v>
      </c>
      <c r="C10" t="str">
        <f>VLOOKUP(A10,Plan1!$A$1:$G$718,3,0)</f>
        <v>ENCERRADO</v>
      </c>
      <c r="D10">
        <v>32</v>
      </c>
      <c r="E10" t="str">
        <f>VLOOKUP(A10,Plan1!$A$1:$G$718,5,0)</f>
        <v>DESPESAS MEDICAS, HOSPITALARES</v>
      </c>
      <c r="F10" s="11">
        <v>8649.5499999999993</v>
      </c>
      <c r="G10" s="11">
        <v>32795.829999999994</v>
      </c>
      <c r="H10" t="s">
        <v>354</v>
      </c>
      <c r="I10" t="s">
        <v>357</v>
      </c>
    </row>
    <row r="11" spans="1:9" x14ac:dyDescent="0.35">
      <c r="A11">
        <v>219097503</v>
      </c>
      <c r="B11" t="str">
        <f>VLOOKUP(A11,Plan1!$A$1:$G$718,2,0)</f>
        <v>VIAGA17000253425</v>
      </c>
      <c r="C11" t="str">
        <f>VLOOKUP(A11,Plan1!$A$1:$G$718,3,0)</f>
        <v>ENCERRADO</v>
      </c>
      <c r="D11">
        <v>4</v>
      </c>
      <c r="E11" t="str">
        <f>VLOOKUP(A11,Plan1!$A$1:$G$718,5,0)</f>
        <v>DESPESAS MEDICAS, HOSPITALARES</v>
      </c>
      <c r="F11" s="11">
        <v>40</v>
      </c>
      <c r="G11" s="11">
        <v>211.07</v>
      </c>
      <c r="H11" t="s">
        <v>353</v>
      </c>
      <c r="I11" t="s">
        <v>355</v>
      </c>
    </row>
    <row r="12" spans="1:9" x14ac:dyDescent="0.35">
      <c r="A12">
        <v>222287930</v>
      </c>
      <c r="B12" t="str">
        <f>VLOOKUP(A12,Plan1!$A$1:$G$718,2,0)</f>
        <v>VIMTP19000166479</v>
      </c>
      <c r="C12" t="str">
        <f>VLOOKUP(A12,Plan1!$A$1:$G$718,3,0)</f>
        <v>ENCERRADO</v>
      </c>
      <c r="D12">
        <v>8</v>
      </c>
      <c r="E12" t="str">
        <f>VLOOKUP(A12,Plan1!$A$1:$G$718,5,0)</f>
        <v>DESPESAS MEDICAS, HOSPITALARES</v>
      </c>
      <c r="F12" s="11">
        <v>790.9</v>
      </c>
      <c r="G12" s="11">
        <v>4224.0199999999995</v>
      </c>
      <c r="H12" t="s">
        <v>353</v>
      </c>
      <c r="I12" t="s">
        <v>355</v>
      </c>
    </row>
    <row r="13" spans="1:9" x14ac:dyDescent="0.35">
      <c r="A13">
        <v>226008277</v>
      </c>
      <c r="B13" t="str">
        <f>VLOOKUP(A13,Plan1!$A$1:$G$718,2,0)</f>
        <v>VIEGA02000288303</v>
      </c>
      <c r="C13" t="str">
        <f>VLOOKUP(A13,Plan1!$A$1:$G$718,3,0)</f>
        <v>ENCERRADO</v>
      </c>
      <c r="D13">
        <v>4</v>
      </c>
      <c r="E13" t="str">
        <f>VLOOKUP(A13,Plan1!$A$1:$G$718,5,0)</f>
        <v>DESPESAS MEDICAS, HOSPITALARES</v>
      </c>
      <c r="F13" s="11">
        <v>95</v>
      </c>
      <c r="G13" s="11">
        <v>297.39</v>
      </c>
      <c r="H13" t="s">
        <v>353</v>
      </c>
      <c r="I13" t="s">
        <v>355</v>
      </c>
    </row>
    <row r="14" spans="1:9" x14ac:dyDescent="0.35">
      <c r="A14">
        <v>224057875</v>
      </c>
      <c r="B14" t="str">
        <f>VLOOKUP(A14,Plan1!$A$1:$G$718,2,0)</f>
        <v>VIMTP07000347949</v>
      </c>
      <c r="C14" t="str">
        <f>VLOOKUP(A14,Plan1!$A$1:$G$718,3,0)</f>
        <v>ENCERRADO</v>
      </c>
      <c r="D14">
        <v>8</v>
      </c>
      <c r="E14" t="str">
        <f>VLOOKUP(A14,Plan1!$A$1:$G$718,5,0)</f>
        <v>DESPESAS MEDICAS, HOSPITALARES</v>
      </c>
      <c r="F14" s="11">
        <v>707.38</v>
      </c>
      <c r="G14" s="11">
        <v>3342.79</v>
      </c>
      <c r="H14" t="s">
        <v>353</v>
      </c>
      <c r="I14" t="s">
        <v>355</v>
      </c>
    </row>
    <row r="15" spans="1:9" x14ac:dyDescent="0.35">
      <c r="A15">
        <v>223936623</v>
      </c>
      <c r="B15" t="str">
        <f>VLOOKUP(A15,Plan1!$A$1:$G$718,2,0)</f>
        <v>VIMTP19000300939</v>
      </c>
      <c r="C15" t="str">
        <f>VLOOKUP(A15,Plan1!$A$1:$G$718,3,0)</f>
        <v>ABERTO</v>
      </c>
      <c r="D15">
        <v>4</v>
      </c>
      <c r="E15" t="str">
        <f>VLOOKUP(A15,Plan1!$A$1:$G$718,5,0)</f>
        <v>DESPESAS MEDICAS, HOSPITALARES</v>
      </c>
      <c r="F15" s="11">
        <v>813.08</v>
      </c>
      <c r="G15" s="11">
        <v>813.08</v>
      </c>
      <c r="H15" t="s">
        <v>353</v>
      </c>
      <c r="I15" t="s">
        <v>355</v>
      </c>
    </row>
    <row r="16" spans="1:9" x14ac:dyDescent="0.35">
      <c r="A16">
        <v>226935299</v>
      </c>
      <c r="B16" t="str">
        <f>VLOOKUP(A16,Plan1!$A$1:$G$718,2,0)</f>
        <v>VIEGA02000288656</v>
      </c>
      <c r="C16" t="str">
        <f>VLOOKUP(A16,Plan1!$A$1:$G$718,3,0)</f>
        <v>ENCERRADO</v>
      </c>
      <c r="D16">
        <v>4</v>
      </c>
      <c r="E16" t="str">
        <f>VLOOKUP(A16,Plan1!$A$1:$G$718,5,0)</f>
        <v>DESPESAS MEDICAS, HOSPITALARES</v>
      </c>
      <c r="F16" s="11">
        <v>150.9</v>
      </c>
      <c r="G16" s="11">
        <v>472.38</v>
      </c>
      <c r="H16" t="s">
        <v>353</v>
      </c>
      <c r="I16" t="s">
        <v>355</v>
      </c>
    </row>
    <row r="17" spans="1:9" x14ac:dyDescent="0.35">
      <c r="A17">
        <v>225060989</v>
      </c>
      <c r="B17" t="str">
        <f>VLOOKUP(A17,Plan1!$A$1:$G$718,2,0)</f>
        <v>VIAGA60000351666</v>
      </c>
      <c r="C17" t="str">
        <f>VLOOKUP(A17,Plan1!$A$1:$G$718,3,0)</f>
        <v>REABERTO</v>
      </c>
      <c r="D17">
        <v>4</v>
      </c>
      <c r="E17" t="str">
        <f>VLOOKUP(A17,Plan1!$A$1:$G$718,5,0)</f>
        <v>DESPESAS MEDICAS, HOSPITALARES</v>
      </c>
      <c r="F17" s="11">
        <v>479.38</v>
      </c>
      <c r="G17" s="11">
        <v>2482.94</v>
      </c>
      <c r="H17" t="s">
        <v>353</v>
      </c>
      <c r="I17" t="s">
        <v>355</v>
      </c>
    </row>
    <row r="18" spans="1:9" x14ac:dyDescent="0.35">
      <c r="A18">
        <v>225484980</v>
      </c>
      <c r="B18" t="str">
        <f>VLOOKUP(A18,Plan1!$A$1:$G$718,2,0)</f>
        <v>VIMTP12000403290</v>
      </c>
      <c r="C18" t="str">
        <f>VLOOKUP(A18,Plan1!$A$1:$G$718,3,0)</f>
        <v>ENCERRADO</v>
      </c>
      <c r="D18">
        <v>6</v>
      </c>
      <c r="E18" t="str">
        <f>VLOOKUP(A18,Plan1!$A$1:$G$718,5,0)</f>
        <v>DESPESAS ODONTOLOGICAS</v>
      </c>
      <c r="F18" s="11">
        <v>60</v>
      </c>
      <c r="G18" s="11">
        <v>319.07</v>
      </c>
      <c r="H18" t="s">
        <v>353</v>
      </c>
      <c r="I18" t="s">
        <v>355</v>
      </c>
    </row>
    <row r="19" spans="1:9" x14ac:dyDescent="0.35">
      <c r="A19">
        <v>240915148</v>
      </c>
      <c r="B19" t="str">
        <f>VLOOKUP(A19,Plan1!$A$1:$G$718,2,0)</f>
        <v>VIMTP08000228881</v>
      </c>
      <c r="C19" t="str">
        <f>VLOOKUP(A19,Plan1!$A$1:$G$718,3,0)</f>
        <v>ABERTO</v>
      </c>
      <c r="D19">
        <v>24</v>
      </c>
      <c r="E19" t="str">
        <f>VLOOKUP(A19,Plan1!$A$1:$G$718,5,0)</f>
        <v>DESPESAS MEDICAS, HOSPITALARES</v>
      </c>
      <c r="F19" s="11">
        <v>4642.54</v>
      </c>
      <c r="G19" s="11">
        <v>22210.55</v>
      </c>
      <c r="H19" t="s">
        <v>353</v>
      </c>
      <c r="I19" t="s">
        <v>355</v>
      </c>
    </row>
    <row r="20" spans="1:9" x14ac:dyDescent="0.35">
      <c r="A20">
        <v>228065611</v>
      </c>
      <c r="B20" t="str">
        <f>VLOOKUP(A20,Plan1!$A$1:$G$718,2,0)</f>
        <v>VIMTP08000450233</v>
      </c>
      <c r="C20" t="str">
        <f>VLOOKUP(A20,Plan1!$A$1:$G$718,3,0)</f>
        <v>REABERTO</v>
      </c>
      <c r="D20">
        <v>8</v>
      </c>
      <c r="E20" t="str">
        <f>VLOOKUP(A20,Plan1!$A$1:$G$718,5,0)</f>
        <v>DESPESAS MEDICAS, HOSPITALARES</v>
      </c>
      <c r="F20" s="11">
        <v>918.35</v>
      </c>
      <c r="G20" s="11">
        <v>4424.0600000000004</v>
      </c>
      <c r="H20" t="s">
        <v>353</v>
      </c>
      <c r="I20" t="s">
        <v>355</v>
      </c>
    </row>
    <row r="21" spans="1:9" x14ac:dyDescent="0.35">
      <c r="A21">
        <v>227121818</v>
      </c>
      <c r="B21" t="str">
        <f>VLOOKUP(A21,Plan1!$A$1:$G$718,2,0)</f>
        <v>VIAGA68000334582</v>
      </c>
      <c r="C21" t="str">
        <f>VLOOKUP(A21,Plan1!$A$1:$G$718,3,0)</f>
        <v>ENCERRADO</v>
      </c>
      <c r="D21">
        <v>8</v>
      </c>
      <c r="E21" t="str">
        <f>VLOOKUP(A21,Plan1!$A$1:$G$718,5,0)</f>
        <v>DESPESAS MEDICAS, HOSPITALARES</v>
      </c>
      <c r="F21" s="11">
        <v>461.9</v>
      </c>
      <c r="G21" s="11">
        <v>2466.9</v>
      </c>
      <c r="H21" t="s">
        <v>353</v>
      </c>
      <c r="I21" t="s">
        <v>355</v>
      </c>
    </row>
    <row r="22" spans="1:9" x14ac:dyDescent="0.35">
      <c r="A22">
        <v>227154297</v>
      </c>
      <c r="B22" t="str">
        <f>VLOOKUP(A22,Plan1!$A$1:$G$718,2,0)</f>
        <v>VIMTP08000455508</v>
      </c>
      <c r="C22" t="str">
        <f>VLOOKUP(A22,Plan1!$A$1:$G$718,3,0)</f>
        <v>ENCERRADO</v>
      </c>
      <c r="D22">
        <v>8</v>
      </c>
      <c r="E22" t="str">
        <f>VLOOKUP(A22,Plan1!$A$1:$G$718,5,0)</f>
        <v>DESPESAS MEDICAS, HOSPITALARES</v>
      </c>
      <c r="F22" s="11">
        <v>818.73</v>
      </c>
      <c r="G22" s="11">
        <v>3868.98</v>
      </c>
      <c r="H22" t="s">
        <v>353</v>
      </c>
      <c r="I22" t="s">
        <v>355</v>
      </c>
    </row>
    <row r="23" spans="1:9" x14ac:dyDescent="0.35">
      <c r="A23">
        <v>227247166</v>
      </c>
      <c r="B23" t="str">
        <f>VLOOKUP(A23,Plan1!$A$1:$G$718,2,0)</f>
        <v>VIAGA68000350435</v>
      </c>
      <c r="C23" t="str">
        <f>VLOOKUP(A23,Plan1!$A$1:$G$718,3,0)</f>
        <v>ENCERRADO</v>
      </c>
      <c r="D23">
        <v>4</v>
      </c>
      <c r="E23" t="str">
        <f>VLOOKUP(A23,Plan1!$A$1:$G$718,5,0)</f>
        <v>DESPESAS MEDICAS, HOSPITALARES</v>
      </c>
      <c r="F23" s="11">
        <v>40</v>
      </c>
      <c r="G23" s="11">
        <v>212.7</v>
      </c>
      <c r="H23" t="s">
        <v>353</v>
      </c>
      <c r="I23" t="s">
        <v>355</v>
      </c>
    </row>
    <row r="24" spans="1:9" x14ac:dyDescent="0.35">
      <c r="A24">
        <v>227454460</v>
      </c>
      <c r="B24" t="str">
        <f>VLOOKUP(A24,Plan1!$A$1:$G$718,2,0)</f>
        <v>VIMTP20000455654</v>
      </c>
      <c r="C24" t="str">
        <f>VLOOKUP(A24,Plan1!$A$1:$G$718,3,0)</f>
        <v>ENCERRADO</v>
      </c>
      <c r="D24">
        <v>4</v>
      </c>
      <c r="E24" t="str">
        <f>VLOOKUP(A24,Plan1!$A$1:$G$718,5,0)</f>
        <v>DESPESAS MEDICAS, HOSPITALARES</v>
      </c>
      <c r="F24" s="11">
        <v>40</v>
      </c>
      <c r="G24" s="11">
        <v>212.7</v>
      </c>
      <c r="H24" t="s">
        <v>353</v>
      </c>
      <c r="I24" t="s">
        <v>355</v>
      </c>
    </row>
    <row r="25" spans="1:9" x14ac:dyDescent="0.35">
      <c r="A25">
        <v>228063587</v>
      </c>
      <c r="B25" t="str">
        <f>VLOOKUP(A25,Plan1!$A$1:$G$718,2,0)</f>
        <v>VIMTP41000491532</v>
      </c>
      <c r="C25" t="str">
        <f>VLOOKUP(A25,Plan1!$A$1:$G$718,3,0)</f>
        <v>ENCERRADO</v>
      </c>
      <c r="D25">
        <v>12</v>
      </c>
      <c r="E25" t="str">
        <f>VLOOKUP(A25,Plan1!$A$1:$G$718,5,0)</f>
        <v>DESPESAS MEDICAS, HOSPITALARES</v>
      </c>
      <c r="F25" s="11">
        <v>745.59</v>
      </c>
      <c r="G25" s="11">
        <v>745.59</v>
      </c>
      <c r="H25" t="s">
        <v>353</v>
      </c>
      <c r="I25" t="s">
        <v>355</v>
      </c>
    </row>
    <row r="26" spans="1:9" x14ac:dyDescent="0.35">
      <c r="A26">
        <v>229393367</v>
      </c>
      <c r="B26" t="str">
        <f>VLOOKUP(A26,Plan1!$A$1:$G$718,2,0)</f>
        <v>VIMTP19000486627</v>
      </c>
      <c r="C26" t="str">
        <f>VLOOKUP(A26,Plan1!$A$1:$G$718,3,0)</f>
        <v>ENCERRADO</v>
      </c>
      <c r="D26">
        <v>4</v>
      </c>
      <c r="E26" t="str">
        <f>VLOOKUP(A26,Plan1!$A$1:$G$718,5,0)</f>
        <v>DESPESAS MEDICAS, HOSPITALARES</v>
      </c>
      <c r="F26" s="11">
        <v>65</v>
      </c>
      <c r="G26" s="11">
        <v>349.06</v>
      </c>
      <c r="H26" t="s">
        <v>353</v>
      </c>
      <c r="I26" t="s">
        <v>355</v>
      </c>
    </row>
    <row r="27" spans="1:9" x14ac:dyDescent="0.35">
      <c r="A27">
        <v>228065170</v>
      </c>
      <c r="B27" t="str">
        <f>VLOOKUP(A27,Plan1!$A$1:$G$718,2,0)</f>
        <v>VIMTP19000435615</v>
      </c>
      <c r="C27" t="str">
        <f>VLOOKUP(A27,Plan1!$A$1:$G$718,3,0)</f>
        <v>ABERTO</v>
      </c>
      <c r="D27">
        <v>16</v>
      </c>
      <c r="E27" t="str">
        <f>VLOOKUP(A27,Plan1!$A$1:$G$718,5,0)</f>
        <v>REGRESSO SANITARIO</v>
      </c>
      <c r="F27" s="11">
        <v>564.6</v>
      </c>
      <c r="G27" s="11">
        <v>3023.4700000000003</v>
      </c>
      <c r="H27" t="s">
        <v>353</v>
      </c>
      <c r="I27" t="s">
        <v>355</v>
      </c>
    </row>
    <row r="28" spans="1:9" x14ac:dyDescent="0.35">
      <c r="A28">
        <v>227639355</v>
      </c>
      <c r="B28" t="str">
        <f>VLOOKUP(A28,Plan1!$A$1:$G$718,2,0)</f>
        <v>VIAGA54000482286</v>
      </c>
      <c r="C28" t="str">
        <f>VLOOKUP(A28,Plan1!$A$1:$G$718,3,0)</f>
        <v>ABERTO</v>
      </c>
      <c r="D28">
        <v>4</v>
      </c>
      <c r="E28" t="str">
        <f>VLOOKUP(A28,Plan1!$A$1:$G$718,5,0)</f>
        <v>DESPESAS MEDICAS, HOSPITALARES</v>
      </c>
      <c r="F28" s="11">
        <v>55</v>
      </c>
      <c r="G28" s="11">
        <v>193.83</v>
      </c>
      <c r="H28" t="s">
        <v>353</v>
      </c>
      <c r="I28" t="s">
        <v>355</v>
      </c>
    </row>
    <row r="29" spans="1:9" x14ac:dyDescent="0.35">
      <c r="A29">
        <v>227640749</v>
      </c>
      <c r="B29" t="str">
        <f>VLOOKUP(A29,Plan1!$A$1:$G$718,2,0)</f>
        <v>VIMTP19000395186</v>
      </c>
      <c r="C29" t="str">
        <f>VLOOKUP(A29,Plan1!$A$1:$G$718,3,0)</f>
        <v>ENCERRADO</v>
      </c>
      <c r="D29">
        <v>8</v>
      </c>
      <c r="E29" t="str">
        <f>VLOOKUP(A29,Plan1!$A$1:$G$718,5,0)</f>
        <v>DESPESAS MEDICAS, HOSPITALARES</v>
      </c>
      <c r="F29" s="11">
        <v>315.39999999999998</v>
      </c>
      <c r="G29" s="11">
        <v>1684.48</v>
      </c>
      <c r="H29" t="s">
        <v>353</v>
      </c>
      <c r="I29" t="s">
        <v>355</v>
      </c>
    </row>
    <row r="30" spans="1:9" x14ac:dyDescent="0.35">
      <c r="A30">
        <v>228066081</v>
      </c>
      <c r="B30" t="str">
        <f>VLOOKUP(A30,Plan1!$A$1:$G$718,2,0)</f>
        <v>VIMTP20000484408</v>
      </c>
      <c r="C30" t="str">
        <f>VLOOKUP(A30,Plan1!$A$1:$G$718,3,0)</f>
        <v>REABERTO</v>
      </c>
      <c r="D30">
        <v>16</v>
      </c>
      <c r="E30" t="str">
        <f>VLOOKUP(A30,Plan1!$A$1:$G$718,5,0)</f>
        <v>DESPESAS MEDICAS, HOSPITALARES</v>
      </c>
      <c r="F30" s="11">
        <v>690.23</v>
      </c>
      <c r="G30" s="11">
        <v>3451.41</v>
      </c>
      <c r="H30" t="s">
        <v>353</v>
      </c>
      <c r="I30" t="s">
        <v>355</v>
      </c>
    </row>
    <row r="31" spans="1:9" x14ac:dyDescent="0.35">
      <c r="A31">
        <v>228222096</v>
      </c>
      <c r="B31" t="str">
        <f>VLOOKUP(A31,Plan1!$A$1:$G$718,2,0)</f>
        <v>VIMTP07000492840</v>
      </c>
      <c r="C31" t="str">
        <f>VLOOKUP(A31,Plan1!$A$1:$G$718,3,0)</f>
        <v>ENCERRADO</v>
      </c>
      <c r="D31">
        <v>4</v>
      </c>
      <c r="E31" t="str">
        <f>VLOOKUP(A31,Plan1!$A$1:$G$718,5,0)</f>
        <v>DESPESAS MEDICAS, HOSPITALARES</v>
      </c>
      <c r="F31" s="11">
        <v>187</v>
      </c>
      <c r="G31" s="11">
        <v>871.87</v>
      </c>
      <c r="H31" t="s">
        <v>353</v>
      </c>
      <c r="I31" t="s">
        <v>355</v>
      </c>
    </row>
    <row r="32" spans="1:9" x14ac:dyDescent="0.35">
      <c r="A32">
        <v>228737939</v>
      </c>
      <c r="B32" t="str">
        <f>VLOOKUP(A32,Plan1!$A$1:$G$718,2,0)</f>
        <v>VIAGA15000499582</v>
      </c>
      <c r="C32" t="str">
        <f>VLOOKUP(A32,Plan1!$A$1:$G$718,3,0)</f>
        <v>ABERTO</v>
      </c>
      <c r="D32">
        <v>8</v>
      </c>
      <c r="E32" t="str">
        <f>VLOOKUP(A32,Plan1!$A$1:$G$718,5,0)</f>
        <v>DESPESAS MEDICAS, HOSPITALARES</v>
      </c>
      <c r="F32" s="11">
        <v>2939.42</v>
      </c>
      <c r="G32" s="11">
        <v>14263.199999999999</v>
      </c>
      <c r="H32" t="s">
        <v>354</v>
      </c>
      <c r="I32" t="s">
        <v>356</v>
      </c>
    </row>
    <row r="33" spans="1:9" x14ac:dyDescent="0.35">
      <c r="A33">
        <v>228439080</v>
      </c>
      <c r="B33" t="str">
        <f>VLOOKUP(A33,Plan1!$A$1:$G$718,2,0)</f>
        <v>VIMTP08000516401</v>
      </c>
      <c r="C33" t="str">
        <f>VLOOKUP(A33,Plan1!$A$1:$G$718,3,0)</f>
        <v>ABERTO</v>
      </c>
      <c r="D33">
        <v>105</v>
      </c>
      <c r="E33" t="str">
        <f>VLOOKUP(A33,Plan1!$A$1:$G$718,5,0)</f>
        <v>CANCELAMENTO, INTERRUPÇÃO  E EXTENSÃO DE VIAGEM</v>
      </c>
      <c r="F33" s="11">
        <v>562.28000000000009</v>
      </c>
      <c r="G33" s="11">
        <v>2639.8399999999997</v>
      </c>
      <c r="H33" t="s">
        <v>354</v>
      </c>
      <c r="I33" t="s">
        <v>357</v>
      </c>
    </row>
    <row r="34" spans="1:9" x14ac:dyDescent="0.35">
      <c r="A34">
        <v>239644859</v>
      </c>
      <c r="B34" t="str">
        <f>VLOOKUP(A34,Plan1!$A$1:$G$718,2,0)</f>
        <v>VIMTP08000519451</v>
      </c>
      <c r="C34" t="str">
        <f>VLOOKUP(A34,Plan1!$A$1:$G$718,3,0)</f>
        <v>ABERTO</v>
      </c>
      <c r="D34">
        <v>8</v>
      </c>
      <c r="E34" t="str">
        <f>VLOOKUP(A34,Plan1!$A$1:$G$718,5,0)</f>
        <v>DESPESAS MEDICAS, HOSPITALARES</v>
      </c>
      <c r="F34" s="11">
        <v>5931.2199999999993</v>
      </c>
      <c r="G34" s="11">
        <v>26204.86</v>
      </c>
      <c r="H34" t="s">
        <v>353</v>
      </c>
      <c r="I34" t="s">
        <v>355</v>
      </c>
    </row>
    <row r="35" spans="1:9" x14ac:dyDescent="0.35">
      <c r="A35">
        <v>228366348</v>
      </c>
      <c r="B35" t="str">
        <f>VLOOKUP(A35,Plan1!$A$1:$G$718,2,0)</f>
        <v>VIMTP07000418488</v>
      </c>
      <c r="C35" t="str">
        <f>VLOOKUP(A35,Plan1!$A$1:$G$718,3,0)</f>
        <v>ABERTO</v>
      </c>
      <c r="D35">
        <v>40</v>
      </c>
      <c r="E35" t="str">
        <f>VLOOKUP(A35,Plan1!$A$1:$G$718,5,0)</f>
        <v>DESPESAS MEDICAS, HOSPITALARES</v>
      </c>
      <c r="F35" s="11">
        <v>16774.460000000003</v>
      </c>
      <c r="G35" s="11">
        <v>77327.650000000023</v>
      </c>
      <c r="H35" t="s">
        <v>354</v>
      </c>
      <c r="I35" t="s">
        <v>357</v>
      </c>
    </row>
    <row r="36" spans="1:9" x14ac:dyDescent="0.35">
      <c r="A36">
        <v>240916059</v>
      </c>
      <c r="B36" t="str">
        <f>VLOOKUP(A36,Plan1!$A$1:$G$718,2,0)</f>
        <v>VIMTP33000423871</v>
      </c>
      <c r="C36" t="str">
        <f>VLOOKUP(A36,Plan1!$A$1:$G$718,3,0)</f>
        <v>ABERTO</v>
      </c>
      <c r="D36">
        <v>8</v>
      </c>
      <c r="E36" t="str">
        <f>VLOOKUP(A36,Plan1!$A$1:$G$718,5,0)</f>
        <v>DESPESAS MEDICAS, HOSPITALARES</v>
      </c>
      <c r="F36" s="11">
        <v>2904.6400000000003</v>
      </c>
      <c r="G36" s="11">
        <v>13538.119999999999</v>
      </c>
      <c r="H36" t="s">
        <v>353</v>
      </c>
      <c r="I36" t="s">
        <v>355</v>
      </c>
    </row>
    <row r="37" spans="1:9" x14ac:dyDescent="0.35">
      <c r="A37">
        <v>228615635</v>
      </c>
      <c r="B37" t="str">
        <f>VLOOKUP(A37,Plan1!$A$1:$G$718,2,0)</f>
        <v>VIMTP33000536749</v>
      </c>
      <c r="C37" t="str">
        <f>VLOOKUP(A37,Plan1!$A$1:$G$718,3,0)</f>
        <v>ABERTO</v>
      </c>
      <c r="D37">
        <v>8</v>
      </c>
      <c r="E37" t="str">
        <f>VLOOKUP(A37,Plan1!$A$1:$G$718,5,0)</f>
        <v>DESPESAS MEDICAS, HOSPITALARES</v>
      </c>
      <c r="F37" s="11">
        <v>1019.06</v>
      </c>
      <c r="G37" s="11">
        <v>4837.26</v>
      </c>
      <c r="H37" t="s">
        <v>353</v>
      </c>
      <c r="I37" t="s">
        <v>355</v>
      </c>
    </row>
    <row r="38" spans="1:9" x14ac:dyDescent="0.35">
      <c r="A38">
        <v>228615747</v>
      </c>
      <c r="B38" t="str">
        <f>VLOOKUP(A38,Plan1!$A$1:$G$718,2,0)</f>
        <v>VIMTP33000445798</v>
      </c>
      <c r="C38" t="str">
        <f>VLOOKUP(A38,Plan1!$A$1:$G$718,3,0)</f>
        <v>ABERTO</v>
      </c>
      <c r="D38">
        <v>8</v>
      </c>
      <c r="E38" t="str">
        <f>VLOOKUP(A38,Plan1!$A$1:$G$718,5,0)</f>
        <v>DESPESAS MEDICAS, HOSPITALARES</v>
      </c>
      <c r="F38" s="11">
        <v>1932.34</v>
      </c>
      <c r="G38" s="11">
        <v>9131.43</v>
      </c>
      <c r="H38" t="s">
        <v>353</v>
      </c>
      <c r="I38" t="s">
        <v>355</v>
      </c>
    </row>
    <row r="39" spans="1:9" x14ac:dyDescent="0.35">
      <c r="A39">
        <v>240504187</v>
      </c>
      <c r="B39" t="str">
        <f>VLOOKUP(A39,Plan1!$A$1:$G$718,2,0)</f>
        <v>VIMTP08000490008</v>
      </c>
      <c r="C39" t="str">
        <f>VLOOKUP(A39,Plan1!$A$1:$G$718,3,0)</f>
        <v>ABERTO</v>
      </c>
      <c r="D39">
        <v>24</v>
      </c>
      <c r="E39" t="str">
        <f>VLOOKUP(A39,Plan1!$A$1:$G$718,5,0)</f>
        <v>DESPESAS FARMACEUTICAS</v>
      </c>
      <c r="F39" s="11">
        <v>701.57</v>
      </c>
      <c r="G39" s="11">
        <v>701.57</v>
      </c>
      <c r="H39" t="s">
        <v>353</v>
      </c>
      <c r="I39" t="s">
        <v>355</v>
      </c>
    </row>
    <row r="40" spans="1:9" x14ac:dyDescent="0.35">
      <c r="A40">
        <v>228811666</v>
      </c>
      <c r="B40" t="str">
        <f>VLOOKUP(A40,Plan1!$A$1:$G$718,2,0)</f>
        <v>VISUB05000523214</v>
      </c>
      <c r="C40" t="str">
        <f>VLOOKUP(A40,Plan1!$A$1:$G$718,3,0)</f>
        <v>ABERTO</v>
      </c>
      <c r="D40">
        <v>8</v>
      </c>
      <c r="E40" t="str">
        <f>VLOOKUP(A40,Plan1!$A$1:$G$718,5,0)</f>
        <v>DESPESAS MEDICAS, HOSPITALARES</v>
      </c>
      <c r="F40" s="11">
        <v>2752.91</v>
      </c>
      <c r="G40" s="11">
        <v>13261.82</v>
      </c>
      <c r="H40" t="s">
        <v>353</v>
      </c>
      <c r="I40" t="s">
        <v>355</v>
      </c>
    </row>
    <row r="41" spans="1:9" x14ac:dyDescent="0.35">
      <c r="A41">
        <v>230096485</v>
      </c>
      <c r="B41" t="str">
        <f>VLOOKUP(A41,Plan1!$A$1:$G$718,2,0)</f>
        <v>VIMTP08000505924</v>
      </c>
      <c r="C41" t="str">
        <f>VLOOKUP(A41,Plan1!$A$1:$G$718,3,0)</f>
        <v>ABERTO</v>
      </c>
      <c r="D41">
        <v>4</v>
      </c>
      <c r="E41" t="str">
        <f>VLOOKUP(A41,Plan1!$A$1:$G$718,5,0)</f>
        <v>DESPESAS MEDICAS, HOSPITALARES</v>
      </c>
      <c r="F41" s="11">
        <v>1027</v>
      </c>
      <c r="G41" s="11">
        <v>4983.3900000000003</v>
      </c>
      <c r="H41" t="s">
        <v>353</v>
      </c>
      <c r="I41" t="s">
        <v>355</v>
      </c>
    </row>
    <row r="42" spans="1:9" x14ac:dyDescent="0.35">
      <c r="A42">
        <v>228737905</v>
      </c>
      <c r="B42" t="str">
        <f>VLOOKUP(A42,Plan1!$A$1:$G$718,2,0)</f>
        <v>VIMTP08000456878</v>
      </c>
      <c r="C42" t="str">
        <f>VLOOKUP(A42,Plan1!$A$1:$G$718,3,0)</f>
        <v>ABERTO</v>
      </c>
      <c r="D42">
        <v>8</v>
      </c>
      <c r="E42" t="str">
        <f>VLOOKUP(A42,Plan1!$A$1:$G$718,5,0)</f>
        <v>DESPESAS MEDICAS, HOSPITALARES</v>
      </c>
      <c r="F42" s="11">
        <v>2208.17</v>
      </c>
      <c r="G42" s="11">
        <v>10692.380000000001</v>
      </c>
      <c r="H42" t="s">
        <v>353</v>
      </c>
      <c r="I42" t="s">
        <v>355</v>
      </c>
    </row>
    <row r="43" spans="1:9" x14ac:dyDescent="0.35">
      <c r="A43">
        <v>240916063</v>
      </c>
      <c r="B43" t="str">
        <f>VLOOKUP(A43,Plan1!$A$1:$G$718,2,0)</f>
        <v>VIMTP33000523655</v>
      </c>
      <c r="C43" t="str">
        <f>VLOOKUP(A43,Plan1!$A$1:$G$718,3,0)</f>
        <v>ABERTO</v>
      </c>
      <c r="D43">
        <v>8</v>
      </c>
      <c r="E43" t="str">
        <f>VLOOKUP(A43,Plan1!$A$1:$G$718,5,0)</f>
        <v>DESPESAS MEDICAS, HOSPITALARES</v>
      </c>
      <c r="F43" s="11">
        <v>3221.46</v>
      </c>
      <c r="G43" s="11">
        <v>15662.95</v>
      </c>
      <c r="H43" t="s">
        <v>353</v>
      </c>
      <c r="I43" t="s">
        <v>355</v>
      </c>
    </row>
    <row r="44" spans="1:9" x14ac:dyDescent="0.35">
      <c r="A44">
        <v>229307969</v>
      </c>
      <c r="B44" t="str">
        <f>VLOOKUP(A44,Plan1!$A$1:$G$718,2,0)</f>
        <v>VIMTP08000454968</v>
      </c>
      <c r="C44" t="str">
        <f>VLOOKUP(A44,Plan1!$A$1:$G$718,3,0)</f>
        <v>ABERTO</v>
      </c>
      <c r="D44">
        <v>8</v>
      </c>
      <c r="E44" t="str">
        <f>VLOOKUP(A44,Plan1!$A$1:$G$718,5,0)</f>
        <v>DESPESAS MEDICAS, HOSPITALARES</v>
      </c>
      <c r="F44" s="11">
        <v>3746.52</v>
      </c>
      <c r="G44" s="11">
        <v>18066.759999999998</v>
      </c>
      <c r="H44" t="s">
        <v>353</v>
      </c>
      <c r="I44" t="s">
        <v>355</v>
      </c>
    </row>
    <row r="45" spans="1:9" x14ac:dyDescent="0.35">
      <c r="A45">
        <v>231873882</v>
      </c>
      <c r="B45" t="str">
        <f>VLOOKUP(A45,Plan1!$A$1:$G$718,2,0)</f>
        <v>VIAGA62000507525</v>
      </c>
      <c r="C45" t="str">
        <f>VLOOKUP(A45,Plan1!$A$1:$G$718,3,0)</f>
        <v>ABERTO</v>
      </c>
      <c r="D45">
        <v>8</v>
      </c>
      <c r="E45" t="str">
        <f>VLOOKUP(A45,Plan1!$A$1:$G$718,5,0)</f>
        <v>DESPESAS MEDICAS, HOSPITALARES</v>
      </c>
      <c r="F45" s="11">
        <v>3015.11</v>
      </c>
      <c r="G45" s="11">
        <v>15616.77</v>
      </c>
      <c r="H45" t="s">
        <v>353</v>
      </c>
      <c r="I45" t="s">
        <v>355</v>
      </c>
    </row>
    <row r="46" spans="1:9" x14ac:dyDescent="0.35">
      <c r="A46">
        <v>229994026</v>
      </c>
      <c r="B46" t="str">
        <f>VLOOKUP(A46,Plan1!$A$1:$G$718,2,0)</f>
        <v>VIAGA60000554658</v>
      </c>
      <c r="C46" t="str">
        <f>VLOOKUP(A46,Plan1!$A$1:$G$718,3,0)</f>
        <v>ABERTO</v>
      </c>
      <c r="D46">
        <v>8</v>
      </c>
      <c r="E46" t="str">
        <f>VLOOKUP(A46,Plan1!$A$1:$G$718,5,0)</f>
        <v>DESPESAS MEDICAS, HOSPITALARES</v>
      </c>
      <c r="F46" s="11">
        <v>2039.52</v>
      </c>
      <c r="G46" s="11">
        <v>10953</v>
      </c>
      <c r="H46" t="s">
        <v>353</v>
      </c>
      <c r="I46" t="s">
        <v>355</v>
      </c>
    </row>
    <row r="47" spans="1:9" x14ac:dyDescent="0.35">
      <c r="A47">
        <v>240914923</v>
      </c>
      <c r="B47" t="str">
        <f>VLOOKUP(A47,Plan1!$A$1:$G$718,2,0)</f>
        <v>VITAM24000460003</v>
      </c>
      <c r="C47" t="str">
        <f>VLOOKUP(A47,Plan1!$A$1:$G$718,3,0)</f>
        <v>ABERTO</v>
      </c>
      <c r="D47">
        <v>24</v>
      </c>
      <c r="E47" t="str">
        <f>VLOOKUP(A47,Plan1!$A$1:$G$718,5,0)</f>
        <v>DESPESAS FARMACEUTICAS</v>
      </c>
      <c r="F47" s="11">
        <v>496.49</v>
      </c>
      <c r="G47" s="11">
        <v>496.49</v>
      </c>
      <c r="H47" t="s">
        <v>353</v>
      </c>
      <c r="I47" t="s">
        <v>355</v>
      </c>
    </row>
    <row r="48" spans="1:9" x14ac:dyDescent="0.35">
      <c r="A48">
        <v>240916082</v>
      </c>
      <c r="B48" t="str">
        <f>VLOOKUP(A48,Plan1!$A$1:$G$718,2,0)</f>
        <v>VIAGA67000609670</v>
      </c>
      <c r="C48" t="str">
        <f>VLOOKUP(A48,Plan1!$A$1:$G$718,3,0)</f>
        <v>ABERTO</v>
      </c>
      <c r="D48">
        <v>27</v>
      </c>
      <c r="E48" t="str">
        <f>VLOOKUP(A48,Plan1!$A$1:$G$718,5,0)</f>
        <v>TRASLADO MEDICO</v>
      </c>
      <c r="F48" s="11">
        <v>7376</v>
      </c>
      <c r="G48" s="11">
        <v>34943.14</v>
      </c>
      <c r="H48" t="s">
        <v>353</v>
      </c>
      <c r="I48" t="s">
        <v>355</v>
      </c>
    </row>
    <row r="49" spans="1:9" x14ac:dyDescent="0.35">
      <c r="A49">
        <v>230325690</v>
      </c>
      <c r="B49" t="str">
        <f>VLOOKUP(A49,Plan1!$A$1:$G$718,2,0)</f>
        <v>VIMTP07000602978</v>
      </c>
      <c r="C49" t="str">
        <f>VLOOKUP(A49,Plan1!$A$1:$G$718,3,0)</f>
        <v>ABERTO</v>
      </c>
      <c r="D49">
        <v>4</v>
      </c>
      <c r="E49" t="str">
        <f>VLOOKUP(A49,Plan1!$A$1:$G$718,5,0)</f>
        <v>DESPESAS MEDICAS, HOSPITALARES</v>
      </c>
      <c r="F49" s="11">
        <v>295</v>
      </c>
      <c r="G49" s="11">
        <v>1051.33</v>
      </c>
      <c r="H49" t="s">
        <v>353</v>
      </c>
      <c r="I49" t="s">
        <v>355</v>
      </c>
    </row>
    <row r="50" spans="1:9" x14ac:dyDescent="0.35">
      <c r="A50">
        <v>240888554</v>
      </c>
      <c r="B50" t="str">
        <f>VLOOKUP(A50,Plan1!$A$1:$G$718,2,0)</f>
        <v>VIMTP08000593116</v>
      </c>
      <c r="C50" t="str">
        <f>VLOOKUP(A50,Plan1!$A$1:$G$718,3,0)</f>
        <v>ABERTO</v>
      </c>
      <c r="D50">
        <v>8</v>
      </c>
      <c r="E50" t="str">
        <f>VLOOKUP(A50,Plan1!$A$1:$G$718,5,0)</f>
        <v>DESPESAS MEDICAS, HOSPITALARES</v>
      </c>
      <c r="F50" s="11">
        <v>3761.53</v>
      </c>
      <c r="G50" s="11">
        <v>17796.919999999998</v>
      </c>
      <c r="H50" t="s">
        <v>353</v>
      </c>
      <c r="I50" t="s">
        <v>355</v>
      </c>
    </row>
    <row r="51" spans="1:9" x14ac:dyDescent="0.35">
      <c r="A51">
        <v>230902051</v>
      </c>
      <c r="B51" t="str">
        <f>VLOOKUP(A51,Plan1!$A$1:$G$718,2,0)</f>
        <v>VIMTP08000630100</v>
      </c>
      <c r="C51" t="str">
        <f>VLOOKUP(A51,Plan1!$A$1:$G$718,3,0)</f>
        <v>ABERTO</v>
      </c>
      <c r="D51">
        <v>8</v>
      </c>
      <c r="E51" t="str">
        <f>VLOOKUP(A51,Plan1!$A$1:$G$718,5,0)</f>
        <v>DESPESAS MEDICAS, HOSPITALARES</v>
      </c>
      <c r="F51" s="11">
        <v>2322.21</v>
      </c>
      <c r="G51" s="11">
        <v>11023.029999999999</v>
      </c>
      <c r="H51" t="s">
        <v>353</v>
      </c>
      <c r="I51" t="s">
        <v>355</v>
      </c>
    </row>
    <row r="52" spans="1:9" x14ac:dyDescent="0.35">
      <c r="A52">
        <v>230977557</v>
      </c>
      <c r="B52" t="str">
        <f>VLOOKUP(A52,Plan1!$A$1:$G$718,2,0)</f>
        <v>VIMTP08000632202</v>
      </c>
      <c r="C52" t="str">
        <f>VLOOKUP(A52,Plan1!$A$1:$G$718,3,0)</f>
        <v>ABERTO</v>
      </c>
      <c r="D52">
        <v>8</v>
      </c>
      <c r="E52" t="str">
        <f>VLOOKUP(A52,Plan1!$A$1:$G$718,5,0)</f>
        <v>DESPESAS MEDICAS, HOSPITALARES</v>
      </c>
      <c r="F52" s="11">
        <v>8791.2900000000009</v>
      </c>
      <c r="G52" s="11">
        <v>38841</v>
      </c>
      <c r="H52" t="s">
        <v>353</v>
      </c>
      <c r="I52" t="s">
        <v>355</v>
      </c>
    </row>
    <row r="53" spans="1:9" x14ac:dyDescent="0.35">
      <c r="A53">
        <v>231077330</v>
      </c>
      <c r="B53" t="str">
        <f>VLOOKUP(A53,Plan1!$A$1:$G$718,2,0)</f>
        <v>VIMTP11000530678</v>
      </c>
      <c r="C53" t="str">
        <f>VLOOKUP(A53,Plan1!$A$1:$G$718,3,0)</f>
        <v>ABERTO</v>
      </c>
      <c r="D53">
        <v>8</v>
      </c>
      <c r="E53" t="str">
        <f>VLOOKUP(A53,Plan1!$A$1:$G$718,5,0)</f>
        <v>DESPESAS MEDICAS, HOSPITALARES</v>
      </c>
      <c r="F53" s="11">
        <v>158.63</v>
      </c>
      <c r="G53" s="11">
        <v>821.62</v>
      </c>
      <c r="H53" t="s">
        <v>353</v>
      </c>
      <c r="I53" t="s">
        <v>355</v>
      </c>
    </row>
    <row r="54" spans="1:9" x14ac:dyDescent="0.35">
      <c r="A54">
        <v>231119718</v>
      </c>
      <c r="B54" t="str">
        <f>VLOOKUP(A54,Plan1!$A$1:$G$718,2,0)</f>
        <v>VIMTP11000613901</v>
      </c>
      <c r="C54" t="str">
        <f>VLOOKUP(A54,Plan1!$A$1:$G$718,3,0)</f>
        <v>ABERTO</v>
      </c>
      <c r="D54">
        <v>8</v>
      </c>
      <c r="E54" t="str">
        <f>VLOOKUP(A54,Plan1!$A$1:$G$718,5,0)</f>
        <v>DESPESAS MEDICAS, HOSPITALARES</v>
      </c>
      <c r="F54" s="11">
        <v>8541.35</v>
      </c>
      <c r="G54" s="11">
        <v>42267.030000000006</v>
      </c>
      <c r="H54" t="s">
        <v>354</v>
      </c>
      <c r="I54" t="s">
        <v>357</v>
      </c>
    </row>
    <row r="55" spans="1:9" x14ac:dyDescent="0.35">
      <c r="A55">
        <v>231206619</v>
      </c>
      <c r="B55" t="str">
        <f>VLOOKUP(A55,Plan1!$A$1:$G$718,2,0)</f>
        <v>VIMTP08000515522</v>
      </c>
      <c r="C55" t="str">
        <f>VLOOKUP(A55,Plan1!$A$1:$G$718,3,0)</f>
        <v>ABERTO</v>
      </c>
      <c r="D55">
        <v>8</v>
      </c>
      <c r="E55" t="str">
        <f>VLOOKUP(A55,Plan1!$A$1:$G$718,5,0)</f>
        <v>DESPESAS MEDICAS, HOSPITALARES</v>
      </c>
      <c r="F55" s="11">
        <v>3689.1000000000004</v>
      </c>
      <c r="G55" s="11">
        <v>17789.870000000003</v>
      </c>
      <c r="H55" t="s">
        <v>353</v>
      </c>
      <c r="I55" t="s">
        <v>355</v>
      </c>
    </row>
    <row r="56" spans="1:9" x14ac:dyDescent="0.35">
      <c r="A56">
        <v>231456983</v>
      </c>
      <c r="B56" t="str">
        <f>VLOOKUP(A56,Plan1!$A$1:$G$718,2,0)</f>
        <v>VIMTP08000568791</v>
      </c>
      <c r="C56" t="str">
        <f>VLOOKUP(A56,Plan1!$A$1:$G$718,3,0)</f>
        <v>ABERTO</v>
      </c>
      <c r="D56">
        <v>8</v>
      </c>
      <c r="E56" t="str">
        <f>VLOOKUP(A56,Plan1!$A$1:$G$718,5,0)</f>
        <v>DESPESAS MEDICAS, HOSPITALARES</v>
      </c>
      <c r="F56" s="11">
        <v>229.37</v>
      </c>
      <c r="G56" s="11">
        <v>1083.8999999999999</v>
      </c>
      <c r="H56" t="s">
        <v>353</v>
      </c>
      <c r="I56" t="s">
        <v>355</v>
      </c>
    </row>
    <row r="57" spans="1:9" x14ac:dyDescent="0.35">
      <c r="A57">
        <v>231456848</v>
      </c>
      <c r="B57" t="str">
        <f>VLOOKUP(A57,Plan1!$A$1:$G$718,2,0)</f>
        <v>VIMTP07000525931</v>
      </c>
      <c r="C57" t="str">
        <f>VLOOKUP(A57,Plan1!$A$1:$G$718,3,0)</f>
        <v>ABERTO</v>
      </c>
      <c r="D57">
        <v>8</v>
      </c>
      <c r="E57" t="str">
        <f>VLOOKUP(A57,Plan1!$A$1:$G$718,5,0)</f>
        <v>DESPESAS MEDICAS, HOSPITALARES</v>
      </c>
      <c r="F57" s="11">
        <v>1073.53</v>
      </c>
      <c r="G57" s="11">
        <v>5198.2199999999993</v>
      </c>
      <c r="H57" t="s">
        <v>353</v>
      </c>
      <c r="I57" t="s">
        <v>355</v>
      </c>
    </row>
    <row r="58" spans="1:9" x14ac:dyDescent="0.35">
      <c r="A58">
        <v>231515360</v>
      </c>
      <c r="B58" t="str">
        <f>VLOOKUP(A58,Plan1!$A$1:$G$718,2,0)</f>
        <v>VIMTP07000640471</v>
      </c>
      <c r="C58" t="str">
        <f>VLOOKUP(A58,Plan1!$A$1:$G$718,3,0)</f>
        <v>ABERTO</v>
      </c>
      <c r="D58">
        <v>4</v>
      </c>
      <c r="E58" t="str">
        <f>VLOOKUP(A58,Plan1!$A$1:$G$718,5,0)</f>
        <v>DESPESAS MEDICAS, HOSPITALARES</v>
      </c>
      <c r="F58" s="11">
        <v>60</v>
      </c>
      <c r="G58" s="11">
        <v>320.55</v>
      </c>
      <c r="H58" t="s">
        <v>353</v>
      </c>
      <c r="I58" t="s">
        <v>355</v>
      </c>
    </row>
    <row r="59" spans="1:9" x14ac:dyDescent="0.35">
      <c r="A59">
        <v>240888252</v>
      </c>
      <c r="B59" t="str">
        <f>VLOOKUP(A59,Plan1!$A$1:$G$718,2,0)</f>
        <v>VIMTP07000452506</v>
      </c>
      <c r="C59" t="str">
        <f>VLOOKUP(A59,Plan1!$A$1:$G$718,3,0)</f>
        <v>ABERTO</v>
      </c>
      <c r="D59">
        <v>8</v>
      </c>
      <c r="E59" t="str">
        <f>VLOOKUP(A59,Plan1!$A$1:$G$718,5,0)</f>
        <v>DESPESAS MEDICAS, HOSPITALARES</v>
      </c>
      <c r="F59" s="11">
        <v>2106.09</v>
      </c>
      <c r="G59" s="11">
        <v>9532.8399999999983</v>
      </c>
      <c r="H59" t="s">
        <v>353</v>
      </c>
      <c r="I59" t="s">
        <v>355</v>
      </c>
    </row>
    <row r="60" spans="1:9" x14ac:dyDescent="0.35">
      <c r="A60">
        <v>231512906</v>
      </c>
      <c r="B60" t="str">
        <f>VLOOKUP(A60,Plan1!$A$1:$G$718,2,0)</f>
        <v>VIMTP11000673778</v>
      </c>
      <c r="C60" t="str">
        <f>VLOOKUP(A60,Plan1!$A$1:$G$718,3,0)</f>
        <v>ABERTO</v>
      </c>
      <c r="D60">
        <v>4</v>
      </c>
      <c r="E60" t="str">
        <f>VLOOKUP(A60,Plan1!$A$1:$G$718,5,0)</f>
        <v>DESPESAS MEDICAS, HOSPITALARES</v>
      </c>
      <c r="F60" s="11">
        <v>60</v>
      </c>
      <c r="G60" s="11">
        <v>320.55</v>
      </c>
      <c r="H60" t="s">
        <v>353</v>
      </c>
      <c r="I60" t="s">
        <v>355</v>
      </c>
    </row>
    <row r="61" spans="1:9" x14ac:dyDescent="0.35">
      <c r="A61">
        <v>231515468</v>
      </c>
      <c r="B61" t="str">
        <f>VLOOKUP(A61,Plan1!$A$1:$G$718,2,0)</f>
        <v>VIMTP11000649137</v>
      </c>
      <c r="C61" t="str">
        <f>VLOOKUP(A61,Plan1!$A$1:$G$718,3,0)</f>
        <v>ABERTO</v>
      </c>
      <c r="D61">
        <v>4</v>
      </c>
      <c r="E61" t="str">
        <f>VLOOKUP(A61,Plan1!$A$1:$G$718,5,0)</f>
        <v>DESPESAS MEDICAS, HOSPITALARES</v>
      </c>
      <c r="F61" s="11">
        <v>60</v>
      </c>
      <c r="G61" s="11">
        <v>320.55</v>
      </c>
      <c r="H61" t="s">
        <v>353</v>
      </c>
      <c r="I61" t="s">
        <v>355</v>
      </c>
    </row>
    <row r="62" spans="1:9" x14ac:dyDescent="0.35">
      <c r="A62">
        <v>231623811</v>
      </c>
      <c r="B62" t="str">
        <f>VLOOKUP(A62,Plan1!$A$1:$G$718,2,0)</f>
        <v>VIMTP12000642689</v>
      </c>
      <c r="C62" t="str">
        <f>VLOOKUP(A62,Plan1!$A$1:$G$718,3,0)</f>
        <v>ABERTO</v>
      </c>
      <c r="D62">
        <v>4</v>
      </c>
      <c r="E62" t="str">
        <f>VLOOKUP(A62,Plan1!$A$1:$G$718,5,0)</f>
        <v>DESPESAS MEDICAS, HOSPITALARES</v>
      </c>
      <c r="F62" s="11">
        <v>60</v>
      </c>
      <c r="G62" s="11">
        <v>320.55</v>
      </c>
      <c r="H62" t="s">
        <v>353</v>
      </c>
      <c r="I62" t="s">
        <v>355</v>
      </c>
    </row>
    <row r="63" spans="1:9" x14ac:dyDescent="0.35">
      <c r="A63">
        <v>239658378</v>
      </c>
      <c r="B63" t="str">
        <f>VLOOKUP(A63,Plan1!$A$1:$G$718,2,0)</f>
        <v>VIMTP19000580693</v>
      </c>
      <c r="C63" t="str">
        <f>VLOOKUP(A63,Plan1!$A$1:$G$718,3,0)</f>
        <v>ABERTO</v>
      </c>
      <c r="D63">
        <v>10</v>
      </c>
      <c r="E63" t="str">
        <f>VLOOKUP(A63,Plan1!$A$1:$G$718,5,0)</f>
        <v>EXTRAVIO DE BAGAGEM</v>
      </c>
      <c r="F63" s="11">
        <v>3000</v>
      </c>
      <c r="G63" s="11">
        <v>3000</v>
      </c>
      <c r="H63" t="s">
        <v>354</v>
      </c>
      <c r="I63" t="s">
        <v>357</v>
      </c>
    </row>
    <row r="64" spans="1:9" x14ac:dyDescent="0.35">
      <c r="A64">
        <v>231581369</v>
      </c>
      <c r="B64" t="str">
        <f>VLOOKUP(A64,Plan1!$A$1:$G$718,2,0)</f>
        <v>VIAGA18000286788</v>
      </c>
      <c r="C64" t="str">
        <f>VLOOKUP(A64,Plan1!$A$1:$G$718,3,0)</f>
        <v>ABERTO</v>
      </c>
      <c r="D64">
        <v>6</v>
      </c>
      <c r="E64" t="str">
        <f>VLOOKUP(A64,Plan1!$A$1:$G$718,5,0)</f>
        <v>DESPESAS ODONTOLOGICAS</v>
      </c>
      <c r="F64" s="11">
        <v>120</v>
      </c>
      <c r="G64" s="11">
        <v>623.30999999999995</v>
      </c>
      <c r="H64" t="s">
        <v>354</v>
      </c>
      <c r="I64" t="s">
        <v>357</v>
      </c>
    </row>
    <row r="65" spans="1:9" x14ac:dyDescent="0.35">
      <c r="A65">
        <v>231623708</v>
      </c>
      <c r="B65" t="str">
        <f>VLOOKUP(A65,Plan1!$A$1:$G$718,2,0)</f>
        <v>VIMTP12000659512</v>
      </c>
      <c r="C65" t="str">
        <f>VLOOKUP(A65,Plan1!$A$1:$G$718,3,0)</f>
        <v>ABERTO</v>
      </c>
      <c r="D65">
        <v>4</v>
      </c>
      <c r="E65" t="str">
        <f>VLOOKUP(A65,Plan1!$A$1:$G$718,5,0)</f>
        <v>DESPESAS MEDICAS, HOSPITALARES</v>
      </c>
      <c r="F65" s="11">
        <v>60</v>
      </c>
      <c r="G65" s="11">
        <v>320.55</v>
      </c>
      <c r="H65" t="s">
        <v>353</v>
      </c>
      <c r="I65" t="s">
        <v>355</v>
      </c>
    </row>
    <row r="66" spans="1:9" x14ac:dyDescent="0.35">
      <c r="A66">
        <v>231658015</v>
      </c>
      <c r="B66" t="str">
        <f>VLOOKUP(A66,Plan1!$A$1:$G$718,2,0)</f>
        <v>VIMTP12000657951</v>
      </c>
      <c r="C66" t="str">
        <f>VLOOKUP(A66,Plan1!$A$1:$G$718,3,0)</f>
        <v>ABERTO</v>
      </c>
      <c r="D66">
        <v>4</v>
      </c>
      <c r="E66" t="str">
        <f>VLOOKUP(A66,Plan1!$A$1:$G$718,5,0)</f>
        <v>DESPESAS MEDICAS, HOSPITALARES</v>
      </c>
      <c r="F66" s="11">
        <v>180</v>
      </c>
      <c r="G66" s="11">
        <v>961.61</v>
      </c>
      <c r="H66" t="s">
        <v>353</v>
      </c>
      <c r="I66" t="s">
        <v>355</v>
      </c>
    </row>
    <row r="67" spans="1:9" x14ac:dyDescent="0.35">
      <c r="A67">
        <v>240859611</v>
      </c>
      <c r="B67" t="str">
        <f>VLOOKUP(A67,Plan1!$A$1:$G$718,2,0)</f>
        <v>VIAGA68000676717</v>
      </c>
      <c r="C67" t="str">
        <f>VLOOKUP(A67,Plan1!$A$1:$G$718,3,0)</f>
        <v>ABERTO</v>
      </c>
      <c r="D67">
        <v>15</v>
      </c>
      <c r="E67" t="str">
        <f>VLOOKUP(A67,Plan1!$A$1:$G$718,5,0)</f>
        <v>CANCELAMENTO, INTERRUPÇÃO  E EXTENSÃO DE VIAGEM</v>
      </c>
      <c r="F67" s="11">
        <v>3000</v>
      </c>
      <c r="G67" s="11">
        <v>3000</v>
      </c>
      <c r="H67" t="s">
        <v>353</v>
      </c>
      <c r="I67" t="s">
        <v>355</v>
      </c>
    </row>
    <row r="68" spans="1:9" x14ac:dyDescent="0.35">
      <c r="A68">
        <v>231838256</v>
      </c>
      <c r="B68" t="str">
        <f>VLOOKUP(A68,Plan1!$A$1:$G$718,2,0)</f>
        <v>VIMTP08000641672</v>
      </c>
      <c r="C68" t="str">
        <f>VLOOKUP(A68,Plan1!$A$1:$G$718,3,0)</f>
        <v>ABERTO</v>
      </c>
      <c r="D68">
        <v>8</v>
      </c>
      <c r="E68" t="str">
        <f>VLOOKUP(A68,Plan1!$A$1:$G$718,5,0)</f>
        <v>DESPESAS MEDICAS, HOSPITALARES</v>
      </c>
      <c r="F68" s="11">
        <v>2103.4900000000002</v>
      </c>
      <c r="G68" s="11">
        <v>9940.23</v>
      </c>
      <c r="H68" t="s">
        <v>353</v>
      </c>
      <c r="I68" t="s">
        <v>355</v>
      </c>
    </row>
    <row r="69" spans="1:9" x14ac:dyDescent="0.35">
      <c r="A69">
        <v>240888588</v>
      </c>
      <c r="B69" t="str">
        <f>VLOOKUP(A69,Plan1!$A$1:$G$718,2,0)</f>
        <v>VIMTP08000678432</v>
      </c>
      <c r="C69" t="str">
        <f>VLOOKUP(A69,Plan1!$A$1:$G$718,3,0)</f>
        <v>ABERTO</v>
      </c>
      <c r="D69">
        <v>12</v>
      </c>
      <c r="E69" t="str">
        <f>VLOOKUP(A69,Plan1!$A$1:$G$718,5,0)</f>
        <v>DESPESAS ODONTOLOGICAS</v>
      </c>
      <c r="F69" s="11">
        <v>262.76</v>
      </c>
      <c r="G69" s="11">
        <v>1356.8799999999999</v>
      </c>
      <c r="H69" t="s">
        <v>353</v>
      </c>
      <c r="I69" t="s">
        <v>355</v>
      </c>
    </row>
    <row r="70" spans="1:9" x14ac:dyDescent="0.35">
      <c r="A70">
        <v>231995734</v>
      </c>
      <c r="B70" t="str">
        <f>VLOOKUP(A70,Plan1!$A$1:$G$718,2,0)</f>
        <v>VIMTP11000557552</v>
      </c>
      <c r="C70" t="str">
        <f>VLOOKUP(A70,Plan1!$A$1:$G$718,3,0)</f>
        <v>ABERTO</v>
      </c>
      <c r="D70">
        <v>4</v>
      </c>
      <c r="E70" t="str">
        <f>VLOOKUP(A70,Plan1!$A$1:$G$718,5,0)</f>
        <v>DESPESAS MEDICAS, HOSPITALARES</v>
      </c>
      <c r="F70" s="11">
        <v>60</v>
      </c>
      <c r="G70" s="11">
        <v>320.55</v>
      </c>
      <c r="H70" t="s">
        <v>353</v>
      </c>
      <c r="I70" t="s">
        <v>355</v>
      </c>
    </row>
    <row r="71" spans="1:9" x14ac:dyDescent="0.35">
      <c r="A71">
        <v>232740141</v>
      </c>
      <c r="B71" t="str">
        <f>VLOOKUP(A71,Plan1!$A$1:$G$718,2,0)</f>
        <v>VIMTP20000683757</v>
      </c>
      <c r="C71" t="str">
        <f>VLOOKUP(A71,Plan1!$A$1:$G$718,3,0)</f>
        <v>ABERTO</v>
      </c>
      <c r="D71">
        <v>56</v>
      </c>
      <c r="E71" t="str">
        <f>VLOOKUP(A71,Plan1!$A$1:$G$718,5,0)</f>
        <v>REGRESSO SANITARIO</v>
      </c>
      <c r="F71" s="11">
        <v>71037.5</v>
      </c>
      <c r="G71" s="11">
        <v>71718.439999999988</v>
      </c>
      <c r="H71" t="s">
        <v>354</v>
      </c>
      <c r="I71" t="s">
        <v>357</v>
      </c>
    </row>
    <row r="72" spans="1:9" x14ac:dyDescent="0.35">
      <c r="A72">
        <v>240915891</v>
      </c>
      <c r="B72" t="str">
        <f>VLOOKUP(A72,Plan1!$A$1:$G$718,2,0)</f>
        <v>VIMTP07000552175</v>
      </c>
      <c r="C72" t="str">
        <f>VLOOKUP(A72,Plan1!$A$1:$G$718,3,0)</f>
        <v>ABERTO</v>
      </c>
      <c r="D72">
        <v>4</v>
      </c>
      <c r="E72" t="str">
        <f>VLOOKUP(A72,Plan1!$A$1:$G$718,5,0)</f>
        <v>DESPESAS MEDICAS, HOSPITALARES</v>
      </c>
      <c r="F72" s="11">
        <v>3816.77</v>
      </c>
      <c r="G72" s="11">
        <v>3816.77</v>
      </c>
      <c r="H72" t="s">
        <v>353</v>
      </c>
      <c r="I72" t="s">
        <v>355</v>
      </c>
    </row>
    <row r="73" spans="1:9" x14ac:dyDescent="0.35">
      <c r="A73">
        <v>232089700</v>
      </c>
      <c r="B73" t="str">
        <f>VLOOKUP(A73,Plan1!$A$1:$G$718,2,0)</f>
        <v>VIMTP12000688514</v>
      </c>
      <c r="C73" t="str">
        <f>VLOOKUP(A73,Plan1!$A$1:$G$718,3,0)</f>
        <v>ABERTO</v>
      </c>
      <c r="D73">
        <v>4</v>
      </c>
      <c r="E73" t="str">
        <f>VLOOKUP(A73,Plan1!$A$1:$G$718,5,0)</f>
        <v>DESPESAS MEDICAS, HOSPITALARES</v>
      </c>
      <c r="F73" s="11">
        <v>60</v>
      </c>
      <c r="G73" s="11">
        <v>322.23</v>
      </c>
      <c r="H73" t="s">
        <v>353</v>
      </c>
      <c r="I73" t="s">
        <v>355</v>
      </c>
    </row>
    <row r="74" spans="1:9" x14ac:dyDescent="0.35">
      <c r="A74">
        <v>232097291</v>
      </c>
      <c r="B74" t="str">
        <f>VLOOKUP(A74,Plan1!$A$1:$G$718,2,0)</f>
        <v>VIMTP08000566821</v>
      </c>
      <c r="C74" t="str">
        <f>VLOOKUP(A74,Plan1!$A$1:$G$718,3,0)</f>
        <v>ABERTO</v>
      </c>
      <c r="D74">
        <v>4</v>
      </c>
      <c r="E74" t="str">
        <f>VLOOKUP(A74,Plan1!$A$1:$G$718,5,0)</f>
        <v>DESPESAS MEDICAS, HOSPITALARES</v>
      </c>
      <c r="F74" s="11">
        <v>60</v>
      </c>
      <c r="G74" s="11">
        <v>322.23</v>
      </c>
      <c r="H74" t="s">
        <v>353</v>
      </c>
      <c r="I74" t="s">
        <v>355</v>
      </c>
    </row>
    <row r="75" spans="1:9" x14ac:dyDescent="0.35">
      <c r="A75">
        <v>239642944</v>
      </c>
      <c r="B75" t="str">
        <f>VLOOKUP(A75,Plan1!$A$1:$G$718,2,0)</f>
        <v>VIMTP07000525929</v>
      </c>
      <c r="C75" t="str">
        <f>VLOOKUP(A75,Plan1!$A$1:$G$718,3,0)</f>
        <v>ABERTO</v>
      </c>
      <c r="D75">
        <v>4</v>
      </c>
      <c r="E75" t="str">
        <f>VLOOKUP(A75,Plan1!$A$1:$G$718,5,0)</f>
        <v>DESPESAS MEDICAS, HOSPITALARES</v>
      </c>
      <c r="F75" s="11">
        <v>60</v>
      </c>
      <c r="G75" s="11">
        <v>322.23</v>
      </c>
      <c r="H75" t="s">
        <v>353</v>
      </c>
      <c r="I75" t="s">
        <v>355</v>
      </c>
    </row>
    <row r="76" spans="1:9" x14ac:dyDescent="0.35">
      <c r="A76">
        <v>240859645</v>
      </c>
      <c r="B76" t="str">
        <f>VLOOKUP(A76,Plan1!$A$1:$G$718,2,0)</f>
        <v>VIAGA70000660512</v>
      </c>
      <c r="C76" t="str">
        <f>VLOOKUP(A76,Plan1!$A$1:$G$718,3,0)</f>
        <v>ABERTO</v>
      </c>
      <c r="D76">
        <v>4</v>
      </c>
      <c r="E76" t="str">
        <f>VLOOKUP(A76,Plan1!$A$1:$G$718,5,0)</f>
        <v>DESPESAS MEDICAS, HOSPITALARES</v>
      </c>
      <c r="F76" s="11">
        <v>9166.9</v>
      </c>
      <c r="G76" s="11">
        <v>9166.9</v>
      </c>
      <c r="H76" t="s">
        <v>353</v>
      </c>
      <c r="I76" t="s">
        <v>355</v>
      </c>
    </row>
    <row r="77" spans="1:9" x14ac:dyDescent="0.35">
      <c r="A77">
        <v>240915999</v>
      </c>
      <c r="B77" t="str">
        <f>VLOOKUP(A77,Plan1!$A$1:$G$718,2,0)</f>
        <v>VIAGA68000619951</v>
      </c>
      <c r="C77" t="str">
        <f>VLOOKUP(A77,Plan1!$A$1:$G$718,3,0)</f>
        <v>ABERTO</v>
      </c>
      <c r="D77">
        <v>8</v>
      </c>
      <c r="E77" t="str">
        <f>VLOOKUP(A77,Plan1!$A$1:$G$718,5,0)</f>
        <v>DESPESAS MEDICAS, HOSPITALARES</v>
      </c>
      <c r="F77" s="11">
        <v>4031</v>
      </c>
      <c r="G77" s="11">
        <v>21435.559999999998</v>
      </c>
      <c r="H77" t="s">
        <v>353</v>
      </c>
      <c r="I77" t="s">
        <v>355</v>
      </c>
    </row>
    <row r="78" spans="1:9" x14ac:dyDescent="0.35">
      <c r="A78">
        <v>232196210</v>
      </c>
      <c r="B78" t="str">
        <f>VLOOKUP(A78,Plan1!$A$1:$G$718,2,0)</f>
        <v>VIMTP11000592713</v>
      </c>
      <c r="C78" t="str">
        <f>VLOOKUP(A78,Plan1!$A$1:$G$718,3,0)</f>
        <v>ABERTO</v>
      </c>
      <c r="D78">
        <v>4</v>
      </c>
      <c r="E78" t="str">
        <f>VLOOKUP(A78,Plan1!$A$1:$G$718,5,0)</f>
        <v>DESPESAS MEDICAS, HOSPITALARES</v>
      </c>
      <c r="F78" s="11">
        <v>60</v>
      </c>
      <c r="G78" s="11">
        <v>319.07</v>
      </c>
      <c r="H78" t="s">
        <v>353</v>
      </c>
      <c r="I78" t="s">
        <v>355</v>
      </c>
    </row>
    <row r="79" spans="1:9" x14ac:dyDescent="0.35">
      <c r="A79">
        <v>240888628</v>
      </c>
      <c r="B79" t="str">
        <f>VLOOKUP(A79,Plan1!$A$1:$G$718,2,0)</f>
        <v>VIMTP19000654157</v>
      </c>
      <c r="C79" t="str">
        <f>VLOOKUP(A79,Plan1!$A$1:$G$718,3,0)</f>
        <v>ABERTO</v>
      </c>
      <c r="D79">
        <v>24</v>
      </c>
      <c r="E79" t="str">
        <f>VLOOKUP(A79,Plan1!$A$1:$G$718,5,0)</f>
        <v>DESPESAS FARMACEUTICAS</v>
      </c>
      <c r="F79" s="11">
        <v>815.95</v>
      </c>
      <c r="G79" s="11">
        <v>815.95</v>
      </c>
      <c r="H79" t="s">
        <v>353</v>
      </c>
      <c r="I79" t="s">
        <v>355</v>
      </c>
    </row>
    <row r="80" spans="1:9" x14ac:dyDescent="0.35">
      <c r="A80">
        <v>232402168</v>
      </c>
      <c r="B80" t="str">
        <f>VLOOKUP(A80,Plan1!$A$1:$G$718,2,0)</f>
        <v>VIAGA62000453820</v>
      </c>
      <c r="C80" t="str">
        <f>VLOOKUP(A80,Plan1!$A$1:$G$718,3,0)</f>
        <v>ABERTO</v>
      </c>
      <c r="D80">
        <v>4</v>
      </c>
      <c r="E80" t="str">
        <f>VLOOKUP(A80,Plan1!$A$1:$G$718,5,0)</f>
        <v>DESPESAS MEDICAS, HOSPITALARES</v>
      </c>
      <c r="F80" s="11">
        <v>60</v>
      </c>
      <c r="G80" s="11">
        <v>319.07</v>
      </c>
      <c r="H80" t="s">
        <v>353</v>
      </c>
      <c r="I80" t="s">
        <v>355</v>
      </c>
    </row>
    <row r="81" spans="1:9" x14ac:dyDescent="0.35">
      <c r="A81">
        <v>232487992</v>
      </c>
      <c r="B81" t="str">
        <f>VLOOKUP(A81,Plan1!$A$1:$G$718,2,0)</f>
        <v>VIAGA54000555022</v>
      </c>
      <c r="C81" t="str">
        <f>VLOOKUP(A81,Plan1!$A$1:$G$718,3,0)</f>
        <v>ABERTO</v>
      </c>
      <c r="D81">
        <v>4</v>
      </c>
      <c r="E81" t="str">
        <f>VLOOKUP(A81,Plan1!$A$1:$G$718,5,0)</f>
        <v>DESPESAS MEDICAS, HOSPITALARES</v>
      </c>
      <c r="F81" s="11">
        <v>530</v>
      </c>
      <c r="G81" s="11">
        <v>1888.82</v>
      </c>
      <c r="H81" t="s">
        <v>353</v>
      </c>
      <c r="I81" t="s">
        <v>355</v>
      </c>
    </row>
    <row r="82" spans="1:9" x14ac:dyDescent="0.35">
      <c r="A82">
        <v>235003525</v>
      </c>
      <c r="B82" t="str">
        <f>VLOOKUP(A82,Plan1!$A$1:$G$718,2,0)</f>
        <v>VIMTP19000575271</v>
      </c>
      <c r="C82" t="str">
        <f>VLOOKUP(A82,Plan1!$A$1:$G$718,3,0)</f>
        <v>ABERTO</v>
      </c>
      <c r="D82">
        <v>4</v>
      </c>
      <c r="E82" t="str">
        <f>VLOOKUP(A82,Plan1!$A$1:$G$718,5,0)</f>
        <v>DESPESAS MEDICAS, HOSPITALARES</v>
      </c>
      <c r="F82" s="11">
        <v>20833.2</v>
      </c>
      <c r="G82" s="11">
        <v>20833.2</v>
      </c>
      <c r="H82" t="s">
        <v>354</v>
      </c>
      <c r="I82" t="s">
        <v>356</v>
      </c>
    </row>
    <row r="83" spans="1:9" x14ac:dyDescent="0.35">
      <c r="A83">
        <v>232653314</v>
      </c>
      <c r="B83" t="str">
        <f>VLOOKUP(A83,Plan1!$A$1:$G$718,2,0)</f>
        <v>VIMTP20000695958</v>
      </c>
      <c r="C83" t="str">
        <f>VLOOKUP(A83,Plan1!$A$1:$G$718,3,0)</f>
        <v>ABERTO</v>
      </c>
      <c r="D83">
        <v>12</v>
      </c>
      <c r="E83" t="str">
        <f>VLOOKUP(A83,Plan1!$A$1:$G$718,5,0)</f>
        <v>DESPESAS ODONTOLOGICAS</v>
      </c>
      <c r="F83" s="11">
        <v>462</v>
      </c>
      <c r="G83" s="11">
        <v>2467.44</v>
      </c>
      <c r="H83" t="s">
        <v>353</v>
      </c>
      <c r="I83" t="s">
        <v>355</v>
      </c>
    </row>
    <row r="84" spans="1:9" x14ac:dyDescent="0.35">
      <c r="A84">
        <v>232662555</v>
      </c>
      <c r="B84" t="str">
        <f>VLOOKUP(A84,Plan1!$A$1:$G$718,2,0)</f>
        <v>VIMTP07000621908</v>
      </c>
      <c r="C84" t="str">
        <f>VLOOKUP(A84,Plan1!$A$1:$G$718,3,0)</f>
        <v>ABERTO</v>
      </c>
      <c r="D84">
        <v>4</v>
      </c>
      <c r="E84" t="str">
        <f>VLOOKUP(A84,Plan1!$A$1:$G$718,5,0)</f>
        <v>DESPESAS MEDICAS, HOSPITALARES</v>
      </c>
      <c r="F84" s="11">
        <v>60</v>
      </c>
      <c r="G84" s="11">
        <v>319.07</v>
      </c>
      <c r="H84" t="s">
        <v>353</v>
      </c>
      <c r="I84" t="s">
        <v>355</v>
      </c>
    </row>
    <row r="85" spans="1:9" x14ac:dyDescent="0.35">
      <c r="A85">
        <v>232662561</v>
      </c>
      <c r="B85" t="str">
        <f>VLOOKUP(A85,Plan1!$A$1:$G$718,2,0)</f>
        <v>VIMTP12000714406</v>
      </c>
      <c r="C85" t="str">
        <f>VLOOKUP(A85,Plan1!$A$1:$G$718,3,0)</f>
        <v>ABERTO</v>
      </c>
      <c r="D85">
        <v>4</v>
      </c>
      <c r="E85" t="str">
        <f>VLOOKUP(A85,Plan1!$A$1:$G$718,5,0)</f>
        <v>DESPESAS MEDICAS, HOSPITALARES</v>
      </c>
      <c r="F85" s="11">
        <v>60</v>
      </c>
      <c r="G85" s="11">
        <v>319.07</v>
      </c>
      <c r="H85" t="s">
        <v>353</v>
      </c>
      <c r="I85" t="s">
        <v>355</v>
      </c>
    </row>
    <row r="86" spans="1:9" x14ac:dyDescent="0.35">
      <c r="A86">
        <v>240887677</v>
      </c>
      <c r="B86" t="str">
        <f>VLOOKUP(A86,Plan1!$A$1:$G$718,2,0)</f>
        <v>VISUB14000420219</v>
      </c>
      <c r="C86" t="str">
        <f>VLOOKUP(A86,Plan1!$A$1:$G$718,3,0)</f>
        <v>ABERTO</v>
      </c>
      <c r="D86">
        <v>24</v>
      </c>
      <c r="E86" t="str">
        <f>VLOOKUP(A86,Plan1!$A$1:$G$718,5,0)</f>
        <v>DESPESAS FARMACEUTICAS</v>
      </c>
      <c r="F86" s="11">
        <v>520.62</v>
      </c>
      <c r="G86" s="11">
        <v>520.62</v>
      </c>
      <c r="H86" t="s">
        <v>353</v>
      </c>
      <c r="I86" t="s">
        <v>355</v>
      </c>
    </row>
    <row r="87" spans="1:9" x14ac:dyDescent="0.35">
      <c r="A87">
        <v>232832800</v>
      </c>
      <c r="B87" t="str">
        <f>VLOOKUP(A87,Plan1!$A$1:$G$718,2,0)</f>
        <v>VIMTP08000713239</v>
      </c>
      <c r="C87" t="str">
        <f>VLOOKUP(A87,Plan1!$A$1:$G$718,3,0)</f>
        <v>ABERTO</v>
      </c>
      <c r="D87">
        <v>4</v>
      </c>
      <c r="E87" t="str">
        <f>VLOOKUP(A87,Plan1!$A$1:$G$718,5,0)</f>
        <v>DESPESAS MEDICAS, HOSPITALARES</v>
      </c>
      <c r="F87" s="11">
        <v>60</v>
      </c>
      <c r="G87" s="11">
        <v>325.93</v>
      </c>
      <c r="H87" t="s">
        <v>353</v>
      </c>
      <c r="I87" t="s">
        <v>355</v>
      </c>
    </row>
    <row r="88" spans="1:9" x14ac:dyDescent="0.35">
      <c r="A88">
        <v>233052209</v>
      </c>
      <c r="B88" t="str">
        <f>VLOOKUP(A88,Plan1!$A$1:$G$718,2,0)</f>
        <v>VIMTP11000676601</v>
      </c>
      <c r="C88" t="str">
        <f>VLOOKUP(A88,Plan1!$A$1:$G$718,3,0)</f>
        <v>ABERTO</v>
      </c>
      <c r="D88">
        <v>4</v>
      </c>
      <c r="E88" t="str">
        <f>VLOOKUP(A88,Plan1!$A$1:$G$718,5,0)</f>
        <v>DESPESAS MEDICAS, HOSPITALARES</v>
      </c>
      <c r="F88" s="11">
        <v>60</v>
      </c>
      <c r="G88" s="11">
        <v>325.93</v>
      </c>
      <c r="H88" t="s">
        <v>353</v>
      </c>
      <c r="I88" t="s">
        <v>355</v>
      </c>
    </row>
    <row r="89" spans="1:9" x14ac:dyDescent="0.35">
      <c r="A89">
        <v>233052116</v>
      </c>
      <c r="B89" t="str">
        <f>VLOOKUP(A89,Plan1!$A$1:$G$718,2,0)</f>
        <v>VIMTP07000695964</v>
      </c>
      <c r="C89" t="str">
        <f>VLOOKUP(A89,Plan1!$A$1:$G$718,3,0)</f>
        <v>ABERTO</v>
      </c>
      <c r="D89">
        <v>8</v>
      </c>
      <c r="E89" t="str">
        <f>VLOOKUP(A89,Plan1!$A$1:$G$718,5,0)</f>
        <v>DESPESAS MEDICAS, HOSPITALARES</v>
      </c>
      <c r="F89" s="11">
        <v>4835.63</v>
      </c>
      <c r="G89" s="11">
        <v>21364.41</v>
      </c>
      <c r="H89" t="s">
        <v>353</v>
      </c>
      <c r="I89" t="s">
        <v>355</v>
      </c>
    </row>
    <row r="90" spans="1:9" x14ac:dyDescent="0.35">
      <c r="A90">
        <v>239655339</v>
      </c>
      <c r="B90" t="str">
        <f>VLOOKUP(A90,Plan1!$A$1:$G$718,2,0)</f>
        <v>VIMTP11000702875</v>
      </c>
      <c r="C90" t="str">
        <f>VLOOKUP(A90,Plan1!$A$1:$G$718,3,0)</f>
        <v>ABERTO</v>
      </c>
      <c r="D90">
        <v>19</v>
      </c>
      <c r="E90" t="str">
        <f>VLOOKUP(A90,Plan1!$A$1:$G$718,5,0)</f>
        <v>REGRESSO ANTECIPADO DO SEGURADO</v>
      </c>
      <c r="F90" s="11">
        <v>6300</v>
      </c>
      <c r="G90" s="11">
        <v>6300</v>
      </c>
      <c r="H90" t="s">
        <v>354</v>
      </c>
      <c r="I90" t="s">
        <v>357</v>
      </c>
    </row>
    <row r="91" spans="1:9" x14ac:dyDescent="0.35">
      <c r="A91">
        <v>233061074</v>
      </c>
      <c r="B91" t="str">
        <f>VLOOKUP(A91,Plan1!$A$1:$G$718,2,0)</f>
        <v>VIMTP11000702875</v>
      </c>
      <c r="C91" t="str">
        <f>VLOOKUP(A91,Plan1!$A$1:$G$718,3,0)</f>
        <v>ABERTO</v>
      </c>
      <c r="D91">
        <v>4</v>
      </c>
      <c r="E91" t="str">
        <f>VLOOKUP(A91,Plan1!$A$1:$G$718,5,0)</f>
        <v>DESPESAS MEDICAS, HOSPITALARES</v>
      </c>
      <c r="F91" s="11">
        <v>60</v>
      </c>
      <c r="G91" s="11">
        <v>325.93</v>
      </c>
      <c r="H91" t="s">
        <v>353</v>
      </c>
      <c r="I91" t="s">
        <v>355</v>
      </c>
    </row>
    <row r="92" spans="1:9" x14ac:dyDescent="0.35">
      <c r="A92">
        <v>233060980</v>
      </c>
      <c r="B92" t="str">
        <f>VLOOKUP(A92,Plan1!$A$1:$G$718,2,0)</f>
        <v>VIMTP11000507497</v>
      </c>
      <c r="C92" t="str">
        <f>VLOOKUP(A92,Plan1!$A$1:$G$718,3,0)</f>
        <v>ABERTO</v>
      </c>
      <c r="D92">
        <v>4</v>
      </c>
      <c r="E92" t="str">
        <f>VLOOKUP(A92,Plan1!$A$1:$G$718,5,0)</f>
        <v>DESPESAS MEDICAS, HOSPITALARES</v>
      </c>
      <c r="F92" s="11">
        <v>60</v>
      </c>
      <c r="G92" s="11">
        <v>325.93</v>
      </c>
      <c r="H92" t="s">
        <v>353</v>
      </c>
      <c r="I92" t="s">
        <v>355</v>
      </c>
    </row>
    <row r="93" spans="1:9" x14ac:dyDescent="0.35">
      <c r="A93">
        <v>233101551</v>
      </c>
      <c r="B93" t="str">
        <f>VLOOKUP(A93,Plan1!$A$1:$G$718,2,0)</f>
        <v>VIMTP11000707555</v>
      </c>
      <c r="C93" t="str">
        <f>VLOOKUP(A93,Plan1!$A$1:$G$718,3,0)</f>
        <v>ABERTO</v>
      </c>
      <c r="D93">
        <v>4</v>
      </c>
      <c r="E93" t="str">
        <f>VLOOKUP(A93,Plan1!$A$1:$G$718,5,0)</f>
        <v>DESPESAS MEDICAS, HOSPITALARES</v>
      </c>
      <c r="F93" s="11">
        <v>60</v>
      </c>
      <c r="G93" s="11">
        <v>325.93</v>
      </c>
      <c r="H93" t="s">
        <v>353</v>
      </c>
      <c r="I93" t="s">
        <v>355</v>
      </c>
    </row>
    <row r="94" spans="1:9" x14ac:dyDescent="0.35">
      <c r="A94">
        <v>233148763</v>
      </c>
      <c r="B94" t="str">
        <f>VLOOKUP(A94,Plan1!$A$1:$G$718,2,0)</f>
        <v>VIMTP11000654797</v>
      </c>
      <c r="C94" t="str">
        <f>VLOOKUP(A94,Plan1!$A$1:$G$718,3,0)</f>
        <v>ABERTO</v>
      </c>
      <c r="D94">
        <v>4</v>
      </c>
      <c r="E94" t="str">
        <f>VLOOKUP(A94,Plan1!$A$1:$G$718,5,0)</f>
        <v>DESPESAS MEDICAS, HOSPITALARES</v>
      </c>
      <c r="F94" s="11">
        <v>60</v>
      </c>
      <c r="G94" s="11">
        <v>325.93</v>
      </c>
      <c r="H94" t="s">
        <v>353</v>
      </c>
      <c r="I94" t="s">
        <v>355</v>
      </c>
    </row>
    <row r="95" spans="1:9" x14ac:dyDescent="0.35">
      <c r="A95">
        <v>233423690</v>
      </c>
      <c r="B95" t="str">
        <f>VLOOKUP(A95,Plan1!$A$1:$G$718,2,0)</f>
        <v>VIMTP08000596082</v>
      </c>
      <c r="C95" t="str">
        <f>VLOOKUP(A95,Plan1!$A$1:$G$718,3,0)</f>
        <v>ABERTO</v>
      </c>
      <c r="D95">
        <v>8</v>
      </c>
      <c r="E95" t="str">
        <f>VLOOKUP(A95,Plan1!$A$1:$G$718,5,0)</f>
        <v>DESPESAS MEDICAS, HOSPITALARES</v>
      </c>
      <c r="F95" s="11">
        <v>330.39</v>
      </c>
      <c r="G95" s="11">
        <v>1591.62</v>
      </c>
      <c r="H95" t="s">
        <v>353</v>
      </c>
      <c r="I95" t="s">
        <v>355</v>
      </c>
    </row>
    <row r="96" spans="1:9" x14ac:dyDescent="0.35">
      <c r="A96">
        <v>240915420</v>
      </c>
      <c r="B96" t="str">
        <f>VLOOKUP(A96,Plan1!$A$1:$G$718,2,0)</f>
        <v>VIMTP08000727974</v>
      </c>
      <c r="C96" t="str">
        <f>VLOOKUP(A96,Plan1!$A$1:$G$718,3,0)</f>
        <v>ABERTO</v>
      </c>
      <c r="D96">
        <v>8</v>
      </c>
      <c r="E96" t="str">
        <f>VLOOKUP(A96,Plan1!$A$1:$G$718,5,0)</f>
        <v>DESPESAS MEDICAS, HOSPITALARES</v>
      </c>
      <c r="F96" s="11">
        <v>5210.2999999999993</v>
      </c>
      <c r="G96" s="11">
        <v>9821.74</v>
      </c>
      <c r="H96" t="s">
        <v>353</v>
      </c>
      <c r="I96" t="s">
        <v>355</v>
      </c>
    </row>
    <row r="97" spans="1:9" x14ac:dyDescent="0.35">
      <c r="A97">
        <v>240888383</v>
      </c>
      <c r="B97" t="str">
        <f>VLOOKUP(A97,Plan1!$A$1:$G$718,2,0)</f>
        <v>VIMTP11000737858</v>
      </c>
      <c r="C97" t="str">
        <f>VLOOKUP(A97,Plan1!$A$1:$G$718,3,0)</f>
        <v>ABERTO</v>
      </c>
      <c r="D97">
        <v>24</v>
      </c>
      <c r="E97" t="str">
        <f>VLOOKUP(A97,Plan1!$A$1:$G$718,5,0)</f>
        <v>DESPESAS FARMACEUTICAS</v>
      </c>
      <c r="F97" s="11">
        <v>679.96</v>
      </c>
      <c r="G97" s="11">
        <v>679.96</v>
      </c>
      <c r="H97" t="s">
        <v>353</v>
      </c>
      <c r="I97" t="s">
        <v>355</v>
      </c>
    </row>
    <row r="98" spans="1:9" x14ac:dyDescent="0.35">
      <c r="A98">
        <v>233641762</v>
      </c>
      <c r="B98" t="str">
        <f>VLOOKUP(A98,Plan1!$A$1:$G$718,2,0)</f>
        <v>VIMTP20000730732</v>
      </c>
      <c r="C98" t="str">
        <f>VLOOKUP(A98,Plan1!$A$1:$G$718,3,0)</f>
        <v>ABERTO</v>
      </c>
      <c r="D98">
        <v>6</v>
      </c>
      <c r="E98" t="str">
        <f>VLOOKUP(A98,Plan1!$A$1:$G$718,5,0)</f>
        <v>DESPESAS ODONTOLOGICAS</v>
      </c>
      <c r="F98" s="11">
        <v>2584.54</v>
      </c>
      <c r="G98" s="11">
        <v>2584.54</v>
      </c>
      <c r="H98" t="s">
        <v>354</v>
      </c>
      <c r="I98" t="s">
        <v>357</v>
      </c>
    </row>
    <row r="99" spans="1:9" x14ac:dyDescent="0.35">
      <c r="A99">
        <v>239646476</v>
      </c>
      <c r="B99" t="str">
        <f>VLOOKUP(A99,Plan1!$A$1:$G$718,2,0)</f>
        <v>VIMTP19000643388</v>
      </c>
      <c r="C99" t="str">
        <f>VLOOKUP(A99,Plan1!$A$1:$G$718,3,0)</f>
        <v>ABERTO</v>
      </c>
      <c r="D99">
        <v>4</v>
      </c>
      <c r="E99" t="str">
        <f>VLOOKUP(A99,Plan1!$A$1:$G$718,5,0)</f>
        <v>DESPESAS MEDICAS, HOSPITALARES</v>
      </c>
      <c r="F99" s="11">
        <v>5449.34</v>
      </c>
      <c r="G99" s="11">
        <v>29181.67</v>
      </c>
      <c r="H99" t="s">
        <v>353</v>
      </c>
      <c r="I99" t="s">
        <v>355</v>
      </c>
    </row>
    <row r="100" spans="1:9" x14ac:dyDescent="0.35">
      <c r="A100">
        <v>239642638</v>
      </c>
      <c r="B100" t="str">
        <f>VLOOKUP(A100,Plan1!$A$1:$G$718,2,0)</f>
        <v>VIMTP07000730052</v>
      </c>
      <c r="C100" t="str">
        <f>VLOOKUP(A100,Plan1!$A$1:$G$718,3,0)</f>
        <v>ABERTO</v>
      </c>
      <c r="D100">
        <v>16</v>
      </c>
      <c r="E100" t="str">
        <f>VLOOKUP(A100,Plan1!$A$1:$G$718,5,0)</f>
        <v>DESPESAS MEDICAS, HOSPITALARES</v>
      </c>
      <c r="F100" s="11">
        <v>761.37</v>
      </c>
      <c r="G100" s="11">
        <v>3614.0699999999997</v>
      </c>
      <c r="H100" t="s">
        <v>353</v>
      </c>
      <c r="I100" t="s">
        <v>355</v>
      </c>
    </row>
    <row r="101" spans="1:9" x14ac:dyDescent="0.35">
      <c r="A101">
        <v>239655493</v>
      </c>
      <c r="B101" t="str">
        <f>VLOOKUP(A101,Plan1!$A$1:$G$718,2,0)</f>
        <v>VIMTP12000725965</v>
      </c>
      <c r="C101" t="str">
        <f>VLOOKUP(A101,Plan1!$A$1:$G$718,3,0)</f>
        <v>ABERTO</v>
      </c>
      <c r="D101">
        <v>10</v>
      </c>
      <c r="E101" t="str">
        <f>VLOOKUP(A101,Plan1!$A$1:$G$718,5,0)</f>
        <v>EXTRAVIO DE BAGAGEM</v>
      </c>
      <c r="F101" s="11">
        <v>1500</v>
      </c>
      <c r="G101" s="11">
        <v>1500</v>
      </c>
      <c r="H101" t="s">
        <v>354</v>
      </c>
      <c r="I101" t="s">
        <v>357</v>
      </c>
    </row>
    <row r="102" spans="1:9" x14ac:dyDescent="0.35">
      <c r="A102">
        <v>234185560</v>
      </c>
      <c r="B102" t="str">
        <f>VLOOKUP(A102,Plan1!$A$1:$G$718,2,0)</f>
        <v>VIMTP08000718462</v>
      </c>
      <c r="C102" t="str">
        <f>VLOOKUP(A102,Plan1!$A$1:$G$718,3,0)</f>
        <v>ABERTO</v>
      </c>
      <c r="D102">
        <v>64</v>
      </c>
      <c r="E102" t="str">
        <f>VLOOKUP(A102,Plan1!$A$1:$G$718,5,0)</f>
        <v>DESPESAS MEDICAS, HOSPITALARES</v>
      </c>
      <c r="F102" s="11">
        <v>11527.9</v>
      </c>
      <c r="G102" s="11">
        <v>51869.010000000009</v>
      </c>
      <c r="H102" t="s">
        <v>353</v>
      </c>
      <c r="I102" t="s">
        <v>355</v>
      </c>
    </row>
    <row r="103" spans="1:9" x14ac:dyDescent="0.35">
      <c r="A103">
        <v>234515595</v>
      </c>
      <c r="B103" t="str">
        <f>VLOOKUP(A103,Plan1!$A$1:$G$718,2,0)</f>
        <v>VIAGA54000756365</v>
      </c>
      <c r="C103" t="str">
        <f>VLOOKUP(A103,Plan1!$A$1:$G$718,3,0)</f>
        <v>ABERTO</v>
      </c>
      <c r="D103">
        <v>8</v>
      </c>
      <c r="E103" t="str">
        <f>VLOOKUP(A103,Plan1!$A$1:$G$718,5,0)</f>
        <v>DESPESAS MEDICAS, HOSPITALARES</v>
      </c>
      <c r="F103" s="11">
        <v>66.05</v>
      </c>
      <c r="G103" s="11">
        <v>313.52999999999997</v>
      </c>
      <c r="H103" t="s">
        <v>353</v>
      </c>
      <c r="I103" t="s">
        <v>355</v>
      </c>
    </row>
    <row r="104" spans="1:9" x14ac:dyDescent="0.35">
      <c r="A104">
        <v>240859757</v>
      </c>
      <c r="B104" t="str">
        <f>VLOOKUP(A104,Plan1!$A$1:$G$718,2,0)</f>
        <v>VIMTP19000709023</v>
      </c>
      <c r="C104" t="str">
        <f>VLOOKUP(A104,Plan1!$A$1:$G$718,3,0)</f>
        <v>ABERTO</v>
      </c>
      <c r="D104">
        <v>24</v>
      </c>
      <c r="E104" t="str">
        <f>VLOOKUP(A104,Plan1!$A$1:$G$718,5,0)</f>
        <v>DESPESAS FARMACEUTICAS</v>
      </c>
      <c r="F104" s="11">
        <v>370.35</v>
      </c>
      <c r="G104" s="11">
        <v>370.35</v>
      </c>
      <c r="H104" t="s">
        <v>353</v>
      </c>
      <c r="I104" t="s">
        <v>355</v>
      </c>
    </row>
    <row r="105" spans="1:9" x14ac:dyDescent="0.35">
      <c r="A105">
        <v>234395925</v>
      </c>
      <c r="B105" t="str">
        <f>VLOOKUP(A105,Plan1!$A$1:$G$718,2,0)</f>
        <v>VIMTP08000757056</v>
      </c>
      <c r="C105" t="str">
        <f>VLOOKUP(A105,Plan1!$A$1:$G$718,3,0)</f>
        <v>ABERTO</v>
      </c>
      <c r="D105">
        <v>4</v>
      </c>
      <c r="E105" t="str">
        <f>VLOOKUP(A105,Plan1!$A$1:$G$718,5,0)</f>
        <v>DESPESAS MEDICAS, HOSPITALARES</v>
      </c>
      <c r="F105" s="11">
        <v>375</v>
      </c>
      <c r="G105" s="11">
        <v>1749.07</v>
      </c>
      <c r="H105" t="s">
        <v>353</v>
      </c>
      <c r="I105" t="s">
        <v>355</v>
      </c>
    </row>
    <row r="106" spans="1:9" x14ac:dyDescent="0.35">
      <c r="A106">
        <v>234404472</v>
      </c>
      <c r="B106" t="str">
        <f>VLOOKUP(A106,Plan1!$A$1:$G$718,2,0)</f>
        <v>VIMTP33000753578</v>
      </c>
      <c r="C106" t="str">
        <f>VLOOKUP(A106,Plan1!$A$1:$G$718,3,0)</f>
        <v>ABERTO</v>
      </c>
      <c r="D106">
        <v>8</v>
      </c>
      <c r="E106" t="str">
        <f>VLOOKUP(A106,Plan1!$A$1:$G$718,5,0)</f>
        <v>DESPESAS MEDICAS, HOSPITALARES</v>
      </c>
      <c r="F106" s="11">
        <v>5954.5599999999995</v>
      </c>
      <c r="G106" s="11">
        <v>28935.47</v>
      </c>
      <c r="H106" t="s">
        <v>353</v>
      </c>
      <c r="I106" t="s">
        <v>355</v>
      </c>
    </row>
    <row r="107" spans="1:9" x14ac:dyDescent="0.35">
      <c r="A107">
        <v>234404468</v>
      </c>
      <c r="B107" t="str">
        <f>VLOOKUP(A107,Plan1!$A$1:$G$718,2,0)</f>
        <v>VIAGA54000745774</v>
      </c>
      <c r="C107" t="str">
        <f>VLOOKUP(A107,Plan1!$A$1:$G$718,3,0)</f>
        <v>ABERTO</v>
      </c>
      <c r="D107">
        <v>8</v>
      </c>
      <c r="E107" t="str">
        <f>VLOOKUP(A107,Plan1!$A$1:$G$718,5,0)</f>
        <v>DESPESAS MEDICAS, HOSPITALARES</v>
      </c>
      <c r="F107" s="11">
        <v>113.21000000000001</v>
      </c>
      <c r="G107" s="11">
        <v>537.39</v>
      </c>
      <c r="H107" t="s">
        <v>353</v>
      </c>
      <c r="I107" t="s">
        <v>355</v>
      </c>
    </row>
    <row r="108" spans="1:9" x14ac:dyDescent="0.35">
      <c r="A108">
        <v>234482898</v>
      </c>
      <c r="B108" t="str">
        <f>VLOOKUP(A108,Plan1!$A$1:$G$718,2,0)</f>
        <v>VIMTP08000715005</v>
      </c>
      <c r="C108" t="str">
        <f>VLOOKUP(A108,Plan1!$A$1:$G$718,3,0)</f>
        <v>ABERTO</v>
      </c>
      <c r="D108">
        <v>8</v>
      </c>
      <c r="E108" t="str">
        <f>VLOOKUP(A108,Plan1!$A$1:$G$718,5,0)</f>
        <v>DESPESAS MEDICAS, HOSPITALARES</v>
      </c>
      <c r="F108" s="11">
        <v>2510.66</v>
      </c>
      <c r="G108" s="11">
        <v>11864.32</v>
      </c>
      <c r="H108" t="s">
        <v>353</v>
      </c>
      <c r="I108" t="s">
        <v>355</v>
      </c>
    </row>
    <row r="109" spans="1:9" x14ac:dyDescent="0.35">
      <c r="A109">
        <v>239652395</v>
      </c>
      <c r="B109" t="str">
        <f>VLOOKUP(A109,Plan1!$A$1:$G$718,2,0)</f>
        <v>VIMTP34000759334</v>
      </c>
      <c r="C109" t="str">
        <f>VLOOKUP(A109,Plan1!$A$1:$G$718,3,0)</f>
        <v>ABERTO</v>
      </c>
      <c r="D109">
        <v>10</v>
      </c>
      <c r="E109" t="str">
        <f>VLOOKUP(A109,Plan1!$A$1:$G$718,5,0)</f>
        <v>EXTRAVIO DE BAGAGEM</v>
      </c>
      <c r="F109" s="11">
        <v>5000</v>
      </c>
      <c r="G109" s="11">
        <v>5000</v>
      </c>
      <c r="H109" t="s">
        <v>354</v>
      </c>
      <c r="I109" t="s">
        <v>357</v>
      </c>
    </row>
    <row r="110" spans="1:9" x14ac:dyDescent="0.35">
      <c r="A110">
        <v>234574651</v>
      </c>
      <c r="B110" t="str">
        <f>VLOOKUP(A110,Plan1!$A$1:$G$718,2,0)</f>
        <v>VIIBE01000729981</v>
      </c>
      <c r="C110" t="str">
        <f>VLOOKUP(A110,Plan1!$A$1:$G$718,3,0)</f>
        <v>ABERTO</v>
      </c>
      <c r="D110">
        <v>16</v>
      </c>
      <c r="E110" t="str">
        <f>VLOOKUP(A110,Plan1!$A$1:$G$718,5,0)</f>
        <v>DESPESAS MEDICAS, HOSPITALARES</v>
      </c>
      <c r="F110" s="11">
        <v>1001.1</v>
      </c>
      <c r="G110" s="11">
        <v>5213.8599999999997</v>
      </c>
      <c r="H110" t="s">
        <v>353</v>
      </c>
      <c r="I110" t="s">
        <v>355</v>
      </c>
    </row>
    <row r="111" spans="1:9" x14ac:dyDescent="0.35">
      <c r="A111">
        <v>240915760</v>
      </c>
      <c r="B111" t="str">
        <f>VLOOKUP(A111,Plan1!$A$1:$G$718,2,0)</f>
        <v>VIMTP20000478972</v>
      </c>
      <c r="C111" t="str">
        <f>VLOOKUP(A111,Plan1!$A$1:$G$718,3,0)</f>
        <v>ABERTO</v>
      </c>
      <c r="D111">
        <v>4</v>
      </c>
      <c r="E111" t="str">
        <f>VLOOKUP(A111,Plan1!$A$1:$G$718,5,0)</f>
        <v>DESPESAS MEDICAS, HOSPITALARES</v>
      </c>
      <c r="F111" s="11">
        <v>7466.75</v>
      </c>
      <c r="G111" s="11">
        <v>7466.75</v>
      </c>
      <c r="H111" t="s">
        <v>353</v>
      </c>
      <c r="I111" t="s">
        <v>355</v>
      </c>
    </row>
    <row r="112" spans="1:9" x14ac:dyDescent="0.35">
      <c r="A112">
        <v>240915815</v>
      </c>
      <c r="B112" t="str">
        <f>VLOOKUP(A112,Plan1!$A$1:$G$718,2,0)</f>
        <v>VIMTP20000478972</v>
      </c>
      <c r="C112" t="str">
        <f>VLOOKUP(A112,Plan1!$A$1:$G$718,3,0)</f>
        <v>ABERTO</v>
      </c>
      <c r="D112">
        <v>24</v>
      </c>
      <c r="E112" t="str">
        <f>VLOOKUP(A112,Plan1!$A$1:$G$718,5,0)</f>
        <v>DESPESAS FARMACEUTICAS</v>
      </c>
      <c r="F112" s="11">
        <v>349.84</v>
      </c>
      <c r="G112" s="11">
        <v>349.84</v>
      </c>
      <c r="H112" t="s">
        <v>353</v>
      </c>
      <c r="I112" t="s">
        <v>355</v>
      </c>
    </row>
    <row r="113" spans="1:9" x14ac:dyDescent="0.35">
      <c r="A113">
        <v>234658273</v>
      </c>
      <c r="B113" t="str">
        <f>VLOOKUP(A113,Plan1!$A$1:$G$718,2,0)</f>
        <v>VIMTP08000758370</v>
      </c>
      <c r="C113" t="str">
        <f>VLOOKUP(A113,Plan1!$A$1:$G$718,3,0)</f>
        <v>ABERTO</v>
      </c>
      <c r="D113">
        <v>8</v>
      </c>
      <c r="E113" t="str">
        <f>VLOOKUP(A113,Plan1!$A$1:$G$718,5,0)</f>
        <v>DESPESAS MEDICAS, HOSPITALARES</v>
      </c>
      <c r="F113" s="11">
        <v>1360.1100000000001</v>
      </c>
      <c r="G113" s="11">
        <v>6435.1</v>
      </c>
      <c r="H113" t="s">
        <v>353</v>
      </c>
      <c r="I113" t="s">
        <v>355</v>
      </c>
    </row>
    <row r="114" spans="1:9" x14ac:dyDescent="0.35">
      <c r="A114">
        <v>234771880</v>
      </c>
      <c r="B114" t="str">
        <f>VLOOKUP(A114,Plan1!$A$1:$G$718,2,0)</f>
        <v>VIMTP19000761670</v>
      </c>
      <c r="C114" t="str">
        <f>VLOOKUP(A114,Plan1!$A$1:$G$718,3,0)</f>
        <v>ABERTO</v>
      </c>
      <c r="D114">
        <v>4</v>
      </c>
      <c r="E114" t="str">
        <f>VLOOKUP(A114,Plan1!$A$1:$G$718,5,0)</f>
        <v>DESPESAS MEDICAS, HOSPITALARES</v>
      </c>
      <c r="F114" s="11">
        <v>4103</v>
      </c>
      <c r="G114" s="11">
        <v>21884.41</v>
      </c>
      <c r="H114" t="s">
        <v>353</v>
      </c>
      <c r="I114" t="s">
        <v>355</v>
      </c>
    </row>
    <row r="115" spans="1:9" x14ac:dyDescent="0.35">
      <c r="A115">
        <v>234728148</v>
      </c>
      <c r="B115" t="str">
        <f>VLOOKUP(A115,Plan1!$A$1:$G$718,2,0)</f>
        <v>VIMTP08000758698</v>
      </c>
      <c r="C115" t="str">
        <f>VLOOKUP(A115,Plan1!$A$1:$G$718,3,0)</f>
        <v>ABERTO</v>
      </c>
      <c r="D115">
        <v>16</v>
      </c>
      <c r="E115" t="str">
        <f>VLOOKUP(A115,Plan1!$A$1:$G$718,5,0)</f>
        <v>DESPESAS MEDICAS, HOSPITALARES</v>
      </c>
      <c r="F115" s="11">
        <v>2879.69</v>
      </c>
      <c r="G115" s="11">
        <v>13914.71</v>
      </c>
      <c r="H115" t="s">
        <v>353</v>
      </c>
      <c r="I115" t="s">
        <v>355</v>
      </c>
    </row>
    <row r="116" spans="1:9" x14ac:dyDescent="0.35">
      <c r="A116">
        <v>234759736</v>
      </c>
      <c r="B116" t="str">
        <f>VLOOKUP(A116,Plan1!$A$1:$G$718,2,0)</f>
        <v>VIMTP33000760991</v>
      </c>
      <c r="C116" t="str">
        <f>VLOOKUP(A116,Plan1!$A$1:$G$718,3,0)</f>
        <v>ABERTO</v>
      </c>
      <c r="D116">
        <v>16</v>
      </c>
      <c r="E116" t="str">
        <f>VLOOKUP(A116,Plan1!$A$1:$G$718,5,0)</f>
        <v>DESPESAS MEDICAS, HOSPITALARES</v>
      </c>
      <c r="F116" s="11">
        <v>2502.09</v>
      </c>
      <c r="G116" s="11">
        <v>11876.88</v>
      </c>
      <c r="H116" t="s">
        <v>353</v>
      </c>
      <c r="I116" t="s">
        <v>355</v>
      </c>
    </row>
    <row r="117" spans="1:9" x14ac:dyDescent="0.35">
      <c r="A117">
        <v>234759624</v>
      </c>
      <c r="B117" t="str">
        <f>VLOOKUP(A117,Plan1!$A$1:$G$718,2,0)</f>
        <v>VIMTP07000592300</v>
      </c>
      <c r="C117" t="str">
        <f>VLOOKUP(A117,Plan1!$A$1:$G$718,3,0)</f>
        <v>ABERTO</v>
      </c>
      <c r="D117">
        <v>16</v>
      </c>
      <c r="E117" t="str">
        <f>VLOOKUP(A117,Plan1!$A$1:$G$718,5,0)</f>
        <v>DESPESAS MEDICAS, HOSPITALARES</v>
      </c>
      <c r="F117" s="11">
        <v>2775.79</v>
      </c>
      <c r="G117" s="11">
        <v>13469.2</v>
      </c>
      <c r="H117" t="s">
        <v>353</v>
      </c>
      <c r="I117" t="s">
        <v>355</v>
      </c>
    </row>
    <row r="118" spans="1:9" x14ac:dyDescent="0.35">
      <c r="A118">
        <v>234880271</v>
      </c>
      <c r="B118" t="str">
        <f>VLOOKUP(A118,Plan1!$A$1:$G$718,2,0)</f>
        <v>VIMTP08000771404</v>
      </c>
      <c r="C118" t="str">
        <f>VLOOKUP(A118,Plan1!$A$1:$G$718,3,0)</f>
        <v>ABERTO</v>
      </c>
      <c r="D118">
        <v>4</v>
      </c>
      <c r="E118" t="str">
        <f>VLOOKUP(A118,Plan1!$A$1:$G$718,5,0)</f>
        <v>DESPESAS MEDICAS, HOSPITALARES</v>
      </c>
      <c r="F118" s="11">
        <v>839.23</v>
      </c>
      <c r="G118" s="11">
        <v>4367.53</v>
      </c>
      <c r="H118" t="s">
        <v>353</v>
      </c>
      <c r="I118" t="s">
        <v>355</v>
      </c>
    </row>
    <row r="119" spans="1:9" x14ac:dyDescent="0.35">
      <c r="A119">
        <v>239652245</v>
      </c>
      <c r="B119" t="str">
        <f>VLOOKUP(A119,Plan1!$A$1:$G$718,2,0)</f>
        <v>VIAGA15000774685</v>
      </c>
      <c r="C119" t="str">
        <f>VLOOKUP(A119,Plan1!$A$1:$G$718,3,0)</f>
        <v>ABERTO</v>
      </c>
      <c r="D119">
        <v>10</v>
      </c>
      <c r="E119" t="str">
        <f>VLOOKUP(A119,Plan1!$A$1:$G$718,5,0)</f>
        <v>EXTRAVIO DE BAGAGEM</v>
      </c>
      <c r="F119" s="11">
        <v>5000</v>
      </c>
      <c r="G119" s="11">
        <v>5000</v>
      </c>
      <c r="H119" t="s">
        <v>354</v>
      </c>
      <c r="I119" t="s">
        <v>357</v>
      </c>
    </row>
    <row r="120" spans="1:9" x14ac:dyDescent="0.35">
      <c r="A120">
        <v>239652207</v>
      </c>
      <c r="B120" t="str">
        <f>VLOOKUP(A120,Plan1!$A$1:$G$718,2,0)</f>
        <v>VIAGA52000745148</v>
      </c>
      <c r="C120" t="str">
        <f>VLOOKUP(A120,Plan1!$A$1:$G$718,3,0)</f>
        <v>ABERTO</v>
      </c>
      <c r="D120">
        <v>24</v>
      </c>
      <c r="E120" t="str">
        <f>VLOOKUP(A120,Plan1!$A$1:$G$718,5,0)</f>
        <v>DESPESAS MEDICAS, HOSPITALARES</v>
      </c>
      <c r="F120" s="11">
        <v>7841</v>
      </c>
      <c r="G120" s="11">
        <v>34983.42</v>
      </c>
      <c r="H120" t="s">
        <v>353</v>
      </c>
      <c r="I120" t="s">
        <v>355</v>
      </c>
    </row>
    <row r="121" spans="1:9" x14ac:dyDescent="0.35">
      <c r="A121">
        <v>235073800</v>
      </c>
      <c r="B121" t="str">
        <f>VLOOKUP(A121,Plan1!$A$1:$G$718,2,0)</f>
        <v>VIAGA54000775312</v>
      </c>
      <c r="C121" t="str">
        <f>VLOOKUP(A121,Plan1!$A$1:$G$718,3,0)</f>
        <v>ABERTO</v>
      </c>
      <c r="D121">
        <v>12</v>
      </c>
      <c r="E121" t="str">
        <f>VLOOKUP(A121,Plan1!$A$1:$G$718,5,0)</f>
        <v>DESPESAS MEDICAS, HOSPITALARES</v>
      </c>
      <c r="F121" s="11">
        <v>9906.93</v>
      </c>
      <c r="G121" s="11">
        <v>46872.610000000008</v>
      </c>
      <c r="H121" t="s">
        <v>353</v>
      </c>
      <c r="I121" t="s">
        <v>355</v>
      </c>
    </row>
    <row r="122" spans="1:9" x14ac:dyDescent="0.35">
      <c r="A122">
        <v>235100622</v>
      </c>
      <c r="B122" t="str">
        <f>VLOOKUP(A122,Plan1!$A$1:$G$718,2,0)</f>
        <v>VIMTP12000779269</v>
      </c>
      <c r="C122" t="str">
        <f>VLOOKUP(A122,Plan1!$A$1:$G$718,3,0)</f>
        <v>ABERTO</v>
      </c>
      <c r="D122">
        <v>4</v>
      </c>
      <c r="E122" t="str">
        <f>VLOOKUP(A122,Plan1!$A$1:$G$718,5,0)</f>
        <v>DESPESAS MEDICAS, HOSPITALARES</v>
      </c>
      <c r="F122" s="11">
        <v>2886.22</v>
      </c>
      <c r="G122" s="11">
        <v>14775.22</v>
      </c>
      <c r="H122" t="s">
        <v>353</v>
      </c>
      <c r="I122" t="s">
        <v>355</v>
      </c>
    </row>
    <row r="123" spans="1:9" x14ac:dyDescent="0.35">
      <c r="A123">
        <v>240834210</v>
      </c>
      <c r="B123" t="str">
        <f>VLOOKUP(A123,Plan1!$A$1:$G$718,2,0)</f>
        <v>VIMTP19000569308</v>
      </c>
      <c r="C123" t="str">
        <f>VLOOKUP(A123,Plan1!$A$1:$G$718,3,0)</f>
        <v>ABERTO</v>
      </c>
      <c r="D123">
        <v>15</v>
      </c>
      <c r="E123" t="str">
        <f>VLOOKUP(A123,Plan1!$A$1:$G$718,5,0)</f>
        <v>CANCELAMENTO, INTERRUPÇÃO  E EXTENSÃO DE VIAGEM</v>
      </c>
      <c r="F123" s="11">
        <v>3000</v>
      </c>
      <c r="G123" s="11">
        <v>3000</v>
      </c>
      <c r="H123" t="s">
        <v>353</v>
      </c>
      <c r="I123" t="s">
        <v>355</v>
      </c>
    </row>
    <row r="124" spans="1:9" x14ac:dyDescent="0.35">
      <c r="A124">
        <v>235128435</v>
      </c>
      <c r="B124" t="str">
        <f>VLOOKUP(A124,Plan1!$A$1:$G$718,2,0)</f>
        <v>VIAGA60000759918</v>
      </c>
      <c r="C124" t="str">
        <f>VLOOKUP(A124,Plan1!$A$1:$G$718,3,0)</f>
        <v>ABERTO</v>
      </c>
      <c r="D124">
        <v>8</v>
      </c>
      <c r="E124" t="str">
        <f>VLOOKUP(A124,Plan1!$A$1:$G$718,5,0)</f>
        <v>DESPESAS MEDICAS, HOSPITALARES</v>
      </c>
      <c r="F124" s="11">
        <v>1388.8</v>
      </c>
      <c r="G124" s="11">
        <v>7113.06</v>
      </c>
      <c r="H124" t="s">
        <v>353</v>
      </c>
      <c r="I124" t="s">
        <v>355</v>
      </c>
    </row>
    <row r="125" spans="1:9" x14ac:dyDescent="0.35">
      <c r="A125">
        <v>235130423</v>
      </c>
      <c r="B125" t="str">
        <f>VLOOKUP(A125,Plan1!$A$1:$G$718,2,0)</f>
        <v>VIAGA54000743138</v>
      </c>
      <c r="C125" t="str">
        <f>VLOOKUP(A125,Plan1!$A$1:$G$718,3,0)</f>
        <v>ABERTO</v>
      </c>
      <c r="D125">
        <v>112</v>
      </c>
      <c r="E125" t="str">
        <f>VLOOKUP(A125,Plan1!$A$1:$G$718,5,0)</f>
        <v>DESPESAS MEDICAS, HOSPITALARES</v>
      </c>
      <c r="F125" s="11">
        <v>2145.56</v>
      </c>
      <c r="G125" s="11">
        <v>10208.34</v>
      </c>
      <c r="H125" t="s">
        <v>353</v>
      </c>
      <c r="I125" t="s">
        <v>355</v>
      </c>
    </row>
    <row r="126" spans="1:9" x14ac:dyDescent="0.35">
      <c r="A126">
        <v>235130457</v>
      </c>
      <c r="B126" t="str">
        <f>VLOOKUP(A126,Plan1!$A$1:$G$718,2,0)</f>
        <v>VIAGA54000697866</v>
      </c>
      <c r="C126" t="str">
        <f>VLOOKUP(A126,Plan1!$A$1:$G$718,3,0)</f>
        <v>ABERTO</v>
      </c>
      <c r="D126">
        <v>8</v>
      </c>
      <c r="E126" t="str">
        <f>VLOOKUP(A126,Plan1!$A$1:$G$718,5,0)</f>
        <v>DESPESAS MEDICAS, HOSPITALARES</v>
      </c>
      <c r="F126" s="11">
        <v>1042.1400000000001</v>
      </c>
      <c r="G126" s="11">
        <v>4946.82</v>
      </c>
      <c r="H126" t="s">
        <v>353</v>
      </c>
      <c r="I126" t="s">
        <v>355</v>
      </c>
    </row>
    <row r="127" spans="1:9" x14ac:dyDescent="0.35">
      <c r="A127">
        <v>235160486</v>
      </c>
      <c r="B127" t="str">
        <f>VLOOKUP(A127,Plan1!$A$1:$G$718,2,0)</f>
        <v>VIMTP07000570675</v>
      </c>
      <c r="C127" t="str">
        <f>VLOOKUP(A127,Plan1!$A$1:$G$718,3,0)</f>
        <v>ABERTO</v>
      </c>
      <c r="D127">
        <v>8</v>
      </c>
      <c r="E127" t="str">
        <f>VLOOKUP(A127,Plan1!$A$1:$G$718,5,0)</f>
        <v>DESPESAS MEDICAS, HOSPITALARES</v>
      </c>
      <c r="F127" s="11">
        <v>2271.16</v>
      </c>
      <c r="G127" s="11">
        <v>10941.05</v>
      </c>
      <c r="H127" t="s">
        <v>353</v>
      </c>
      <c r="I127" t="s">
        <v>355</v>
      </c>
    </row>
    <row r="128" spans="1:9" x14ac:dyDescent="0.35">
      <c r="A128">
        <v>235160433</v>
      </c>
      <c r="B128" t="str">
        <f>VLOOKUP(A128,Plan1!$A$1:$G$718,2,0)</f>
        <v>VIMTP33000769071</v>
      </c>
      <c r="C128" t="str">
        <f>VLOOKUP(A128,Plan1!$A$1:$G$718,3,0)</f>
        <v>ABERTO</v>
      </c>
      <c r="D128">
        <v>8</v>
      </c>
      <c r="E128" t="str">
        <f>VLOOKUP(A128,Plan1!$A$1:$G$718,5,0)</f>
        <v>DESPESAS MEDICAS, HOSPITALARES</v>
      </c>
      <c r="F128" s="11">
        <v>1625.41</v>
      </c>
      <c r="G128" s="11">
        <v>7417.43</v>
      </c>
      <c r="H128" t="s">
        <v>353</v>
      </c>
      <c r="I128" t="s">
        <v>355</v>
      </c>
    </row>
    <row r="129" spans="1:9" x14ac:dyDescent="0.35">
      <c r="A129">
        <v>240032463</v>
      </c>
      <c r="B129" t="str">
        <f>VLOOKUP(A129,Plan1!$A$1:$G$718,2,0)</f>
        <v>VIIBE01000755563</v>
      </c>
      <c r="C129" t="str">
        <f>VLOOKUP(A129,Plan1!$A$1:$G$718,3,0)</f>
        <v>ABERTO</v>
      </c>
      <c r="D129">
        <v>4</v>
      </c>
      <c r="E129" t="str">
        <f>VLOOKUP(A129,Plan1!$A$1:$G$718,5,0)</f>
        <v>DESPESAS MEDICAS, HOSPITALARES</v>
      </c>
      <c r="F129" s="11">
        <v>27301.77</v>
      </c>
      <c r="G129" s="11">
        <v>27301.77</v>
      </c>
      <c r="H129" t="s">
        <v>353</v>
      </c>
      <c r="I129" t="s">
        <v>355</v>
      </c>
    </row>
    <row r="130" spans="1:9" x14ac:dyDescent="0.35">
      <c r="A130">
        <v>235237132</v>
      </c>
      <c r="B130" t="str">
        <f>VLOOKUP(A130,Plan1!$A$1:$G$718,2,0)</f>
        <v>VIMTP11000782163</v>
      </c>
      <c r="C130" t="str">
        <f>VLOOKUP(A130,Plan1!$A$1:$G$718,3,0)</f>
        <v>ABERTO</v>
      </c>
      <c r="D130">
        <v>8</v>
      </c>
      <c r="E130" t="str">
        <f>VLOOKUP(A130,Plan1!$A$1:$G$718,5,0)</f>
        <v>DESPESAS MEDICAS, HOSPITALARES</v>
      </c>
      <c r="F130" s="11">
        <v>1457.72</v>
      </c>
      <c r="G130" s="11">
        <v>7464.4000000000005</v>
      </c>
      <c r="H130" t="s">
        <v>353</v>
      </c>
      <c r="I130" t="s">
        <v>355</v>
      </c>
    </row>
    <row r="131" spans="1:9" x14ac:dyDescent="0.35">
      <c r="A131">
        <v>235270168</v>
      </c>
      <c r="B131" t="str">
        <f>VLOOKUP(A131,Plan1!$A$1:$G$718,2,0)</f>
        <v>VIMTP34000763182</v>
      </c>
      <c r="C131" t="str">
        <f>VLOOKUP(A131,Plan1!$A$1:$G$718,3,0)</f>
        <v>ABERTO</v>
      </c>
      <c r="D131">
        <v>12</v>
      </c>
      <c r="E131" t="str">
        <f>VLOOKUP(A131,Plan1!$A$1:$G$718,5,0)</f>
        <v>DESPESAS MEDICAS, HOSPITALARES</v>
      </c>
      <c r="F131" s="11">
        <v>2148.6999999999998</v>
      </c>
      <c r="G131" s="11">
        <v>11379.67</v>
      </c>
      <c r="H131" t="s">
        <v>353</v>
      </c>
      <c r="I131" t="s">
        <v>355</v>
      </c>
    </row>
    <row r="132" spans="1:9" x14ac:dyDescent="0.35">
      <c r="A132">
        <v>235305808</v>
      </c>
      <c r="B132" t="str">
        <f>VLOOKUP(A132,Plan1!$A$1:$G$718,2,0)</f>
        <v>VIMTP33000777156</v>
      </c>
      <c r="C132" t="str">
        <f>VLOOKUP(A132,Plan1!$A$1:$G$718,3,0)</f>
        <v>ABERTO</v>
      </c>
      <c r="D132">
        <v>6</v>
      </c>
      <c r="E132" t="str">
        <f>VLOOKUP(A132,Plan1!$A$1:$G$718,5,0)</f>
        <v>DESPESAS ODONTOLOGICAS</v>
      </c>
      <c r="F132" s="11">
        <v>352</v>
      </c>
      <c r="G132" s="11">
        <v>1608.41</v>
      </c>
      <c r="H132" t="s">
        <v>353</v>
      </c>
      <c r="I132" t="s">
        <v>355</v>
      </c>
    </row>
    <row r="133" spans="1:9" x14ac:dyDescent="0.35">
      <c r="A133">
        <v>236144366</v>
      </c>
      <c r="B133" t="str">
        <f>VLOOKUP(A133,Plan1!$A$1:$G$718,2,0)</f>
        <v>VIAGA60000778958</v>
      </c>
      <c r="C133" t="str">
        <f>VLOOKUP(A133,Plan1!$A$1:$G$718,3,0)</f>
        <v>ABERTO</v>
      </c>
      <c r="D133">
        <v>4</v>
      </c>
      <c r="E133" t="str">
        <f>VLOOKUP(A133,Plan1!$A$1:$G$718,5,0)</f>
        <v>DESPESAS MEDICAS, HOSPITALARES</v>
      </c>
      <c r="F133" s="11">
        <v>1481.35</v>
      </c>
      <c r="G133" s="11">
        <v>7955.41</v>
      </c>
      <c r="H133" t="s">
        <v>353</v>
      </c>
      <c r="I133" t="s">
        <v>355</v>
      </c>
    </row>
    <row r="134" spans="1:9" x14ac:dyDescent="0.35">
      <c r="A134">
        <v>235449435</v>
      </c>
      <c r="B134" t="str">
        <f>VLOOKUP(A134,Plan1!$A$1:$G$718,2,0)</f>
        <v>VIMTP19000737063</v>
      </c>
      <c r="C134" t="str">
        <f>VLOOKUP(A134,Plan1!$A$1:$G$718,3,0)</f>
        <v>ABERTO</v>
      </c>
      <c r="D134">
        <v>4</v>
      </c>
      <c r="E134" t="str">
        <f>VLOOKUP(A134,Plan1!$A$1:$G$718,5,0)</f>
        <v>DESPESAS MEDICAS, HOSPITALARES</v>
      </c>
      <c r="F134" s="11">
        <v>139.47</v>
      </c>
      <c r="G134" s="11">
        <v>139.47</v>
      </c>
      <c r="H134" t="s">
        <v>353</v>
      </c>
      <c r="I134" t="s">
        <v>355</v>
      </c>
    </row>
    <row r="135" spans="1:9" x14ac:dyDescent="0.35">
      <c r="A135">
        <v>239657258</v>
      </c>
      <c r="B135" t="str">
        <f>VLOOKUP(A135,Plan1!$A$1:$G$718,2,0)</f>
        <v>VIMTP19000737063</v>
      </c>
      <c r="C135" t="str">
        <f>VLOOKUP(A135,Plan1!$A$1:$G$718,3,0)</f>
        <v>ABERTO</v>
      </c>
      <c r="D135">
        <v>24</v>
      </c>
      <c r="E135" t="str">
        <f>VLOOKUP(A135,Plan1!$A$1:$G$718,5,0)</f>
        <v>DESPESAS FARMACEUTICAS</v>
      </c>
      <c r="F135" s="11">
        <v>545.28</v>
      </c>
      <c r="G135" s="11">
        <v>545.28</v>
      </c>
      <c r="H135" t="s">
        <v>353</v>
      </c>
      <c r="I135" t="s">
        <v>355</v>
      </c>
    </row>
    <row r="136" spans="1:9" x14ac:dyDescent="0.35">
      <c r="A136">
        <v>236034515</v>
      </c>
      <c r="B136" t="str">
        <f>VLOOKUP(A136,Plan1!$A$1:$G$718,2,0)</f>
        <v>VIMTP07000727376</v>
      </c>
      <c r="C136" t="str">
        <f>VLOOKUP(A136,Plan1!$A$1:$G$718,3,0)</f>
        <v>ABERTO</v>
      </c>
      <c r="D136">
        <v>8</v>
      </c>
      <c r="E136" t="str">
        <f>VLOOKUP(A136,Plan1!$A$1:$G$718,5,0)</f>
        <v>DESPESAS MEDICAS, HOSPITALARES</v>
      </c>
      <c r="F136" s="11">
        <v>7469.32</v>
      </c>
      <c r="G136" s="11">
        <v>36296.269999999997</v>
      </c>
      <c r="H136" t="s">
        <v>353</v>
      </c>
      <c r="I136" t="s">
        <v>355</v>
      </c>
    </row>
    <row r="137" spans="1:9" x14ac:dyDescent="0.35">
      <c r="A137">
        <v>235475738</v>
      </c>
      <c r="B137" t="str">
        <f>VLOOKUP(A137,Plan1!$A$1:$G$718,2,0)</f>
        <v>VIMTP33000785562</v>
      </c>
      <c r="C137" t="str">
        <f>VLOOKUP(A137,Plan1!$A$1:$G$718,3,0)</f>
        <v>ABERTO</v>
      </c>
      <c r="D137">
        <v>8</v>
      </c>
      <c r="E137" t="str">
        <f>VLOOKUP(A137,Plan1!$A$1:$G$718,5,0)</f>
        <v>DESPESAS MEDICAS, HOSPITALARES</v>
      </c>
      <c r="F137" s="11">
        <v>40.69</v>
      </c>
      <c r="G137" s="11">
        <v>196.45</v>
      </c>
      <c r="H137" t="s">
        <v>353</v>
      </c>
      <c r="I137" t="s">
        <v>355</v>
      </c>
    </row>
    <row r="138" spans="1:9" x14ac:dyDescent="0.35">
      <c r="A138">
        <v>235475651</v>
      </c>
      <c r="B138" t="str">
        <f>VLOOKUP(A138,Plan1!$A$1:$G$718,2,0)</f>
        <v>VIMTP19000727520</v>
      </c>
      <c r="C138" t="str">
        <f>VLOOKUP(A138,Plan1!$A$1:$G$718,3,0)</f>
        <v>ABERTO</v>
      </c>
      <c r="D138">
        <v>8</v>
      </c>
      <c r="E138" t="str">
        <f>VLOOKUP(A138,Plan1!$A$1:$G$718,5,0)</f>
        <v>DESPESAS MEDICAS, HOSPITALARES</v>
      </c>
      <c r="F138" s="11">
        <v>629.92999999999995</v>
      </c>
      <c r="G138" s="11">
        <v>3278.27</v>
      </c>
      <c r="H138" t="s">
        <v>353</v>
      </c>
      <c r="I138" t="s">
        <v>355</v>
      </c>
    </row>
    <row r="139" spans="1:9" x14ac:dyDescent="0.35">
      <c r="A139">
        <v>235485461</v>
      </c>
      <c r="B139" t="str">
        <f>VLOOKUP(A139,Plan1!$A$1:$G$718,2,0)</f>
        <v>VIMTP19000774274</v>
      </c>
      <c r="C139" t="str">
        <f>VLOOKUP(A139,Plan1!$A$1:$G$718,3,0)</f>
        <v>ABERTO</v>
      </c>
      <c r="D139">
        <v>8</v>
      </c>
      <c r="E139" t="str">
        <f>VLOOKUP(A139,Plan1!$A$1:$G$718,5,0)</f>
        <v>DESPESAS MEDICAS, HOSPITALARES</v>
      </c>
      <c r="F139" s="11">
        <v>3195.4</v>
      </c>
      <c r="G139" s="11">
        <v>19486.36</v>
      </c>
      <c r="H139" t="s">
        <v>353</v>
      </c>
      <c r="I139" t="s">
        <v>355</v>
      </c>
    </row>
    <row r="140" spans="1:9" x14ac:dyDescent="0.35">
      <c r="A140">
        <v>239649006</v>
      </c>
      <c r="B140" t="str">
        <f>VLOOKUP(A140,Plan1!$A$1:$G$718,2,0)</f>
        <v>VIMTP08000750528</v>
      </c>
      <c r="C140" t="str">
        <f>VLOOKUP(A140,Plan1!$A$1:$G$718,3,0)</f>
        <v>ABERTO</v>
      </c>
      <c r="D140">
        <v>8</v>
      </c>
      <c r="E140" t="str">
        <f>VLOOKUP(A140,Plan1!$A$1:$G$718,5,0)</f>
        <v>DESPESAS MEDICAS, HOSPITALARES</v>
      </c>
      <c r="F140" s="11">
        <v>3547.23</v>
      </c>
      <c r="G140" s="11">
        <v>17176.36</v>
      </c>
      <c r="H140" t="s">
        <v>353</v>
      </c>
      <c r="I140" t="s">
        <v>355</v>
      </c>
    </row>
    <row r="141" spans="1:9" x14ac:dyDescent="0.35">
      <c r="A141">
        <v>235615684</v>
      </c>
      <c r="B141" t="str">
        <f>VLOOKUP(A141,Plan1!$A$1:$G$718,2,0)</f>
        <v>VIMTP19000794839</v>
      </c>
      <c r="C141" t="str">
        <f>VLOOKUP(A141,Plan1!$A$1:$G$718,3,0)</f>
        <v>ABERTO</v>
      </c>
      <c r="D141">
        <v>8</v>
      </c>
      <c r="E141" t="str">
        <f>VLOOKUP(A141,Plan1!$A$1:$G$718,5,0)</f>
        <v>DESPESAS MEDICAS, HOSPITALARES</v>
      </c>
      <c r="F141" s="11">
        <v>151.25</v>
      </c>
      <c r="G141" s="11">
        <v>801.04</v>
      </c>
      <c r="H141" t="s">
        <v>353</v>
      </c>
      <c r="I141" t="s">
        <v>355</v>
      </c>
    </row>
    <row r="142" spans="1:9" x14ac:dyDescent="0.35">
      <c r="A142">
        <v>235615612</v>
      </c>
      <c r="B142" t="str">
        <f>VLOOKUP(A142,Plan1!$A$1:$G$718,2,0)</f>
        <v>VIMTP33000576124</v>
      </c>
      <c r="C142" t="str">
        <f>VLOOKUP(A142,Plan1!$A$1:$G$718,3,0)</f>
        <v>ABERTO</v>
      </c>
      <c r="D142">
        <v>72</v>
      </c>
      <c r="E142" t="str">
        <f>VLOOKUP(A142,Plan1!$A$1:$G$718,5,0)</f>
        <v>DESPESAS MEDICAS, HOSPITALARES</v>
      </c>
      <c r="F142" s="11">
        <v>9994.0399999999991</v>
      </c>
      <c r="G142" s="11">
        <v>45803.950000000004</v>
      </c>
      <c r="H142" t="s">
        <v>353</v>
      </c>
      <c r="I142" t="s">
        <v>355</v>
      </c>
    </row>
    <row r="143" spans="1:9" x14ac:dyDescent="0.35">
      <c r="A143">
        <v>235691460</v>
      </c>
      <c r="B143" t="str">
        <f>VLOOKUP(A143,Plan1!$A$1:$G$718,2,0)</f>
        <v>VIAGA68000610800</v>
      </c>
      <c r="C143" t="str">
        <f>VLOOKUP(A143,Plan1!$A$1:$G$718,3,0)</f>
        <v>ABERTO</v>
      </c>
      <c r="D143">
        <v>8</v>
      </c>
      <c r="E143" t="str">
        <f>VLOOKUP(A143,Plan1!$A$1:$G$718,5,0)</f>
        <v>DESPESAS MEDICAS, HOSPITALARES</v>
      </c>
      <c r="F143" s="11">
        <v>995.5</v>
      </c>
      <c r="G143" s="11">
        <v>5316.73</v>
      </c>
      <c r="H143" t="s">
        <v>353</v>
      </c>
      <c r="I143" t="s">
        <v>355</v>
      </c>
    </row>
    <row r="144" spans="1:9" x14ac:dyDescent="0.35">
      <c r="A144">
        <v>235648277</v>
      </c>
      <c r="B144" t="str">
        <f>VLOOKUP(A144,Plan1!$A$1:$G$718,2,0)</f>
        <v>VIMTP08000789212</v>
      </c>
      <c r="C144" t="str">
        <f>VLOOKUP(A144,Plan1!$A$1:$G$718,3,0)</f>
        <v>ABERTO</v>
      </c>
      <c r="D144">
        <v>24</v>
      </c>
      <c r="E144" t="str">
        <f>VLOOKUP(A144,Plan1!$A$1:$G$718,5,0)</f>
        <v>DESPESAS MEDICAS, HOSPITALARES</v>
      </c>
      <c r="F144" s="11">
        <v>1832.97</v>
      </c>
      <c r="G144" s="11">
        <v>8661.8599999999988</v>
      </c>
      <c r="H144" t="s">
        <v>353</v>
      </c>
      <c r="I144" t="s">
        <v>355</v>
      </c>
    </row>
    <row r="145" spans="1:9" x14ac:dyDescent="0.35">
      <c r="A145">
        <v>235823623</v>
      </c>
      <c r="B145" t="str">
        <f>VLOOKUP(A145,Plan1!$A$1:$G$718,2,0)</f>
        <v>VIMTP11000796996</v>
      </c>
      <c r="C145" t="str">
        <f>VLOOKUP(A145,Plan1!$A$1:$G$718,3,0)</f>
        <v>ABERTO</v>
      </c>
      <c r="D145">
        <v>8</v>
      </c>
      <c r="E145" t="str">
        <f>VLOOKUP(A145,Plan1!$A$1:$G$718,5,0)</f>
        <v>DESPESAS MEDICAS, HOSPITALARES</v>
      </c>
      <c r="F145" s="11">
        <v>1612.35</v>
      </c>
      <c r="G145" s="11">
        <v>8396.65</v>
      </c>
      <c r="H145" t="s">
        <v>353</v>
      </c>
      <c r="I145" t="s">
        <v>355</v>
      </c>
    </row>
    <row r="146" spans="1:9" x14ac:dyDescent="0.35">
      <c r="A146">
        <v>235823661</v>
      </c>
      <c r="B146" t="str">
        <f>VLOOKUP(A146,Plan1!$A$1:$G$718,2,0)</f>
        <v>VIMTP08000766602</v>
      </c>
      <c r="C146" t="str">
        <f>VLOOKUP(A146,Plan1!$A$1:$G$718,3,0)</f>
        <v>ABERTO</v>
      </c>
      <c r="D146">
        <v>8</v>
      </c>
      <c r="E146" t="str">
        <f>VLOOKUP(A146,Plan1!$A$1:$G$718,5,0)</f>
        <v>DESPESAS MEDICAS, HOSPITALARES</v>
      </c>
      <c r="F146" s="11">
        <v>2350</v>
      </c>
      <c r="G146" s="11">
        <v>11154.95</v>
      </c>
      <c r="H146" t="s">
        <v>353</v>
      </c>
      <c r="I146" t="s">
        <v>355</v>
      </c>
    </row>
    <row r="147" spans="1:9" x14ac:dyDescent="0.35">
      <c r="A147">
        <v>235823676</v>
      </c>
      <c r="B147" t="str">
        <f>VLOOKUP(A147,Plan1!$A$1:$G$718,2,0)</f>
        <v>VIMTP08000798203</v>
      </c>
      <c r="C147" t="str">
        <f>VLOOKUP(A147,Plan1!$A$1:$G$718,3,0)</f>
        <v>ABERTO</v>
      </c>
      <c r="D147">
        <v>24</v>
      </c>
      <c r="E147" t="str">
        <f>VLOOKUP(A147,Plan1!$A$1:$G$718,5,0)</f>
        <v>DESPESAS MEDICAS, HOSPITALARES</v>
      </c>
      <c r="F147" s="11">
        <v>12184.250000000002</v>
      </c>
      <c r="G147" s="11">
        <v>54428.080000000009</v>
      </c>
      <c r="H147" t="s">
        <v>353</v>
      </c>
      <c r="I147" t="s">
        <v>355</v>
      </c>
    </row>
    <row r="148" spans="1:9" x14ac:dyDescent="0.35">
      <c r="A148">
        <v>235832577</v>
      </c>
      <c r="B148" t="str">
        <f>VLOOKUP(A148,Plan1!$A$1:$G$718,2,0)</f>
        <v>VIMTP33000794912</v>
      </c>
      <c r="C148" t="str">
        <f>VLOOKUP(A148,Plan1!$A$1:$G$718,3,0)</f>
        <v>ABERTO</v>
      </c>
      <c r="D148">
        <v>6</v>
      </c>
      <c r="E148" t="str">
        <f>VLOOKUP(A148,Plan1!$A$1:$G$718,5,0)</f>
        <v>DESPESAS ODONTOLOGICAS</v>
      </c>
      <c r="F148" s="11">
        <v>355</v>
      </c>
      <c r="G148" s="11">
        <v>1655.16</v>
      </c>
      <c r="H148" t="s">
        <v>353</v>
      </c>
      <c r="I148" t="s">
        <v>355</v>
      </c>
    </row>
    <row r="149" spans="1:9" x14ac:dyDescent="0.35">
      <c r="A149">
        <v>235832617</v>
      </c>
      <c r="B149" t="str">
        <f>VLOOKUP(A149,Plan1!$A$1:$G$718,2,0)</f>
        <v>VIMTP11000796994</v>
      </c>
      <c r="C149" t="str">
        <f>VLOOKUP(A149,Plan1!$A$1:$G$718,3,0)</f>
        <v>ABERTO</v>
      </c>
      <c r="D149">
        <v>8</v>
      </c>
      <c r="E149" t="str">
        <f>VLOOKUP(A149,Plan1!$A$1:$G$718,5,0)</f>
        <v>DESPESAS MEDICAS, HOSPITALARES</v>
      </c>
      <c r="F149" s="11">
        <v>2059.73</v>
      </c>
      <c r="G149" s="11">
        <v>10683.53</v>
      </c>
      <c r="H149" t="s">
        <v>353</v>
      </c>
      <c r="I149" t="s">
        <v>355</v>
      </c>
    </row>
    <row r="150" spans="1:9" x14ac:dyDescent="0.35">
      <c r="A150">
        <v>235832621</v>
      </c>
      <c r="B150" t="str">
        <f>VLOOKUP(A150,Plan1!$A$1:$G$718,2,0)</f>
        <v>VIMTP11000796995</v>
      </c>
      <c r="C150" t="str">
        <f>VLOOKUP(A150,Plan1!$A$1:$G$718,3,0)</f>
        <v>ABERTO</v>
      </c>
      <c r="D150">
        <v>4</v>
      </c>
      <c r="E150" t="str">
        <f>VLOOKUP(A150,Plan1!$A$1:$G$718,5,0)</f>
        <v>DESPESAS MEDICAS, HOSPITALARES</v>
      </c>
      <c r="F150" s="11">
        <v>60</v>
      </c>
      <c r="G150" s="11">
        <v>325.93</v>
      </c>
      <c r="H150" t="s">
        <v>353</v>
      </c>
      <c r="I150" t="s">
        <v>355</v>
      </c>
    </row>
    <row r="151" spans="1:9" x14ac:dyDescent="0.35">
      <c r="A151">
        <v>239645871</v>
      </c>
      <c r="B151" t="str">
        <f>VLOOKUP(A151,Plan1!$A$1:$G$718,2,0)</f>
        <v>VIMTP11000796996</v>
      </c>
      <c r="C151" t="str">
        <f>VLOOKUP(A151,Plan1!$A$1:$G$718,3,0)</f>
        <v>ABERTO</v>
      </c>
      <c r="D151">
        <v>15</v>
      </c>
      <c r="E151" t="str">
        <f>VLOOKUP(A151,Plan1!$A$1:$G$718,5,0)</f>
        <v>CANCELAMENTO, INTERRUPÇÃO  E EXTENSÃO DE VIAGEM</v>
      </c>
      <c r="F151" s="11">
        <v>821.71</v>
      </c>
      <c r="G151" s="11">
        <v>821.71</v>
      </c>
      <c r="H151" t="s">
        <v>354</v>
      </c>
      <c r="I151" t="s">
        <v>357</v>
      </c>
    </row>
    <row r="152" spans="1:9" x14ac:dyDescent="0.35">
      <c r="A152">
        <v>235995147</v>
      </c>
      <c r="B152" t="str">
        <f>VLOOKUP(A152,Plan1!$A$1:$G$718,2,0)</f>
        <v>VIMTP07000770560</v>
      </c>
      <c r="C152" t="str">
        <f>VLOOKUP(A152,Plan1!$A$1:$G$718,3,0)</f>
        <v>ABERTO</v>
      </c>
      <c r="D152">
        <v>8</v>
      </c>
      <c r="E152" t="str">
        <f>VLOOKUP(A152,Plan1!$A$1:$G$718,5,0)</f>
        <v>DESPESAS MEDICAS, HOSPITALARES</v>
      </c>
      <c r="F152" s="11">
        <v>1866.53</v>
      </c>
      <c r="G152" s="11">
        <v>8860.01</v>
      </c>
      <c r="H152" t="s">
        <v>353</v>
      </c>
      <c r="I152" t="s">
        <v>355</v>
      </c>
    </row>
    <row r="153" spans="1:9" x14ac:dyDescent="0.35">
      <c r="A153">
        <v>235995109</v>
      </c>
      <c r="B153" t="str">
        <f>VLOOKUP(A153,Plan1!$A$1:$G$718,2,0)</f>
        <v>VIMTP12000803588</v>
      </c>
      <c r="C153" t="str">
        <f>VLOOKUP(A153,Plan1!$A$1:$G$718,3,0)</f>
        <v>ABERTO</v>
      </c>
      <c r="D153">
        <v>8</v>
      </c>
      <c r="E153" t="str">
        <f>VLOOKUP(A153,Plan1!$A$1:$G$718,5,0)</f>
        <v>DESPESAS MEDICAS, HOSPITALARES</v>
      </c>
      <c r="F153" s="11">
        <v>924.53</v>
      </c>
      <c r="G153" s="11">
        <v>4968.79</v>
      </c>
      <c r="H153" t="s">
        <v>353</v>
      </c>
      <c r="I153" t="s">
        <v>355</v>
      </c>
    </row>
    <row r="154" spans="1:9" x14ac:dyDescent="0.35">
      <c r="A154">
        <v>239658135</v>
      </c>
      <c r="B154" t="str">
        <f>VLOOKUP(A154,Plan1!$A$1:$G$718,2,0)</f>
        <v>VIMTP12000803696</v>
      </c>
      <c r="C154" t="str">
        <f>VLOOKUP(A154,Plan1!$A$1:$G$718,3,0)</f>
        <v>ABERTO</v>
      </c>
      <c r="D154">
        <v>24</v>
      </c>
      <c r="E154" t="str">
        <f>VLOOKUP(A154,Plan1!$A$1:$G$718,5,0)</f>
        <v>DESPESAS FARMACEUTICAS</v>
      </c>
      <c r="F154" s="11">
        <v>358.7</v>
      </c>
      <c r="G154" s="11">
        <v>358.7</v>
      </c>
      <c r="H154" t="s">
        <v>353</v>
      </c>
      <c r="I154" t="s">
        <v>355</v>
      </c>
    </row>
    <row r="155" spans="1:9" x14ac:dyDescent="0.35">
      <c r="A155">
        <v>239641560</v>
      </c>
      <c r="B155" t="str">
        <f>VLOOKUP(A155,Plan1!$A$1:$G$718,2,0)</f>
        <v>VIMTP08000788925</v>
      </c>
      <c r="C155" t="str">
        <f>VLOOKUP(A155,Plan1!$A$1:$G$718,3,0)</f>
        <v>ABERTO</v>
      </c>
      <c r="D155">
        <v>10</v>
      </c>
      <c r="E155" t="str">
        <f>VLOOKUP(A155,Plan1!$A$1:$G$718,5,0)</f>
        <v>EXTRAVIO DE BAGAGEM</v>
      </c>
      <c r="F155" s="11">
        <v>3000</v>
      </c>
      <c r="G155" s="11">
        <v>3000</v>
      </c>
      <c r="H155" t="s">
        <v>354</v>
      </c>
      <c r="I155" t="s">
        <v>357</v>
      </c>
    </row>
    <row r="156" spans="1:9" x14ac:dyDescent="0.35">
      <c r="A156">
        <v>236144351</v>
      </c>
      <c r="B156" t="str">
        <f>VLOOKUP(A156,Plan1!$A$1:$G$718,2,0)</f>
        <v>VIMTP08000814974</v>
      </c>
      <c r="C156" t="str">
        <f>VLOOKUP(A156,Plan1!$A$1:$G$718,3,0)</f>
        <v>ABERTO</v>
      </c>
      <c r="D156">
        <v>4</v>
      </c>
      <c r="E156" t="str">
        <f>VLOOKUP(A156,Plan1!$A$1:$G$718,5,0)</f>
        <v>DESPESAS MEDICAS, HOSPITALARES</v>
      </c>
      <c r="F156" s="11">
        <v>60</v>
      </c>
      <c r="G156" s="11">
        <v>325.93</v>
      </c>
      <c r="H156" t="s">
        <v>353</v>
      </c>
      <c r="I156" t="s">
        <v>355</v>
      </c>
    </row>
    <row r="157" spans="1:9" x14ac:dyDescent="0.35">
      <c r="A157">
        <v>236180850</v>
      </c>
      <c r="B157" t="str">
        <f>VLOOKUP(A157,Plan1!$A$1:$G$718,2,0)</f>
        <v>VIMTP08000786764</v>
      </c>
      <c r="C157" t="str">
        <f>VLOOKUP(A157,Plan1!$A$1:$G$718,3,0)</f>
        <v>ABERTO</v>
      </c>
      <c r="D157">
        <v>8</v>
      </c>
      <c r="E157" t="str">
        <f>VLOOKUP(A157,Plan1!$A$1:$G$718,5,0)</f>
        <v>DESPESAS MEDICAS, HOSPITALARES</v>
      </c>
      <c r="F157" s="11">
        <v>1723.01</v>
      </c>
      <c r="G157" s="11">
        <v>8360.7199999999993</v>
      </c>
      <c r="H157" t="s">
        <v>353</v>
      </c>
      <c r="I157" t="s">
        <v>355</v>
      </c>
    </row>
    <row r="158" spans="1:9" x14ac:dyDescent="0.35">
      <c r="A158">
        <v>239658019</v>
      </c>
      <c r="B158" t="str">
        <f>VLOOKUP(A158,Plan1!$A$1:$G$718,2,0)</f>
        <v>VIMTP41000824131</v>
      </c>
      <c r="C158" t="str">
        <f>VLOOKUP(A158,Plan1!$A$1:$G$718,3,0)</f>
        <v>ABERTO</v>
      </c>
      <c r="D158">
        <v>28</v>
      </c>
      <c r="E158" t="str">
        <f>VLOOKUP(A158,Plan1!$A$1:$G$718,5,0)</f>
        <v>HOSPEDAGEM DE ACOMPANHANTE</v>
      </c>
      <c r="F158" s="11">
        <v>392.12</v>
      </c>
      <c r="G158" s="11">
        <v>392.12</v>
      </c>
      <c r="H158" t="s">
        <v>354</v>
      </c>
      <c r="I158" t="s">
        <v>357</v>
      </c>
    </row>
    <row r="159" spans="1:9" x14ac:dyDescent="0.35">
      <c r="A159">
        <v>239661034</v>
      </c>
      <c r="B159" t="str">
        <f>VLOOKUP(A159,Plan1!$A$1:$G$718,2,0)</f>
        <v>VIMTP41000824131</v>
      </c>
      <c r="C159" t="str">
        <f>VLOOKUP(A159,Plan1!$A$1:$G$718,3,0)</f>
        <v>ABERTO</v>
      </c>
      <c r="D159">
        <v>24</v>
      </c>
      <c r="E159" t="str">
        <f>VLOOKUP(A159,Plan1!$A$1:$G$718,5,0)</f>
        <v>DESPESAS FARMACEUTICAS</v>
      </c>
      <c r="F159" s="11">
        <v>175.23</v>
      </c>
      <c r="G159" s="11">
        <v>175.23</v>
      </c>
      <c r="H159" t="s">
        <v>354</v>
      </c>
      <c r="I159" t="s">
        <v>357</v>
      </c>
    </row>
    <row r="160" spans="1:9" x14ac:dyDescent="0.35">
      <c r="A160">
        <v>236379912</v>
      </c>
      <c r="B160" t="str">
        <f>VLOOKUP(A160,Plan1!$A$1:$G$718,2,0)</f>
        <v>VIMTP19000831362</v>
      </c>
      <c r="C160" t="str">
        <f>VLOOKUP(A160,Plan1!$A$1:$G$718,3,0)</f>
        <v>ABERTO</v>
      </c>
      <c r="D160">
        <v>4</v>
      </c>
      <c r="E160" t="str">
        <f>VLOOKUP(A160,Plan1!$A$1:$G$718,5,0)</f>
        <v>DESPESAS MEDICAS, HOSPITALARES</v>
      </c>
      <c r="F160" s="11">
        <v>746.63</v>
      </c>
      <c r="G160" s="11">
        <v>3885.61</v>
      </c>
      <c r="H160" t="s">
        <v>353</v>
      </c>
      <c r="I160" t="s">
        <v>355</v>
      </c>
    </row>
    <row r="161" spans="1:9" x14ac:dyDescent="0.35">
      <c r="A161">
        <v>236239076</v>
      </c>
      <c r="B161" t="str">
        <f>VLOOKUP(A161,Plan1!$A$1:$G$718,2,0)</f>
        <v>VIMTP07000812680</v>
      </c>
      <c r="C161" t="str">
        <f>VLOOKUP(A161,Plan1!$A$1:$G$718,3,0)</f>
        <v>ABERTO</v>
      </c>
      <c r="D161">
        <v>8</v>
      </c>
      <c r="E161" t="str">
        <f>VLOOKUP(A161,Plan1!$A$1:$G$718,5,0)</f>
        <v>DESPESAS MEDICAS, HOSPITALARES</v>
      </c>
      <c r="F161" s="11">
        <v>6844.4299999999994</v>
      </c>
      <c r="G161" s="11">
        <v>33142.119999999995</v>
      </c>
      <c r="H161" t="s">
        <v>353</v>
      </c>
      <c r="I161" t="s">
        <v>355</v>
      </c>
    </row>
    <row r="162" spans="1:9" x14ac:dyDescent="0.35">
      <c r="A162">
        <v>240888155</v>
      </c>
      <c r="B162" t="str">
        <f>VLOOKUP(A162,Plan1!$A$1:$G$718,2,0)</f>
        <v>VIMTP08000800789</v>
      </c>
      <c r="C162" t="str">
        <f>VLOOKUP(A162,Plan1!$A$1:$G$718,3,0)</f>
        <v>ABERTO</v>
      </c>
      <c r="D162">
        <v>24</v>
      </c>
      <c r="E162" t="str">
        <f>VLOOKUP(A162,Plan1!$A$1:$G$718,5,0)</f>
        <v>DESPESAS MEDICAS, HOSPITALARES</v>
      </c>
      <c r="F162" s="11">
        <v>3158.8800000000006</v>
      </c>
      <c r="G162" s="11">
        <v>15232.999999999998</v>
      </c>
      <c r="H162" t="s">
        <v>353</v>
      </c>
      <c r="I162" t="s">
        <v>355</v>
      </c>
    </row>
    <row r="163" spans="1:9" x14ac:dyDescent="0.35">
      <c r="A163">
        <v>236463238</v>
      </c>
      <c r="B163" t="str">
        <f>VLOOKUP(A163,Plan1!$A$1:$G$718,2,0)</f>
        <v>VIMTP08000809315</v>
      </c>
      <c r="C163" t="str">
        <f>VLOOKUP(A163,Plan1!$A$1:$G$718,3,0)</f>
        <v>ABERTO</v>
      </c>
      <c r="D163">
        <v>16</v>
      </c>
      <c r="E163" t="str">
        <f>VLOOKUP(A163,Plan1!$A$1:$G$718,5,0)</f>
        <v>DESPESAS MEDICAS, HOSPITALARES</v>
      </c>
      <c r="F163" s="11">
        <v>4027.3300000000004</v>
      </c>
      <c r="G163" s="11">
        <v>19101.250000000004</v>
      </c>
      <c r="H163" t="s">
        <v>353</v>
      </c>
      <c r="I163" t="s">
        <v>355</v>
      </c>
    </row>
    <row r="164" spans="1:9" x14ac:dyDescent="0.35">
      <c r="A164">
        <v>239639076</v>
      </c>
      <c r="B164" t="str">
        <f>VLOOKUP(A164,Plan1!$A$1:$G$718,2,0)</f>
        <v>VIMTP19000712938</v>
      </c>
      <c r="C164" t="str">
        <f>VLOOKUP(A164,Plan1!$A$1:$G$718,3,0)</f>
        <v>ABERTO</v>
      </c>
      <c r="D164">
        <v>19</v>
      </c>
      <c r="E164" t="str">
        <f>VLOOKUP(A164,Plan1!$A$1:$G$718,5,0)</f>
        <v>REGRESSO ANTECIPADO DO SEGURADO</v>
      </c>
      <c r="F164" s="11">
        <v>4443.34</v>
      </c>
      <c r="G164" s="11">
        <v>4443.34</v>
      </c>
      <c r="H164" t="s">
        <v>354</v>
      </c>
      <c r="I164" t="s">
        <v>357</v>
      </c>
    </row>
    <row r="165" spans="1:9" x14ac:dyDescent="0.35">
      <c r="A165">
        <v>239659918</v>
      </c>
      <c r="B165" t="str">
        <f>VLOOKUP(A165,Plan1!$A$1:$G$718,2,0)</f>
        <v>VIMTP19000712937</v>
      </c>
      <c r="C165" t="str">
        <f>VLOOKUP(A165,Plan1!$A$1:$G$718,3,0)</f>
        <v>ABERTO</v>
      </c>
      <c r="D165">
        <v>19</v>
      </c>
      <c r="E165" t="str">
        <f>VLOOKUP(A165,Plan1!$A$1:$G$718,5,0)</f>
        <v>REGRESSO ANTECIPADO DO SEGURADO</v>
      </c>
      <c r="F165" s="11">
        <v>4443.34</v>
      </c>
      <c r="G165" s="11">
        <v>4443.34</v>
      </c>
      <c r="H165" t="s">
        <v>354</v>
      </c>
      <c r="I165" t="s">
        <v>357</v>
      </c>
    </row>
    <row r="166" spans="1:9" x14ac:dyDescent="0.35">
      <c r="A166">
        <v>240888229</v>
      </c>
      <c r="B166" t="str">
        <f>VLOOKUP(A166,Plan1!$A$1:$G$718,2,0)</f>
        <v>VIMTP20000762056</v>
      </c>
      <c r="C166" t="str">
        <f>VLOOKUP(A166,Plan1!$A$1:$G$718,3,0)</f>
        <v>ABERTO</v>
      </c>
      <c r="D166">
        <v>8</v>
      </c>
      <c r="E166" t="str">
        <f>VLOOKUP(A166,Plan1!$A$1:$G$718,5,0)</f>
        <v>DESPESAS MEDICAS, HOSPITALARES</v>
      </c>
      <c r="F166" s="11">
        <v>901.19</v>
      </c>
      <c r="G166" s="11">
        <v>4811.1900000000005</v>
      </c>
      <c r="H166" t="s">
        <v>353</v>
      </c>
      <c r="I166" t="s">
        <v>355</v>
      </c>
    </row>
    <row r="167" spans="1:9" x14ac:dyDescent="0.35">
      <c r="A167">
        <v>236495040</v>
      </c>
      <c r="B167" t="str">
        <f>VLOOKUP(A167,Plan1!$A$1:$G$718,2,0)</f>
        <v>VIMTP33000826472</v>
      </c>
      <c r="C167" t="str">
        <f>VLOOKUP(A167,Plan1!$A$1:$G$718,3,0)</f>
        <v>ABERTO</v>
      </c>
      <c r="D167">
        <v>16</v>
      </c>
      <c r="E167" t="str">
        <f>VLOOKUP(A167,Plan1!$A$1:$G$718,5,0)</f>
        <v>DESPESAS MEDICAS, HOSPITALARES</v>
      </c>
      <c r="F167" s="11">
        <v>2730.24</v>
      </c>
      <c r="G167" s="11">
        <v>12959.859999999999</v>
      </c>
      <c r="H167" t="s">
        <v>353</v>
      </c>
      <c r="I167" t="s">
        <v>355</v>
      </c>
    </row>
    <row r="168" spans="1:9" x14ac:dyDescent="0.35">
      <c r="A168">
        <v>236495101</v>
      </c>
      <c r="B168" t="str">
        <f>VLOOKUP(A168,Plan1!$A$1:$G$718,2,0)</f>
        <v>VIMTP11000829685</v>
      </c>
      <c r="C168" t="str">
        <f>VLOOKUP(A168,Plan1!$A$1:$G$718,3,0)</f>
        <v>ABERTO</v>
      </c>
      <c r="D168">
        <v>8</v>
      </c>
      <c r="E168" t="str">
        <f>VLOOKUP(A168,Plan1!$A$1:$G$718,5,0)</f>
        <v>DESPESAS MEDICAS, HOSPITALARES</v>
      </c>
      <c r="F168" s="11">
        <v>3138.55</v>
      </c>
      <c r="G168" s="11">
        <v>16855.189999999999</v>
      </c>
      <c r="H168" t="s">
        <v>353</v>
      </c>
      <c r="I168" t="s">
        <v>355</v>
      </c>
    </row>
    <row r="169" spans="1:9" x14ac:dyDescent="0.35">
      <c r="A169">
        <v>239657302</v>
      </c>
      <c r="B169" t="str">
        <f>VLOOKUP(A169,Plan1!$A$1:$G$718,2,0)</f>
        <v>VIMTP08000761010</v>
      </c>
      <c r="C169" t="str">
        <f>VLOOKUP(A169,Plan1!$A$1:$G$718,3,0)</f>
        <v>ABERTO</v>
      </c>
      <c r="D169">
        <v>24</v>
      </c>
      <c r="E169" t="str">
        <f>VLOOKUP(A169,Plan1!$A$1:$G$718,5,0)</f>
        <v>DESPESAS FARMACEUTICAS</v>
      </c>
      <c r="F169" s="11">
        <v>557.70000000000005</v>
      </c>
      <c r="G169" s="11">
        <v>557.70000000000005</v>
      </c>
      <c r="H169" t="s">
        <v>353</v>
      </c>
      <c r="I169" t="s">
        <v>355</v>
      </c>
    </row>
    <row r="170" spans="1:9" x14ac:dyDescent="0.35">
      <c r="A170">
        <v>236529290</v>
      </c>
      <c r="B170" t="str">
        <f>VLOOKUP(A170,Plan1!$A$1:$G$718,2,0)</f>
        <v>VIMTP11000776613</v>
      </c>
      <c r="C170" t="str">
        <f>VLOOKUP(A170,Plan1!$A$1:$G$718,3,0)</f>
        <v>ABERTO</v>
      </c>
      <c r="D170">
        <v>4</v>
      </c>
      <c r="E170" t="str">
        <f>VLOOKUP(A170,Plan1!$A$1:$G$718,5,0)</f>
        <v>DESPESAS MEDICAS, HOSPITALARES</v>
      </c>
      <c r="F170" s="11">
        <v>1381.1</v>
      </c>
      <c r="G170" s="11">
        <v>7395.9</v>
      </c>
      <c r="H170" t="s">
        <v>353</v>
      </c>
      <c r="I170" t="s">
        <v>355</v>
      </c>
    </row>
    <row r="171" spans="1:9" x14ac:dyDescent="0.35">
      <c r="A171">
        <v>236530418</v>
      </c>
      <c r="B171" t="str">
        <f>VLOOKUP(A171,Plan1!$A$1:$G$718,2,0)</f>
        <v>VIMTP19000761817</v>
      </c>
      <c r="C171" t="str">
        <f>VLOOKUP(A171,Plan1!$A$1:$G$718,3,0)</f>
        <v>ABERTO</v>
      </c>
      <c r="D171">
        <v>12</v>
      </c>
      <c r="E171" t="str">
        <f>VLOOKUP(A171,Plan1!$A$1:$G$718,5,0)</f>
        <v>DESPESAS ODONTOLOGICAS</v>
      </c>
      <c r="F171" s="11">
        <v>262</v>
      </c>
      <c r="G171" s="11">
        <v>1403.04</v>
      </c>
      <c r="H171" t="s">
        <v>353</v>
      </c>
      <c r="I171" t="s">
        <v>355</v>
      </c>
    </row>
    <row r="172" spans="1:9" x14ac:dyDescent="0.35">
      <c r="A172">
        <v>236570755</v>
      </c>
      <c r="B172" t="str">
        <f>VLOOKUP(A172,Plan1!$A$1:$G$718,2,0)</f>
        <v>VIMTP08000827361</v>
      </c>
      <c r="C172" t="str">
        <f>VLOOKUP(A172,Plan1!$A$1:$G$718,3,0)</f>
        <v>ABERTO</v>
      </c>
      <c r="D172">
        <v>8</v>
      </c>
      <c r="E172" t="str">
        <f>VLOOKUP(A172,Plan1!$A$1:$G$718,5,0)</f>
        <v>DESPESAS MEDICAS, HOSPITALARES</v>
      </c>
      <c r="F172" s="11">
        <v>822.06000000000006</v>
      </c>
      <c r="G172" s="11">
        <v>3902.13</v>
      </c>
      <c r="H172" t="s">
        <v>353</v>
      </c>
      <c r="I172" t="s">
        <v>355</v>
      </c>
    </row>
    <row r="173" spans="1:9" x14ac:dyDescent="0.35">
      <c r="A173">
        <v>239660560</v>
      </c>
      <c r="B173" t="str">
        <f>VLOOKUP(A173,Plan1!$A$1:$G$718,2,0)</f>
        <v>VIMTP07000852336</v>
      </c>
      <c r="C173" t="str">
        <f>VLOOKUP(A173,Plan1!$A$1:$G$718,3,0)</f>
        <v>ABERTO</v>
      </c>
      <c r="D173">
        <v>6</v>
      </c>
      <c r="E173" t="str">
        <f>VLOOKUP(A173,Plan1!$A$1:$G$718,5,0)</f>
        <v>DESPESAS ODONTOLOGICAS</v>
      </c>
      <c r="F173" s="11">
        <v>311</v>
      </c>
      <c r="G173" s="11">
        <v>1393.85</v>
      </c>
      <c r="H173" t="s">
        <v>353</v>
      </c>
      <c r="I173" t="s">
        <v>355</v>
      </c>
    </row>
    <row r="174" spans="1:9" x14ac:dyDescent="0.35">
      <c r="A174">
        <v>239650457</v>
      </c>
      <c r="B174" t="str">
        <f>VLOOKUP(A174,Plan1!$A$1:$G$718,2,0)</f>
        <v>VIMTP07000787111</v>
      </c>
      <c r="C174" t="str">
        <f>VLOOKUP(A174,Plan1!$A$1:$G$718,3,0)</f>
        <v>ABERTO</v>
      </c>
      <c r="D174">
        <v>4</v>
      </c>
      <c r="E174" t="str">
        <f>VLOOKUP(A174,Plan1!$A$1:$G$718,5,0)</f>
        <v>DESPESAS MEDICAS, HOSPITALARES</v>
      </c>
      <c r="F174" s="11">
        <v>427</v>
      </c>
      <c r="G174" s="11">
        <v>1951.12</v>
      </c>
      <c r="H174" t="s">
        <v>353</v>
      </c>
      <c r="I174" t="s">
        <v>355</v>
      </c>
    </row>
    <row r="175" spans="1:9" x14ac:dyDescent="0.35">
      <c r="A175">
        <v>239645170</v>
      </c>
      <c r="B175" t="str">
        <f>VLOOKUP(A175,Plan1!$A$1:$G$718,2,0)</f>
        <v>VIMTP08000823808</v>
      </c>
      <c r="C175" t="str">
        <f>VLOOKUP(A175,Plan1!$A$1:$G$718,3,0)</f>
        <v>ABERTO</v>
      </c>
      <c r="D175">
        <v>7</v>
      </c>
      <c r="E175" t="str">
        <f>VLOOKUP(A175,Plan1!$A$1:$G$718,5,0)</f>
        <v>TRASLADO DE CORPO</v>
      </c>
      <c r="F175" s="11">
        <v>7795</v>
      </c>
      <c r="G175" s="11">
        <v>34439.269999999997</v>
      </c>
      <c r="H175" t="s">
        <v>353</v>
      </c>
      <c r="I175" t="s">
        <v>355</v>
      </c>
    </row>
    <row r="176" spans="1:9" x14ac:dyDescent="0.35">
      <c r="A176">
        <v>239651980</v>
      </c>
      <c r="B176" t="str">
        <f>VLOOKUP(A176,Plan1!$A$1:$G$718,2,0)</f>
        <v>VIMTP07000856474</v>
      </c>
      <c r="C176" t="str">
        <f>VLOOKUP(A176,Plan1!$A$1:$G$718,3,0)</f>
        <v>ABERTO</v>
      </c>
      <c r="D176">
        <v>6</v>
      </c>
      <c r="E176" t="str">
        <f>VLOOKUP(A176,Plan1!$A$1:$G$718,5,0)</f>
        <v>DESPESAS ODONTOLOGICAS</v>
      </c>
      <c r="F176" s="11">
        <v>390</v>
      </c>
      <c r="G176" s="11">
        <v>1782.04</v>
      </c>
      <c r="H176" t="s">
        <v>353</v>
      </c>
      <c r="I176" t="s">
        <v>355</v>
      </c>
    </row>
    <row r="177" spans="1:9" x14ac:dyDescent="0.35">
      <c r="A177">
        <v>239658403</v>
      </c>
      <c r="B177" t="str">
        <f>VLOOKUP(A177,Plan1!$A$1:$G$718,2,0)</f>
        <v>VIMTP07000860583</v>
      </c>
      <c r="C177" t="str">
        <f>VLOOKUP(A177,Plan1!$A$1:$G$718,3,0)</f>
        <v>ABERTO</v>
      </c>
      <c r="D177">
        <v>24</v>
      </c>
      <c r="E177" t="str">
        <f>VLOOKUP(A177,Plan1!$A$1:$G$718,5,0)</f>
        <v>DESPESAS MEDICAS, HOSPITALARES</v>
      </c>
      <c r="F177" s="11">
        <v>734.56000000000006</v>
      </c>
      <c r="G177" s="11">
        <v>3352.11</v>
      </c>
      <c r="H177" t="s">
        <v>353</v>
      </c>
      <c r="I177" t="s">
        <v>355</v>
      </c>
    </row>
    <row r="178" spans="1:9" x14ac:dyDescent="0.35">
      <c r="A178">
        <v>239643587</v>
      </c>
      <c r="B178" t="str">
        <f>VLOOKUP(A178,Plan1!$A$1:$G$718,2,0)</f>
        <v>VIAGA68000863344</v>
      </c>
      <c r="C178" t="str">
        <f>VLOOKUP(A178,Plan1!$A$1:$G$718,3,0)</f>
        <v>ABERTO</v>
      </c>
      <c r="D178">
        <v>4</v>
      </c>
      <c r="E178" t="str">
        <f>VLOOKUP(A178,Plan1!$A$1:$G$718,5,0)</f>
        <v>DESPESAS MEDICAS, HOSPITALARES</v>
      </c>
      <c r="F178" s="11">
        <v>7043.15</v>
      </c>
      <c r="G178" s="11">
        <v>36622.910000000003</v>
      </c>
      <c r="H178" t="s">
        <v>353</v>
      </c>
      <c r="I178" t="s">
        <v>355</v>
      </c>
    </row>
    <row r="179" spans="1:9" x14ac:dyDescent="0.35">
      <c r="A179">
        <v>239651237</v>
      </c>
      <c r="B179" t="str">
        <f>VLOOKUP(A179,Plan1!$A$1:$G$718,2,0)</f>
        <v>VIMTP08000861769</v>
      </c>
      <c r="C179" t="str">
        <f>VLOOKUP(A179,Plan1!$A$1:$G$718,3,0)</f>
        <v>ABERTO</v>
      </c>
      <c r="D179">
        <v>8</v>
      </c>
      <c r="E179" t="str">
        <f>VLOOKUP(A179,Plan1!$A$1:$G$718,5,0)</f>
        <v>DESPESAS MEDICAS, HOSPITALARES</v>
      </c>
      <c r="F179" s="11">
        <v>3132.64</v>
      </c>
      <c r="G179" s="11">
        <v>16823.47</v>
      </c>
      <c r="H179" t="s">
        <v>353</v>
      </c>
      <c r="I179" t="s">
        <v>355</v>
      </c>
    </row>
    <row r="180" spans="1:9" x14ac:dyDescent="0.35">
      <c r="A180">
        <v>239652606</v>
      </c>
      <c r="B180" t="str">
        <f>VLOOKUP(A180,Plan1!$A$1:$G$718,2,0)</f>
        <v>VIAGA68000863345</v>
      </c>
      <c r="C180" t="str">
        <f>VLOOKUP(A180,Plan1!$A$1:$G$718,3,0)</f>
        <v>ABERTO</v>
      </c>
      <c r="D180">
        <v>21</v>
      </c>
      <c r="E180" t="str">
        <f>VLOOKUP(A180,Plan1!$A$1:$G$718,5,0)</f>
        <v>RETORNO DE MENORES</v>
      </c>
      <c r="F180" s="11">
        <v>6300</v>
      </c>
      <c r="G180" s="11">
        <v>6300</v>
      </c>
      <c r="H180" t="s">
        <v>354</v>
      </c>
      <c r="I180" t="s">
        <v>357</v>
      </c>
    </row>
    <row r="181" spans="1:9" x14ac:dyDescent="0.35">
      <c r="A181">
        <v>239645829</v>
      </c>
      <c r="B181" t="str">
        <f>VLOOKUP(A181,Plan1!$A$1:$G$718,2,0)</f>
        <v>VIMTP19000830148</v>
      </c>
      <c r="C181" t="str">
        <f>VLOOKUP(A181,Plan1!$A$1:$G$718,3,0)</f>
        <v>ABERTO</v>
      </c>
      <c r="D181">
        <v>24</v>
      </c>
      <c r="E181" t="str">
        <f>VLOOKUP(A181,Plan1!$A$1:$G$718,5,0)</f>
        <v>DESPESAS FARMACEUTICAS</v>
      </c>
      <c r="F181" s="11">
        <v>444.51</v>
      </c>
      <c r="G181" s="11">
        <v>444.51</v>
      </c>
      <c r="H181" t="s">
        <v>353</v>
      </c>
      <c r="I181" t="s">
        <v>355</v>
      </c>
    </row>
    <row r="182" spans="1:9" x14ac:dyDescent="0.35">
      <c r="A182">
        <v>239656292</v>
      </c>
      <c r="B182" t="str">
        <f>VLOOKUP(A182,Plan1!$A$1:$G$718,2,0)</f>
        <v>VIMTP08000829303</v>
      </c>
      <c r="C182" t="str">
        <f>VLOOKUP(A182,Plan1!$A$1:$G$718,3,0)</f>
        <v>ABERTO</v>
      </c>
      <c r="D182">
        <v>16</v>
      </c>
      <c r="E182" t="str">
        <f>VLOOKUP(A182,Plan1!$A$1:$G$718,5,0)</f>
        <v>DESPESAS MEDICAS, HOSPITALARES</v>
      </c>
      <c r="F182" s="11">
        <v>2323.8500000000004</v>
      </c>
      <c r="G182" s="11">
        <v>11201.78</v>
      </c>
      <c r="H182" t="s">
        <v>353</v>
      </c>
      <c r="I182" t="s">
        <v>355</v>
      </c>
    </row>
    <row r="183" spans="1:9" x14ac:dyDescent="0.35">
      <c r="A183">
        <v>239657866</v>
      </c>
      <c r="B183" t="str">
        <f>VLOOKUP(A183,Plan1!$A$1:$G$718,2,0)</f>
        <v>VIMTP08000844368</v>
      </c>
      <c r="C183" t="str">
        <f>VLOOKUP(A183,Plan1!$A$1:$G$718,3,0)</f>
        <v>ABERTO</v>
      </c>
      <c r="D183">
        <v>48</v>
      </c>
      <c r="E183" t="str">
        <f>VLOOKUP(A183,Plan1!$A$1:$G$718,5,0)</f>
        <v>DESPESAS MEDICAS, HOSPITALARES</v>
      </c>
      <c r="F183" s="11">
        <v>16095.740000000002</v>
      </c>
      <c r="G183" s="11">
        <v>71888.320000000007</v>
      </c>
      <c r="H183" t="s">
        <v>353</v>
      </c>
      <c r="I183" t="s">
        <v>355</v>
      </c>
    </row>
    <row r="184" spans="1:9" x14ac:dyDescent="0.35">
      <c r="A184">
        <v>239643192</v>
      </c>
      <c r="B184" t="str">
        <f>VLOOKUP(A184,Plan1!$A$1:$G$718,2,0)</f>
        <v>VIMTP08000863725</v>
      </c>
      <c r="C184" t="str">
        <f>VLOOKUP(A184,Plan1!$A$1:$G$718,3,0)</f>
        <v>ABERTO</v>
      </c>
      <c r="D184">
        <v>8</v>
      </c>
      <c r="E184" t="str">
        <f>VLOOKUP(A184,Plan1!$A$1:$G$718,5,0)</f>
        <v>DESPESAS MEDICAS, HOSPITALARES</v>
      </c>
      <c r="F184" s="11">
        <v>737.94</v>
      </c>
      <c r="G184" s="11">
        <v>3487.21</v>
      </c>
      <c r="H184" t="s">
        <v>353</v>
      </c>
      <c r="I184" t="s">
        <v>355</v>
      </c>
    </row>
    <row r="185" spans="1:9" x14ac:dyDescent="0.35">
      <c r="A185">
        <v>239645421</v>
      </c>
      <c r="B185" t="str">
        <f>VLOOKUP(A185,Plan1!$A$1:$G$718,2,0)</f>
        <v>VIAGA15000854542</v>
      </c>
      <c r="C185" t="str">
        <f>VLOOKUP(A185,Plan1!$A$1:$G$718,3,0)</f>
        <v>ABERTO</v>
      </c>
      <c r="D185">
        <v>24</v>
      </c>
      <c r="E185" t="str">
        <f>VLOOKUP(A185,Plan1!$A$1:$G$718,5,0)</f>
        <v>DESPESAS MEDICAS, HOSPITALARES</v>
      </c>
      <c r="F185" s="11">
        <v>5287.04</v>
      </c>
      <c r="G185" s="11">
        <v>25479.46</v>
      </c>
      <c r="H185" t="s">
        <v>353</v>
      </c>
      <c r="I185" t="s">
        <v>355</v>
      </c>
    </row>
    <row r="186" spans="1:9" x14ac:dyDescent="0.35">
      <c r="A186">
        <v>239648872</v>
      </c>
      <c r="B186" t="str">
        <f>VLOOKUP(A186,Plan1!$A$1:$G$718,2,0)</f>
        <v>VIMTP07000766907</v>
      </c>
      <c r="C186" t="str">
        <f>VLOOKUP(A186,Plan1!$A$1:$G$718,3,0)</f>
        <v>ABERTO</v>
      </c>
      <c r="D186">
        <v>8</v>
      </c>
      <c r="E186" t="str">
        <f>VLOOKUP(A186,Plan1!$A$1:$G$718,5,0)</f>
        <v>DESPESAS MEDICAS, HOSPITALARES</v>
      </c>
      <c r="F186" s="11">
        <v>914.73</v>
      </c>
      <c r="G186" s="11">
        <v>4322.62</v>
      </c>
      <c r="H186" t="s">
        <v>353</v>
      </c>
      <c r="I186" t="s">
        <v>355</v>
      </c>
    </row>
    <row r="187" spans="1:9" x14ac:dyDescent="0.35">
      <c r="A187">
        <v>239656011</v>
      </c>
      <c r="B187" t="str">
        <f>VLOOKUP(A187,Plan1!$A$1:$G$718,2,0)</f>
        <v>VIMTP08000821068</v>
      </c>
      <c r="C187" t="str">
        <f>VLOOKUP(A187,Plan1!$A$1:$G$718,3,0)</f>
        <v>ABERTO</v>
      </c>
      <c r="D187">
        <v>6</v>
      </c>
      <c r="E187" t="str">
        <f>VLOOKUP(A187,Plan1!$A$1:$G$718,5,0)</f>
        <v>DESPESAS ODONTOLOGICAS</v>
      </c>
      <c r="F187" s="11">
        <v>581</v>
      </c>
      <c r="G187" s="11">
        <v>2603.9299999999998</v>
      </c>
      <c r="H187" t="s">
        <v>353</v>
      </c>
      <c r="I187" t="s">
        <v>355</v>
      </c>
    </row>
    <row r="188" spans="1:9" x14ac:dyDescent="0.35">
      <c r="A188">
        <v>239645322</v>
      </c>
      <c r="B188" t="str">
        <f>VLOOKUP(A188,Plan1!$A$1:$G$718,2,0)</f>
        <v>VIMTP08000786582</v>
      </c>
      <c r="C188" t="str">
        <f>VLOOKUP(A188,Plan1!$A$1:$G$718,3,0)</f>
        <v>ABERTO</v>
      </c>
      <c r="D188">
        <v>8</v>
      </c>
      <c r="E188" t="str">
        <f>VLOOKUP(A188,Plan1!$A$1:$G$718,5,0)</f>
        <v>DESPESAS MEDICAS, HOSPITALARES</v>
      </c>
      <c r="F188" s="11">
        <v>3766.91</v>
      </c>
      <c r="G188" s="11">
        <v>18240.09</v>
      </c>
      <c r="H188" t="s">
        <v>353</v>
      </c>
      <c r="I188" t="s">
        <v>355</v>
      </c>
    </row>
    <row r="189" spans="1:9" x14ac:dyDescent="0.35">
      <c r="A189">
        <v>239642224</v>
      </c>
      <c r="B189" t="str">
        <f>VLOOKUP(A189,Plan1!$A$1:$G$718,2,0)</f>
        <v>VIMTP08000847628</v>
      </c>
      <c r="C189" t="str">
        <f>VLOOKUP(A189,Plan1!$A$1:$G$718,3,0)</f>
        <v>ABERTO</v>
      </c>
      <c r="D189">
        <v>6</v>
      </c>
      <c r="E189" t="str">
        <f>VLOOKUP(A189,Plan1!$A$1:$G$718,5,0)</f>
        <v>DESPESAS ODONTOLOGICAS</v>
      </c>
      <c r="F189" s="11">
        <v>385</v>
      </c>
      <c r="G189" s="11">
        <v>1759.19</v>
      </c>
      <c r="H189" t="s">
        <v>353</v>
      </c>
      <c r="I189" t="s">
        <v>355</v>
      </c>
    </row>
    <row r="190" spans="1:9" x14ac:dyDescent="0.35">
      <c r="A190">
        <v>239639460</v>
      </c>
      <c r="B190" t="str">
        <f>VLOOKUP(A190,Plan1!$A$1:$G$718,2,0)</f>
        <v>VIMTP07000861475</v>
      </c>
      <c r="C190" t="str">
        <f>VLOOKUP(A190,Plan1!$A$1:$G$718,3,0)</f>
        <v>ABERTO</v>
      </c>
      <c r="D190">
        <v>16</v>
      </c>
      <c r="E190" t="str">
        <f>VLOOKUP(A190,Plan1!$A$1:$G$718,5,0)</f>
        <v>DESPESAS MEDICAS, HOSPITALARES</v>
      </c>
      <c r="F190" s="11">
        <v>3214.63</v>
      </c>
      <c r="G190" s="11">
        <v>15501.84</v>
      </c>
      <c r="H190" t="s">
        <v>353</v>
      </c>
      <c r="I190" t="s">
        <v>355</v>
      </c>
    </row>
    <row r="191" spans="1:9" x14ac:dyDescent="0.35">
      <c r="A191">
        <v>239647125</v>
      </c>
      <c r="B191" t="str">
        <f>VLOOKUP(A191,Plan1!$A$1:$G$718,2,0)</f>
        <v>VIAGA52000846989</v>
      </c>
      <c r="C191" t="str">
        <f>VLOOKUP(A191,Plan1!$A$1:$G$718,3,0)</f>
        <v>ABERTO</v>
      </c>
      <c r="D191">
        <v>24</v>
      </c>
      <c r="E191" t="str">
        <f>VLOOKUP(A191,Plan1!$A$1:$G$718,5,0)</f>
        <v>DESPESAS FARMACEUTICAS</v>
      </c>
      <c r="F191" s="11">
        <v>380.84</v>
      </c>
      <c r="G191" s="11">
        <v>380.84</v>
      </c>
      <c r="H191" t="s">
        <v>353</v>
      </c>
      <c r="I191" t="s">
        <v>355</v>
      </c>
    </row>
    <row r="192" spans="1:9" x14ac:dyDescent="0.35">
      <c r="A192">
        <v>239651898</v>
      </c>
      <c r="B192" t="str">
        <f>VLOOKUP(A192,Plan1!$A$1:$G$718,2,0)</f>
        <v>VIAGA15000781659</v>
      </c>
      <c r="C192" t="str">
        <f>VLOOKUP(A192,Plan1!$A$1:$G$718,3,0)</f>
        <v>ABERTO</v>
      </c>
      <c r="D192">
        <v>8</v>
      </c>
      <c r="E192" t="str">
        <f>VLOOKUP(A192,Plan1!$A$1:$G$718,5,0)</f>
        <v>DESPESAS MEDICAS, HOSPITALARES</v>
      </c>
      <c r="F192" s="11">
        <v>1758.38</v>
      </c>
      <c r="G192" s="11">
        <v>8514.4</v>
      </c>
      <c r="H192" t="s">
        <v>353</v>
      </c>
      <c r="I192" t="s">
        <v>355</v>
      </c>
    </row>
    <row r="193" spans="1:9" x14ac:dyDescent="0.35">
      <c r="A193">
        <v>239641123</v>
      </c>
      <c r="B193" t="str">
        <f>VLOOKUP(A193,Plan1!$A$1:$G$718,2,0)</f>
        <v>VIMTP08000861810</v>
      </c>
      <c r="C193" t="str">
        <f>VLOOKUP(A193,Plan1!$A$1:$G$718,3,0)</f>
        <v>ABERTO</v>
      </c>
      <c r="D193">
        <v>8</v>
      </c>
      <c r="E193" t="str">
        <f>VLOOKUP(A193,Plan1!$A$1:$G$718,5,0)</f>
        <v>DESPESAS MEDICAS, HOSPITALARES</v>
      </c>
      <c r="F193" s="11">
        <v>1903.98</v>
      </c>
      <c r="G193" s="11">
        <v>9172.2099999999991</v>
      </c>
      <c r="H193" t="s">
        <v>353</v>
      </c>
      <c r="I193" t="s">
        <v>355</v>
      </c>
    </row>
    <row r="194" spans="1:9" x14ac:dyDescent="0.35">
      <c r="A194">
        <v>239651539</v>
      </c>
      <c r="B194" t="str">
        <f>VLOOKUP(A194,Plan1!$A$1:$G$718,2,0)</f>
        <v>VIMTP07000869567</v>
      </c>
      <c r="C194" t="str">
        <f>VLOOKUP(A194,Plan1!$A$1:$G$718,3,0)</f>
        <v>ABERTO</v>
      </c>
      <c r="D194">
        <v>8</v>
      </c>
      <c r="E194" t="str">
        <f>VLOOKUP(A194,Plan1!$A$1:$G$718,5,0)</f>
        <v>DESPESAS MEDICAS, HOSPITALARES</v>
      </c>
      <c r="F194" s="11">
        <v>208.92</v>
      </c>
      <c r="G194" s="11">
        <v>987.27</v>
      </c>
      <c r="H194" t="s">
        <v>353</v>
      </c>
      <c r="I194" t="s">
        <v>355</v>
      </c>
    </row>
    <row r="195" spans="1:9" x14ac:dyDescent="0.35">
      <c r="A195">
        <v>239661982</v>
      </c>
      <c r="B195" t="str">
        <f>VLOOKUP(A195,Plan1!$A$1:$G$718,2,0)</f>
        <v>VIMTP07000861914</v>
      </c>
      <c r="C195" t="str">
        <f>VLOOKUP(A195,Plan1!$A$1:$G$718,3,0)</f>
        <v>ABERTO</v>
      </c>
      <c r="D195">
        <v>6</v>
      </c>
      <c r="E195" t="str">
        <f>VLOOKUP(A195,Plan1!$A$1:$G$718,5,0)</f>
        <v>DESPESAS ODONTOLOGICAS</v>
      </c>
      <c r="F195" s="11">
        <v>289</v>
      </c>
      <c r="G195" s="11">
        <v>1310.58</v>
      </c>
      <c r="H195" t="s">
        <v>354</v>
      </c>
      <c r="I195" t="s">
        <v>357</v>
      </c>
    </row>
    <row r="196" spans="1:9" x14ac:dyDescent="0.35">
      <c r="A196">
        <v>239655489</v>
      </c>
      <c r="B196" t="str">
        <f>VLOOKUP(A196,Plan1!$A$1:$G$718,2,0)</f>
        <v>VIAGA68000798482</v>
      </c>
      <c r="C196" t="str">
        <f>VLOOKUP(A196,Plan1!$A$1:$G$718,3,0)</f>
        <v>ABERTO</v>
      </c>
      <c r="D196">
        <v>4</v>
      </c>
      <c r="E196" t="str">
        <f>VLOOKUP(A196,Plan1!$A$1:$G$718,5,0)</f>
        <v>DESPESAS MEDICAS, HOSPITALARES</v>
      </c>
      <c r="F196" s="11">
        <v>250</v>
      </c>
      <c r="G196" s="11">
        <v>1259.47</v>
      </c>
      <c r="H196" t="s">
        <v>353</v>
      </c>
      <c r="I196" t="s">
        <v>355</v>
      </c>
    </row>
    <row r="197" spans="1:9" x14ac:dyDescent="0.35">
      <c r="A197">
        <v>239649783</v>
      </c>
      <c r="B197" t="str">
        <f>VLOOKUP(A197,Plan1!$A$1:$G$718,2,0)</f>
        <v>VIMTP19000852666</v>
      </c>
      <c r="C197" t="str">
        <f>VLOOKUP(A197,Plan1!$A$1:$G$718,3,0)</f>
        <v>ABERTO</v>
      </c>
      <c r="D197">
        <v>20</v>
      </c>
      <c r="E197" t="str">
        <f>VLOOKUP(A197,Plan1!$A$1:$G$718,5,0)</f>
        <v>DESPESAS MEDICAS, HOSPITALARES</v>
      </c>
      <c r="F197" s="11">
        <v>1089.04</v>
      </c>
      <c r="G197" s="11">
        <v>5758.1</v>
      </c>
      <c r="H197" t="s">
        <v>353</v>
      </c>
      <c r="I197" t="s">
        <v>355</v>
      </c>
    </row>
    <row r="198" spans="1:9" x14ac:dyDescent="0.35">
      <c r="A198">
        <v>239654531</v>
      </c>
      <c r="B198" t="str">
        <f>VLOOKUP(A198,Plan1!$A$1:$G$718,2,0)</f>
        <v>VIMTP08000596274</v>
      </c>
      <c r="C198" t="str">
        <f>VLOOKUP(A198,Plan1!$A$1:$G$718,3,0)</f>
        <v>ABERTO</v>
      </c>
      <c r="D198">
        <v>8</v>
      </c>
      <c r="E198" t="str">
        <f>VLOOKUP(A198,Plan1!$A$1:$G$718,5,0)</f>
        <v>DESPESAS MEDICAS, HOSPITALARES</v>
      </c>
      <c r="F198" s="11">
        <v>538</v>
      </c>
      <c r="G198" s="11">
        <v>2474.5500000000002</v>
      </c>
      <c r="H198" t="s">
        <v>353</v>
      </c>
      <c r="I198" t="s">
        <v>355</v>
      </c>
    </row>
    <row r="199" spans="1:9" x14ac:dyDescent="0.35">
      <c r="A199">
        <v>239659732</v>
      </c>
      <c r="B199" t="str">
        <f>VLOOKUP(A199,Plan1!$A$1:$G$718,2,0)</f>
        <v>VIMTP08000596275</v>
      </c>
      <c r="C199" t="str">
        <f>VLOOKUP(A199,Plan1!$A$1:$G$718,3,0)</f>
        <v>ABERTO</v>
      </c>
      <c r="D199">
        <v>12</v>
      </c>
      <c r="E199" t="str">
        <f>VLOOKUP(A199,Plan1!$A$1:$G$718,5,0)</f>
        <v>DESPESAS MEDICAS, HOSPITALARES</v>
      </c>
      <c r="F199" s="11">
        <v>803</v>
      </c>
      <c r="G199" s="11">
        <v>3751.2799999999997</v>
      </c>
      <c r="H199" t="s">
        <v>353</v>
      </c>
      <c r="I199" t="s">
        <v>355</v>
      </c>
    </row>
    <row r="200" spans="1:9" x14ac:dyDescent="0.35">
      <c r="A200">
        <v>239660431</v>
      </c>
      <c r="B200" t="str">
        <f>VLOOKUP(A200,Plan1!$A$1:$G$718,2,0)</f>
        <v>VIAGA54000821551</v>
      </c>
      <c r="C200" t="str">
        <f>VLOOKUP(A200,Plan1!$A$1:$G$718,3,0)</f>
        <v>ABERTO</v>
      </c>
      <c r="D200">
        <v>4</v>
      </c>
      <c r="E200" t="str">
        <f>VLOOKUP(A200,Plan1!$A$1:$G$718,5,0)</f>
        <v>DESPESAS MEDICAS, HOSPITALARES</v>
      </c>
      <c r="F200" s="11">
        <v>55</v>
      </c>
      <c r="G200" s="11">
        <v>196.02</v>
      </c>
      <c r="H200" t="s">
        <v>353</v>
      </c>
      <c r="I200" t="s">
        <v>355</v>
      </c>
    </row>
    <row r="201" spans="1:9" x14ac:dyDescent="0.35">
      <c r="A201">
        <v>239642579</v>
      </c>
      <c r="B201" t="str">
        <f>VLOOKUP(A201,Plan1!$A$1:$G$718,2,0)</f>
        <v>VIMTP33000878700</v>
      </c>
      <c r="C201" t="str">
        <f>VLOOKUP(A201,Plan1!$A$1:$G$718,3,0)</f>
        <v>ABERTO</v>
      </c>
      <c r="D201">
        <v>8</v>
      </c>
      <c r="E201" t="str">
        <f>VLOOKUP(A201,Plan1!$A$1:$G$718,5,0)</f>
        <v>DESPESAS MEDICAS, HOSPITALARES</v>
      </c>
      <c r="F201" s="11">
        <v>1010.37</v>
      </c>
      <c r="G201" s="11">
        <v>4774.58</v>
      </c>
      <c r="H201" t="s">
        <v>353</v>
      </c>
      <c r="I201" t="s">
        <v>355</v>
      </c>
    </row>
    <row r="202" spans="1:9" x14ac:dyDescent="0.35">
      <c r="A202">
        <v>239645394</v>
      </c>
      <c r="B202" t="str">
        <f>VLOOKUP(A202,Plan1!$A$1:$G$718,2,0)</f>
        <v>VIAGA52000858960</v>
      </c>
      <c r="C202" t="str">
        <f>VLOOKUP(A202,Plan1!$A$1:$G$718,3,0)</f>
        <v>ABERTO</v>
      </c>
      <c r="D202">
        <v>24</v>
      </c>
      <c r="E202" t="str">
        <f>VLOOKUP(A202,Plan1!$A$1:$G$718,5,0)</f>
        <v>DESPESAS FARMACEUTICAS</v>
      </c>
      <c r="F202" s="11">
        <v>382.53</v>
      </c>
      <c r="G202" s="11">
        <v>382.53</v>
      </c>
      <c r="H202" t="s">
        <v>353</v>
      </c>
      <c r="I202" t="s">
        <v>355</v>
      </c>
    </row>
    <row r="203" spans="1:9" x14ac:dyDescent="0.35">
      <c r="A203">
        <v>239653895</v>
      </c>
      <c r="B203" t="str">
        <f>VLOOKUP(A203,Plan1!$A$1:$G$718,2,0)</f>
        <v>VIMTP08000860007</v>
      </c>
      <c r="C203" t="str">
        <f>VLOOKUP(A203,Plan1!$A$1:$G$718,3,0)</f>
        <v>ABERTO</v>
      </c>
      <c r="D203">
        <v>8</v>
      </c>
      <c r="E203" t="str">
        <f>VLOOKUP(A203,Plan1!$A$1:$G$718,5,0)</f>
        <v>DESPESAS MEDICAS, HOSPITALARES</v>
      </c>
      <c r="F203" s="11">
        <v>60.19</v>
      </c>
      <c r="G203" s="11">
        <v>284.43</v>
      </c>
      <c r="H203" t="s">
        <v>353</v>
      </c>
      <c r="I203" t="s">
        <v>355</v>
      </c>
    </row>
    <row r="204" spans="1:9" x14ac:dyDescent="0.35">
      <c r="A204">
        <v>239647938</v>
      </c>
      <c r="B204" t="str">
        <f>VLOOKUP(A204,Plan1!$A$1:$G$718,2,0)</f>
        <v>VIAGA54000869174</v>
      </c>
      <c r="C204" t="str">
        <f>VLOOKUP(A204,Plan1!$A$1:$G$718,3,0)</f>
        <v>ABERTO</v>
      </c>
      <c r="D204">
        <v>16</v>
      </c>
      <c r="E204" t="str">
        <f>VLOOKUP(A204,Plan1!$A$1:$G$718,5,0)</f>
        <v>DESPESAS MEDICAS, HOSPITALARES</v>
      </c>
      <c r="F204" s="11">
        <v>5717.73</v>
      </c>
      <c r="G204" s="11">
        <v>26092.42</v>
      </c>
      <c r="H204" t="s">
        <v>353</v>
      </c>
      <c r="I204" t="s">
        <v>355</v>
      </c>
    </row>
    <row r="205" spans="1:9" x14ac:dyDescent="0.35">
      <c r="A205">
        <v>239654164</v>
      </c>
      <c r="B205" t="str">
        <f>VLOOKUP(A205,Plan1!$A$1:$G$718,2,0)</f>
        <v>VIMTP16000880282</v>
      </c>
      <c r="C205" t="str">
        <f>VLOOKUP(A205,Plan1!$A$1:$G$718,3,0)</f>
        <v>ABERTO</v>
      </c>
      <c r="D205">
        <v>8</v>
      </c>
      <c r="E205" t="str">
        <f>VLOOKUP(A205,Plan1!$A$1:$G$718,5,0)</f>
        <v>DESPESAS MEDICAS, HOSPITALARES</v>
      </c>
      <c r="F205" s="11">
        <v>64.2</v>
      </c>
      <c r="G205" s="11">
        <v>344.78000000000003</v>
      </c>
      <c r="H205" t="s">
        <v>353</v>
      </c>
      <c r="I205" t="s">
        <v>355</v>
      </c>
    </row>
    <row r="206" spans="1:9" x14ac:dyDescent="0.35">
      <c r="A206">
        <v>239658023</v>
      </c>
      <c r="B206" t="str">
        <f>VLOOKUP(A206,Plan1!$A$1:$G$718,2,0)</f>
        <v>VIMTP33000874341</v>
      </c>
      <c r="C206" t="str">
        <f>VLOOKUP(A206,Plan1!$A$1:$G$718,3,0)</f>
        <v>ABERTO</v>
      </c>
      <c r="D206">
        <v>8</v>
      </c>
      <c r="E206" t="str">
        <f>VLOOKUP(A206,Plan1!$A$1:$G$718,5,0)</f>
        <v>DESPESAS MEDICAS, HOSPITALARES</v>
      </c>
      <c r="F206" s="11">
        <v>2274.62</v>
      </c>
      <c r="G206" s="11">
        <v>10859.43</v>
      </c>
      <c r="H206" t="s">
        <v>353</v>
      </c>
      <c r="I206" t="s">
        <v>355</v>
      </c>
    </row>
    <row r="207" spans="1:9" x14ac:dyDescent="0.35">
      <c r="A207">
        <v>239659538</v>
      </c>
      <c r="B207" t="str">
        <f>VLOOKUP(A207,Plan1!$A$1:$G$718,2,0)</f>
        <v>VIMTP08000854753</v>
      </c>
      <c r="C207" t="str">
        <f>VLOOKUP(A207,Plan1!$A$1:$G$718,3,0)</f>
        <v>ABERTO</v>
      </c>
      <c r="D207">
        <v>8</v>
      </c>
      <c r="E207" t="str">
        <f>VLOOKUP(A207,Plan1!$A$1:$G$718,5,0)</f>
        <v>DESPESAS MEDICAS, HOSPITALARES</v>
      </c>
      <c r="F207" s="11">
        <v>1000.11</v>
      </c>
      <c r="G207" s="11">
        <v>4747.3100000000004</v>
      </c>
      <c r="H207" t="s">
        <v>353</v>
      </c>
      <c r="I207" t="s">
        <v>355</v>
      </c>
    </row>
    <row r="208" spans="1:9" x14ac:dyDescent="0.35">
      <c r="A208">
        <v>240888005</v>
      </c>
      <c r="B208" t="str">
        <f>VLOOKUP(A208,Plan1!$A$1:$G$718,2,0)</f>
        <v>VIMTP08000800487</v>
      </c>
      <c r="C208" t="str">
        <f>VLOOKUP(A208,Plan1!$A$1:$G$718,3,0)</f>
        <v>ABERTO</v>
      </c>
      <c r="D208">
        <v>8</v>
      </c>
      <c r="E208" t="str">
        <f>VLOOKUP(A208,Plan1!$A$1:$G$718,5,0)</f>
        <v>DESPESAS MEDICAS, HOSPITALARES</v>
      </c>
      <c r="F208" s="11">
        <v>858.97</v>
      </c>
      <c r="G208" s="11">
        <v>4059.14</v>
      </c>
      <c r="H208" t="s">
        <v>353</v>
      </c>
      <c r="I208" t="s">
        <v>355</v>
      </c>
    </row>
    <row r="209" spans="1:9" x14ac:dyDescent="0.35">
      <c r="A209">
        <v>240887907</v>
      </c>
      <c r="B209" t="str">
        <f>VLOOKUP(A209,Plan1!$A$1:$G$718,2,0)</f>
        <v>VIMTP08000800487</v>
      </c>
      <c r="C209" t="str">
        <f>VLOOKUP(A209,Plan1!$A$1:$G$718,3,0)</f>
        <v>ABERTO</v>
      </c>
      <c r="D209">
        <v>24</v>
      </c>
      <c r="E209" t="str">
        <f>VLOOKUP(A209,Plan1!$A$1:$G$718,5,0)</f>
        <v>DESPESAS FARMACEUTICAS</v>
      </c>
      <c r="F209" s="11">
        <v>395.38</v>
      </c>
      <c r="G209" s="11">
        <v>395.38</v>
      </c>
      <c r="H209" t="s">
        <v>353</v>
      </c>
      <c r="I209" t="s">
        <v>355</v>
      </c>
    </row>
    <row r="210" spans="1:9" x14ac:dyDescent="0.35">
      <c r="A210">
        <v>239659111</v>
      </c>
      <c r="B210" t="str">
        <f>VLOOKUP(A210,Plan1!$A$1:$G$718,2,0)</f>
        <v>VIMTP19000874757</v>
      </c>
      <c r="C210" t="str">
        <f>VLOOKUP(A210,Plan1!$A$1:$G$718,3,0)</f>
        <v>ABERTO</v>
      </c>
      <c r="D210">
        <v>10</v>
      </c>
      <c r="E210" t="str">
        <f>VLOOKUP(A210,Plan1!$A$1:$G$718,5,0)</f>
        <v>EXTRAVIO DE BAGAGEM</v>
      </c>
      <c r="F210" s="11">
        <v>3000</v>
      </c>
      <c r="G210" s="11">
        <v>3000</v>
      </c>
      <c r="H210" t="s">
        <v>354</v>
      </c>
      <c r="I210" t="s">
        <v>357</v>
      </c>
    </row>
    <row r="211" spans="1:9" x14ac:dyDescent="0.35">
      <c r="A211">
        <v>239661735</v>
      </c>
      <c r="B211" t="str">
        <f>VLOOKUP(A211,Plan1!$A$1:$G$718,2,0)</f>
        <v>VIMTP19000846492</v>
      </c>
      <c r="C211" t="str">
        <f>VLOOKUP(A211,Plan1!$A$1:$G$718,3,0)</f>
        <v>ABERTO</v>
      </c>
      <c r="D211">
        <v>4</v>
      </c>
      <c r="E211" t="str">
        <f>VLOOKUP(A211,Plan1!$A$1:$G$718,5,0)</f>
        <v>DESPESAS MEDICAS, HOSPITALARES</v>
      </c>
      <c r="F211" s="11">
        <v>262.2</v>
      </c>
      <c r="G211" s="11">
        <v>1404.11</v>
      </c>
      <c r="H211" t="s">
        <v>353</v>
      </c>
      <c r="I211" t="s">
        <v>355</v>
      </c>
    </row>
    <row r="212" spans="1:9" x14ac:dyDescent="0.35">
      <c r="A212">
        <v>239660370</v>
      </c>
      <c r="B212" t="str">
        <f>VLOOKUP(A212,Plan1!$A$1:$G$718,2,0)</f>
        <v>VIMTP40000883108</v>
      </c>
      <c r="C212" t="str">
        <f>VLOOKUP(A212,Plan1!$A$1:$G$718,3,0)</f>
        <v>ABERTO</v>
      </c>
      <c r="D212">
        <v>14</v>
      </c>
      <c r="E212" t="str">
        <f>VLOOKUP(A212,Plan1!$A$1:$G$718,5,0)</f>
        <v>MORTE ACIDENTAL</v>
      </c>
      <c r="F212" s="11">
        <v>9720</v>
      </c>
      <c r="G212" s="11">
        <v>9720</v>
      </c>
      <c r="H212" t="s">
        <v>354</v>
      </c>
      <c r="I212" t="s">
        <v>357</v>
      </c>
    </row>
    <row r="213" spans="1:9" x14ac:dyDescent="0.35">
      <c r="A213">
        <v>239653082</v>
      </c>
      <c r="B213" t="str">
        <f>VLOOKUP(A213,Plan1!$A$1:$G$718,2,0)</f>
        <v>VIMTP08000798488</v>
      </c>
      <c r="C213" t="str">
        <f>VLOOKUP(A213,Plan1!$A$1:$G$718,3,0)</f>
        <v>ABERTO</v>
      </c>
      <c r="D213">
        <v>4</v>
      </c>
      <c r="E213" t="str">
        <f>VLOOKUP(A213,Plan1!$A$1:$G$718,5,0)</f>
        <v>DESPESAS MEDICAS, HOSPITALARES</v>
      </c>
      <c r="F213" s="11">
        <v>437</v>
      </c>
      <c r="G213" s="11">
        <v>2105.21</v>
      </c>
      <c r="H213" t="s">
        <v>353</v>
      </c>
      <c r="I213" t="s">
        <v>355</v>
      </c>
    </row>
    <row r="214" spans="1:9" x14ac:dyDescent="0.35">
      <c r="A214">
        <v>240887911</v>
      </c>
      <c r="B214" t="str">
        <f>VLOOKUP(A214,Plan1!$A$1:$G$718,2,0)</f>
        <v>VIMTP08000800486</v>
      </c>
      <c r="C214" t="str">
        <f>VLOOKUP(A214,Plan1!$A$1:$G$718,3,0)</f>
        <v>ABERTO</v>
      </c>
      <c r="D214">
        <v>8</v>
      </c>
      <c r="E214" t="str">
        <f>VLOOKUP(A214,Plan1!$A$1:$G$718,5,0)</f>
        <v>DESPESAS MEDICAS, HOSPITALARES</v>
      </c>
      <c r="F214" s="11">
        <v>840.07</v>
      </c>
      <c r="G214" s="11">
        <v>3969.8199999999997</v>
      </c>
      <c r="H214" t="s">
        <v>353</v>
      </c>
      <c r="I214" t="s">
        <v>355</v>
      </c>
    </row>
    <row r="215" spans="1:9" x14ac:dyDescent="0.35">
      <c r="A215">
        <v>240888286</v>
      </c>
      <c r="B215" t="str">
        <f>VLOOKUP(A215,Plan1!$A$1:$G$718,2,0)</f>
        <v>VIMTP08000800486</v>
      </c>
      <c r="C215" t="str">
        <f>VLOOKUP(A215,Plan1!$A$1:$G$718,3,0)</f>
        <v>ABERTO</v>
      </c>
      <c r="D215">
        <v>24</v>
      </c>
      <c r="E215" t="str">
        <f>VLOOKUP(A215,Plan1!$A$1:$G$718,5,0)</f>
        <v>DESPESAS FARMACEUTICAS</v>
      </c>
      <c r="F215" s="11">
        <v>701.76</v>
      </c>
      <c r="G215" s="11">
        <v>701.76</v>
      </c>
      <c r="H215" t="s">
        <v>353</v>
      </c>
      <c r="I215" t="s">
        <v>355</v>
      </c>
    </row>
    <row r="216" spans="1:9" x14ac:dyDescent="0.35">
      <c r="A216">
        <v>239650860</v>
      </c>
      <c r="B216" t="str">
        <f>VLOOKUP(A216,Plan1!$A$1:$G$718,2,0)</f>
        <v>VIMTP08000832863</v>
      </c>
      <c r="C216" t="str">
        <f>VLOOKUP(A216,Plan1!$A$1:$G$718,3,0)</f>
        <v>ABERTO</v>
      </c>
      <c r="D216">
        <v>8</v>
      </c>
      <c r="E216" t="str">
        <f>VLOOKUP(A216,Plan1!$A$1:$G$718,5,0)</f>
        <v>DESPESAS MEDICAS, HOSPITALARES</v>
      </c>
      <c r="F216" s="11">
        <v>886</v>
      </c>
      <c r="G216" s="11">
        <v>4076.88</v>
      </c>
      <c r="H216" t="s">
        <v>353</v>
      </c>
      <c r="I216" t="s">
        <v>355</v>
      </c>
    </row>
    <row r="217" spans="1:9" x14ac:dyDescent="0.35">
      <c r="A217">
        <v>239657150</v>
      </c>
      <c r="B217" t="str">
        <f>VLOOKUP(A217,Plan1!$A$1:$G$718,2,0)</f>
        <v>VIAGA68000869971</v>
      </c>
      <c r="C217" t="str">
        <f>VLOOKUP(A217,Plan1!$A$1:$G$718,3,0)</f>
        <v>ABERTO</v>
      </c>
      <c r="D217">
        <v>8</v>
      </c>
      <c r="E217" t="str">
        <f>VLOOKUP(A217,Plan1!$A$1:$G$718,5,0)</f>
        <v>DESPESAS MEDICAS, HOSPITALARES</v>
      </c>
      <c r="F217" s="11">
        <v>556.6</v>
      </c>
      <c r="G217" s="11">
        <v>2982.03</v>
      </c>
      <c r="H217" t="s">
        <v>353</v>
      </c>
      <c r="I217" t="s">
        <v>355</v>
      </c>
    </row>
    <row r="218" spans="1:9" x14ac:dyDescent="0.35">
      <c r="A218">
        <v>239656201</v>
      </c>
      <c r="B218" t="str">
        <f>VLOOKUP(A218,Plan1!$A$1:$G$718,2,0)</f>
        <v>VIMTP08000837944</v>
      </c>
      <c r="C218" t="str">
        <f>VLOOKUP(A218,Plan1!$A$1:$G$718,3,0)</f>
        <v>ABERTO</v>
      </c>
      <c r="D218">
        <v>8</v>
      </c>
      <c r="E218" t="str">
        <f>VLOOKUP(A218,Plan1!$A$1:$G$718,5,0)</f>
        <v>DESPESAS MEDICAS, HOSPITALARES</v>
      </c>
      <c r="F218" s="11">
        <v>902.55000000000007</v>
      </c>
      <c r="G218" s="11">
        <v>4265.08</v>
      </c>
      <c r="H218" t="s">
        <v>353</v>
      </c>
      <c r="I218" t="s">
        <v>355</v>
      </c>
    </row>
    <row r="219" spans="1:9" x14ac:dyDescent="0.35">
      <c r="A219">
        <v>239644523</v>
      </c>
      <c r="B219" t="str">
        <f>VLOOKUP(A219,Plan1!$A$1:$G$718,2,0)</f>
        <v>VIMTP19000801588</v>
      </c>
      <c r="C219" t="str">
        <f>VLOOKUP(A219,Plan1!$A$1:$G$718,3,0)</f>
        <v>ABERTO</v>
      </c>
      <c r="D219">
        <v>24</v>
      </c>
      <c r="E219" t="str">
        <f>VLOOKUP(A219,Plan1!$A$1:$G$718,5,0)</f>
        <v>DESPESAS FARMACEUTICAS</v>
      </c>
      <c r="F219" s="11">
        <v>675.97</v>
      </c>
      <c r="G219" s="11">
        <v>675.97</v>
      </c>
      <c r="H219" t="s">
        <v>353</v>
      </c>
      <c r="I219" t="s">
        <v>355</v>
      </c>
    </row>
    <row r="220" spans="1:9" x14ac:dyDescent="0.35">
      <c r="A220">
        <v>239657486</v>
      </c>
      <c r="B220" t="str">
        <f>VLOOKUP(A220,Plan1!$A$1:$G$718,2,0)</f>
        <v>VIMTP08000776041</v>
      </c>
      <c r="C220" t="str">
        <f>VLOOKUP(A220,Plan1!$A$1:$G$718,3,0)</f>
        <v>ABERTO</v>
      </c>
      <c r="D220">
        <v>8</v>
      </c>
      <c r="E220" t="str">
        <f>VLOOKUP(A220,Plan1!$A$1:$G$718,5,0)</f>
        <v>DESPESAS MEDICAS, HOSPITALARES</v>
      </c>
      <c r="F220" s="11">
        <v>823.8900000000001</v>
      </c>
      <c r="G220" s="11">
        <v>3968.99</v>
      </c>
      <c r="H220" t="s">
        <v>353</v>
      </c>
      <c r="I220" t="s">
        <v>355</v>
      </c>
    </row>
    <row r="221" spans="1:9" x14ac:dyDescent="0.35">
      <c r="A221">
        <v>240888710</v>
      </c>
      <c r="B221" t="str">
        <f>VLOOKUP(A221,Plan1!$A$1:$G$718,2,0)</f>
        <v>VIAGA15000856968</v>
      </c>
      <c r="C221" t="str">
        <f>VLOOKUP(A221,Plan1!$A$1:$G$718,3,0)</f>
        <v>ABERTO</v>
      </c>
      <c r="D221">
        <v>4</v>
      </c>
      <c r="E221" t="str">
        <f>VLOOKUP(A221,Plan1!$A$1:$G$718,5,0)</f>
        <v>DESPESAS MEDICAS, HOSPITALARES</v>
      </c>
      <c r="F221" s="11">
        <v>1384.23</v>
      </c>
      <c r="G221" s="11">
        <v>6264.39</v>
      </c>
      <c r="H221" t="s">
        <v>353</v>
      </c>
      <c r="I221" t="s">
        <v>355</v>
      </c>
    </row>
    <row r="222" spans="1:9" x14ac:dyDescent="0.35">
      <c r="A222">
        <v>239660649</v>
      </c>
      <c r="B222" t="str">
        <f>VLOOKUP(A222,Plan1!$A$1:$G$718,2,0)</f>
        <v>VIMTP19000859355</v>
      </c>
      <c r="C222" t="str">
        <f>VLOOKUP(A222,Plan1!$A$1:$G$718,3,0)</f>
        <v>ABERTO</v>
      </c>
      <c r="D222">
        <v>15</v>
      </c>
      <c r="E222" t="str">
        <f>VLOOKUP(A222,Plan1!$A$1:$G$718,5,0)</f>
        <v>CANCELAMENTO, INTERRUPÇÃO  E EXTENSÃO DE VIAGEM</v>
      </c>
      <c r="F222" s="11">
        <v>2153.46</v>
      </c>
      <c r="G222" s="11">
        <v>2153.46</v>
      </c>
      <c r="H222" t="s">
        <v>354</v>
      </c>
      <c r="I222" t="s">
        <v>357</v>
      </c>
    </row>
    <row r="223" spans="1:9" x14ac:dyDescent="0.35">
      <c r="A223">
        <v>239655742</v>
      </c>
      <c r="B223" t="str">
        <f>VLOOKUP(A223,Plan1!$A$1:$G$718,2,0)</f>
        <v>VIMTP08000859649</v>
      </c>
      <c r="C223" t="str">
        <f>VLOOKUP(A223,Plan1!$A$1:$G$718,3,0)</f>
        <v>ABERTO</v>
      </c>
      <c r="D223">
        <v>8</v>
      </c>
      <c r="E223" t="str">
        <f>VLOOKUP(A223,Plan1!$A$1:$G$718,5,0)</f>
        <v>DESPESAS MEDICAS, HOSPITALARES</v>
      </c>
      <c r="F223" s="11">
        <v>1082.31</v>
      </c>
      <c r="G223" s="11">
        <v>5213.91</v>
      </c>
      <c r="H223" t="s">
        <v>353</v>
      </c>
      <c r="I223" t="s">
        <v>355</v>
      </c>
    </row>
    <row r="224" spans="1:9" x14ac:dyDescent="0.35">
      <c r="A224">
        <v>239660731</v>
      </c>
      <c r="B224" t="str">
        <f>VLOOKUP(A224,Plan1!$A$1:$G$718,2,0)</f>
        <v>VIMTP41000827630</v>
      </c>
      <c r="C224" t="str">
        <f>VLOOKUP(A224,Plan1!$A$1:$G$718,3,0)</f>
        <v>ABERTO</v>
      </c>
      <c r="D224">
        <v>24</v>
      </c>
      <c r="E224" t="str">
        <f>VLOOKUP(A224,Plan1!$A$1:$G$718,5,0)</f>
        <v>DESPESAS FARMACEUTICAS</v>
      </c>
      <c r="F224" s="11">
        <v>164.27</v>
      </c>
      <c r="G224" s="11">
        <v>164.27</v>
      </c>
      <c r="H224" t="s">
        <v>354</v>
      </c>
      <c r="I224" t="s">
        <v>357</v>
      </c>
    </row>
    <row r="225" spans="1:9" x14ac:dyDescent="0.35">
      <c r="A225">
        <v>239653175</v>
      </c>
      <c r="B225" t="str">
        <f>VLOOKUP(A225,Plan1!$A$1:$G$718,2,0)</f>
        <v>VIMTP21000824311</v>
      </c>
      <c r="C225" t="str">
        <f>VLOOKUP(A225,Plan1!$A$1:$G$718,3,0)</f>
        <v>ABERTO</v>
      </c>
      <c r="D225">
        <v>24</v>
      </c>
      <c r="E225" t="str">
        <f>VLOOKUP(A225,Plan1!$A$1:$G$718,5,0)</f>
        <v>DESPESAS FARMACEUTICAS</v>
      </c>
      <c r="F225" s="11">
        <v>186.43</v>
      </c>
      <c r="G225" s="11">
        <v>186.43</v>
      </c>
      <c r="H225" t="s">
        <v>354</v>
      </c>
      <c r="I225" t="s">
        <v>357</v>
      </c>
    </row>
    <row r="226" spans="1:9" x14ac:dyDescent="0.35">
      <c r="A226">
        <v>239661511</v>
      </c>
      <c r="B226" t="str">
        <f>VLOOKUP(A226,Plan1!$A$1:$G$718,2,0)</f>
        <v>VIMTP19000874142</v>
      </c>
      <c r="C226" t="str">
        <f>VLOOKUP(A226,Plan1!$A$1:$G$718,3,0)</f>
        <v>ABERTO</v>
      </c>
      <c r="D226">
        <v>16</v>
      </c>
      <c r="E226" t="str">
        <f>VLOOKUP(A226,Plan1!$A$1:$G$718,5,0)</f>
        <v>DESPESAS MEDICAS, HOSPITALARES</v>
      </c>
      <c r="F226" s="11">
        <v>1449</v>
      </c>
      <c r="G226" s="11">
        <v>7552.77</v>
      </c>
      <c r="H226" t="s">
        <v>353</v>
      </c>
      <c r="I226" t="s">
        <v>355</v>
      </c>
    </row>
    <row r="227" spans="1:9" x14ac:dyDescent="0.35">
      <c r="A227">
        <v>239649253</v>
      </c>
      <c r="B227" t="str">
        <f>VLOOKUP(A227,Plan1!$A$1:$G$718,2,0)</f>
        <v>VIMTP08000847668</v>
      </c>
      <c r="C227" t="str">
        <f>VLOOKUP(A227,Plan1!$A$1:$G$718,3,0)</f>
        <v>ABERTO</v>
      </c>
      <c r="D227">
        <v>4</v>
      </c>
      <c r="E227" t="str">
        <f>VLOOKUP(A227,Plan1!$A$1:$G$718,5,0)</f>
        <v>DESPESAS MEDICAS, HOSPITALARES</v>
      </c>
      <c r="F227" s="11">
        <v>1039</v>
      </c>
      <c r="G227" s="11">
        <v>4702.0200000000004</v>
      </c>
      <c r="H227" t="s">
        <v>353</v>
      </c>
      <c r="I227" t="s">
        <v>355</v>
      </c>
    </row>
    <row r="228" spans="1:9" x14ac:dyDescent="0.35">
      <c r="A228">
        <v>239646102</v>
      </c>
      <c r="B228" t="str">
        <f>VLOOKUP(A228,Plan1!$A$1:$G$718,2,0)</f>
        <v>VIAGA54000848576</v>
      </c>
      <c r="C228" t="str">
        <f>VLOOKUP(A228,Plan1!$A$1:$G$718,3,0)</f>
        <v>ABERTO</v>
      </c>
      <c r="D228">
        <v>24</v>
      </c>
      <c r="E228" t="str">
        <f>VLOOKUP(A228,Plan1!$A$1:$G$718,5,0)</f>
        <v>DESPESAS MEDICAS, HOSPITALARES</v>
      </c>
      <c r="F228" s="11">
        <v>4208.8899999999994</v>
      </c>
      <c r="G228" s="11">
        <v>20430.89</v>
      </c>
      <c r="H228" t="s">
        <v>353</v>
      </c>
      <c r="I228" t="s">
        <v>355</v>
      </c>
    </row>
    <row r="229" spans="1:9" x14ac:dyDescent="0.35">
      <c r="A229">
        <v>239642931</v>
      </c>
      <c r="B229" t="str">
        <f>VLOOKUP(A229,Plan1!$A$1:$G$718,2,0)</f>
        <v>VIMTP08000880449</v>
      </c>
      <c r="C229" t="str">
        <f>VLOOKUP(A229,Plan1!$A$1:$G$718,3,0)</f>
        <v>ABERTO</v>
      </c>
      <c r="D229">
        <v>4</v>
      </c>
      <c r="E229" t="str">
        <f>VLOOKUP(A229,Plan1!$A$1:$G$718,5,0)</f>
        <v>DESPESAS MEDICAS, HOSPITALARES</v>
      </c>
      <c r="F229" s="11">
        <v>269</v>
      </c>
      <c r="G229" s="11">
        <v>1254.67</v>
      </c>
      <c r="H229" t="s">
        <v>353</v>
      </c>
      <c r="I229" t="s">
        <v>355</v>
      </c>
    </row>
    <row r="230" spans="1:9" x14ac:dyDescent="0.35">
      <c r="A230">
        <v>240915492</v>
      </c>
      <c r="B230" t="str">
        <f>VLOOKUP(A230,Plan1!$A$1:$G$718,2,0)</f>
        <v>VIMTP08000818618</v>
      </c>
      <c r="C230" t="str">
        <f>VLOOKUP(A230,Plan1!$A$1:$G$718,3,0)</f>
        <v>ABERTO</v>
      </c>
      <c r="D230">
        <v>16</v>
      </c>
      <c r="E230" t="str">
        <f>VLOOKUP(A230,Plan1!$A$1:$G$718,5,0)</f>
        <v>DESPESAS MEDICAS, HOSPITALARES</v>
      </c>
      <c r="F230" s="11">
        <v>1606.02</v>
      </c>
      <c r="G230" s="11">
        <v>7791.22</v>
      </c>
      <c r="H230" t="s">
        <v>353</v>
      </c>
      <c r="I230" t="s">
        <v>355</v>
      </c>
    </row>
    <row r="231" spans="1:9" x14ac:dyDescent="0.35">
      <c r="A231">
        <v>239645054</v>
      </c>
      <c r="B231" t="str">
        <f>VLOOKUP(A231,Plan1!$A$1:$G$718,2,0)</f>
        <v>VIMTP08000818619</v>
      </c>
      <c r="C231" t="str">
        <f>VLOOKUP(A231,Plan1!$A$1:$G$718,3,0)</f>
        <v>ABERTO</v>
      </c>
      <c r="D231">
        <v>16</v>
      </c>
      <c r="E231" t="str">
        <f>VLOOKUP(A231,Plan1!$A$1:$G$718,5,0)</f>
        <v>DESPESAS MEDICAS, HOSPITALARES</v>
      </c>
      <c r="F231" s="11">
        <v>1605.05</v>
      </c>
      <c r="G231" s="11">
        <v>7786.52</v>
      </c>
      <c r="H231" t="s">
        <v>353</v>
      </c>
      <c r="I231" t="s">
        <v>355</v>
      </c>
    </row>
    <row r="232" spans="1:9" x14ac:dyDescent="0.35">
      <c r="A232">
        <v>239644367</v>
      </c>
      <c r="B232" t="str">
        <f>VLOOKUP(A232,Plan1!$A$1:$G$718,2,0)</f>
        <v>VIMTP08000885373</v>
      </c>
      <c r="C232" t="str">
        <f>VLOOKUP(A232,Plan1!$A$1:$G$718,3,0)</f>
        <v>ABERTO</v>
      </c>
      <c r="D232">
        <v>8</v>
      </c>
      <c r="E232" t="str">
        <f>VLOOKUP(A232,Plan1!$A$1:$G$718,5,0)</f>
        <v>DESPESAS MEDICAS, HOSPITALARES</v>
      </c>
      <c r="F232" s="11">
        <v>48</v>
      </c>
      <c r="G232" s="11">
        <v>231.23999999999998</v>
      </c>
      <c r="H232" t="s">
        <v>353</v>
      </c>
      <c r="I232" t="s">
        <v>355</v>
      </c>
    </row>
    <row r="233" spans="1:9" x14ac:dyDescent="0.35">
      <c r="A233">
        <v>239657281</v>
      </c>
      <c r="B233" t="str">
        <f>VLOOKUP(A233,Plan1!$A$1:$G$718,2,0)</f>
        <v>VIMTP20000869415</v>
      </c>
      <c r="C233" t="str">
        <f>VLOOKUP(A233,Plan1!$A$1:$G$718,3,0)</f>
        <v>ABERTO</v>
      </c>
      <c r="D233">
        <v>12</v>
      </c>
      <c r="E233" t="str">
        <f>VLOOKUP(A233,Plan1!$A$1:$G$718,5,0)</f>
        <v>DESPESAS MEDICAS, HOSPITALARES</v>
      </c>
      <c r="F233" s="11">
        <v>1065</v>
      </c>
      <c r="G233" s="11">
        <v>6521.52</v>
      </c>
      <c r="H233" t="s">
        <v>353</v>
      </c>
      <c r="I233" t="s">
        <v>355</v>
      </c>
    </row>
    <row r="234" spans="1:9" x14ac:dyDescent="0.35">
      <c r="A234">
        <v>240503924</v>
      </c>
      <c r="B234" t="str">
        <f>VLOOKUP(A234,Plan1!$A$1:$G$718,2,0)</f>
        <v>VIMTP20000869415</v>
      </c>
      <c r="C234" t="str">
        <f>VLOOKUP(A234,Plan1!$A$1:$G$718,3,0)</f>
        <v>ABERTO</v>
      </c>
      <c r="D234">
        <v>25</v>
      </c>
      <c r="E234" t="str">
        <f>VLOOKUP(A234,Plan1!$A$1:$G$718,5,0)</f>
        <v>DESPESAS COM FISIOTERAPIA</v>
      </c>
      <c r="F234" s="11">
        <v>190</v>
      </c>
      <c r="G234" s="11">
        <v>1102.68</v>
      </c>
      <c r="H234" t="s">
        <v>353</v>
      </c>
      <c r="I234" t="s">
        <v>355</v>
      </c>
    </row>
    <row r="235" spans="1:9" x14ac:dyDescent="0.35">
      <c r="A235">
        <v>240915017</v>
      </c>
      <c r="B235" t="str">
        <f>VLOOKUP(A235,Plan1!$A$1:$G$718,2,0)</f>
        <v>VIMTP07000615398</v>
      </c>
      <c r="C235" t="str">
        <f>VLOOKUP(A235,Plan1!$A$1:$G$718,3,0)</f>
        <v>ABERTO</v>
      </c>
      <c r="D235">
        <v>24</v>
      </c>
      <c r="E235" t="str">
        <f>VLOOKUP(A235,Plan1!$A$1:$G$718,5,0)</f>
        <v>DESPESAS FARMACEUTICAS</v>
      </c>
      <c r="F235" s="11">
        <v>379.86</v>
      </c>
      <c r="G235" s="11">
        <v>379.86</v>
      </c>
      <c r="H235" t="s">
        <v>353</v>
      </c>
      <c r="I235" t="s">
        <v>355</v>
      </c>
    </row>
    <row r="236" spans="1:9" x14ac:dyDescent="0.35">
      <c r="A236">
        <v>239648625</v>
      </c>
      <c r="B236" t="str">
        <f>VLOOKUP(A236,Plan1!$A$1:$G$718,2,0)</f>
        <v>VIMTP08000789439</v>
      </c>
      <c r="C236" t="str">
        <f>VLOOKUP(A236,Plan1!$A$1:$G$718,3,0)</f>
        <v>ABERTO</v>
      </c>
      <c r="D236">
        <v>8</v>
      </c>
      <c r="E236" t="str">
        <f>VLOOKUP(A236,Plan1!$A$1:$G$718,5,0)</f>
        <v>DESPESAS MEDICAS, HOSPITALARES</v>
      </c>
      <c r="F236" s="11">
        <v>7669.3</v>
      </c>
      <c r="G236" s="11">
        <v>33883.909999999996</v>
      </c>
      <c r="H236" t="s">
        <v>353</v>
      </c>
      <c r="I236" t="s">
        <v>355</v>
      </c>
    </row>
    <row r="237" spans="1:9" x14ac:dyDescent="0.35">
      <c r="A237">
        <v>239645639</v>
      </c>
      <c r="B237" t="str">
        <f>VLOOKUP(A237,Plan1!$A$1:$G$718,2,0)</f>
        <v>VIMTP34000878577</v>
      </c>
      <c r="C237" t="str">
        <f>VLOOKUP(A237,Plan1!$A$1:$G$718,3,0)</f>
        <v>ABERTO</v>
      </c>
      <c r="D237">
        <v>8</v>
      </c>
      <c r="E237" t="str">
        <f>VLOOKUP(A237,Plan1!$A$1:$G$718,5,0)</f>
        <v>REGRESSO SANITARIO</v>
      </c>
      <c r="F237" s="11">
        <v>14282.53</v>
      </c>
      <c r="G237" s="11">
        <v>14282.53</v>
      </c>
      <c r="H237" t="s">
        <v>353</v>
      </c>
      <c r="I237" t="s">
        <v>355</v>
      </c>
    </row>
    <row r="238" spans="1:9" x14ac:dyDescent="0.35">
      <c r="A238">
        <v>239655928</v>
      </c>
      <c r="B238" t="str">
        <f>VLOOKUP(A238,Plan1!$A$1:$G$718,2,0)</f>
        <v>VIMTP34000878577</v>
      </c>
      <c r="C238" t="str">
        <f>VLOOKUP(A238,Plan1!$A$1:$G$718,3,0)</f>
        <v>ABERTO</v>
      </c>
      <c r="D238">
        <v>4</v>
      </c>
      <c r="E238" t="str">
        <f>VLOOKUP(A238,Plan1!$A$1:$G$718,5,0)</f>
        <v>DESPESAS MEDICAS, HOSPITALARES</v>
      </c>
      <c r="F238" s="11">
        <v>23190.14</v>
      </c>
      <c r="G238" s="11">
        <v>23190.14</v>
      </c>
      <c r="H238" t="s">
        <v>353</v>
      </c>
      <c r="I238" t="s">
        <v>355</v>
      </c>
    </row>
    <row r="239" spans="1:9" x14ac:dyDescent="0.35">
      <c r="A239">
        <v>239644158</v>
      </c>
      <c r="B239" t="str">
        <f>VLOOKUP(A239,Plan1!$A$1:$G$718,2,0)</f>
        <v>VIMTP34000878577</v>
      </c>
      <c r="C239" t="str">
        <f>VLOOKUP(A239,Plan1!$A$1:$G$718,3,0)</f>
        <v>ABERTO</v>
      </c>
      <c r="D239">
        <v>24</v>
      </c>
      <c r="E239" t="str">
        <f>VLOOKUP(A239,Plan1!$A$1:$G$718,5,0)</f>
        <v>DESPESAS FARMACEUTICAS</v>
      </c>
      <c r="F239" s="11">
        <v>455.48</v>
      </c>
      <c r="G239" s="11">
        <v>455.48</v>
      </c>
      <c r="H239" t="s">
        <v>353</v>
      </c>
      <c r="I239" t="s">
        <v>355</v>
      </c>
    </row>
    <row r="240" spans="1:9" x14ac:dyDescent="0.35">
      <c r="A240">
        <v>239662232</v>
      </c>
      <c r="B240" t="str">
        <f>VLOOKUP(A240,Plan1!$A$1:$G$718,2,0)</f>
        <v>VIMTP34000878577</v>
      </c>
      <c r="C240" t="str">
        <f>VLOOKUP(A240,Plan1!$A$1:$G$718,3,0)</f>
        <v>ABERTO</v>
      </c>
      <c r="D240">
        <v>26</v>
      </c>
      <c r="E240" t="str">
        <f>VLOOKUP(A240,Plan1!$A$1:$G$718,5,0)</f>
        <v>HOSPEDAGEM APOS ALTA HOSPITALAR</v>
      </c>
      <c r="F240" s="11">
        <v>2398.09</v>
      </c>
      <c r="G240" s="11">
        <v>2398.09</v>
      </c>
      <c r="H240" t="s">
        <v>353</v>
      </c>
      <c r="I240" t="s">
        <v>355</v>
      </c>
    </row>
    <row r="241" spans="1:9" x14ac:dyDescent="0.35">
      <c r="A241">
        <v>239639821</v>
      </c>
      <c r="B241" t="str">
        <f>VLOOKUP(A241,Plan1!$A$1:$G$718,2,0)</f>
        <v>VIMTP08000823893</v>
      </c>
      <c r="C241" t="str">
        <f>VLOOKUP(A241,Plan1!$A$1:$G$718,3,0)</f>
        <v>ABERTO</v>
      </c>
      <c r="D241">
        <v>4</v>
      </c>
      <c r="E241" t="str">
        <f>VLOOKUP(A241,Plan1!$A$1:$G$718,5,0)</f>
        <v>DESPESAS MEDICAS, HOSPITALARES</v>
      </c>
      <c r="F241" s="11">
        <v>627</v>
      </c>
      <c r="G241" s="11">
        <v>2923.34</v>
      </c>
      <c r="H241" t="s">
        <v>353</v>
      </c>
      <c r="I241" t="s">
        <v>355</v>
      </c>
    </row>
    <row r="242" spans="1:9" x14ac:dyDescent="0.35">
      <c r="A242">
        <v>239649175</v>
      </c>
      <c r="B242" t="str">
        <f>VLOOKUP(A242,Plan1!$A$1:$G$718,2,0)</f>
        <v>VIMTP19000859079</v>
      </c>
      <c r="C242" t="str">
        <f>VLOOKUP(A242,Plan1!$A$1:$G$718,3,0)</f>
        <v>ABERTO</v>
      </c>
      <c r="D242">
        <v>6</v>
      </c>
      <c r="E242" t="str">
        <f>VLOOKUP(A242,Plan1!$A$1:$G$718,5,0)</f>
        <v>DESPESAS ODONTOLOGICAS</v>
      </c>
      <c r="F242" s="11">
        <v>255</v>
      </c>
      <c r="G242" s="11">
        <v>1365.55</v>
      </c>
      <c r="H242" t="s">
        <v>353</v>
      </c>
      <c r="I242" t="s">
        <v>355</v>
      </c>
    </row>
    <row r="243" spans="1:9" x14ac:dyDescent="0.35">
      <c r="A243">
        <v>239651543</v>
      </c>
      <c r="B243" t="str">
        <f>VLOOKUP(A243,Plan1!$A$1:$G$718,2,0)</f>
        <v>VIMTP08000880615</v>
      </c>
      <c r="C243" t="str">
        <f>VLOOKUP(A243,Plan1!$A$1:$G$718,3,0)</f>
        <v>ABERTO</v>
      </c>
      <c r="D243">
        <v>4</v>
      </c>
      <c r="E243" t="str">
        <f>VLOOKUP(A243,Plan1!$A$1:$G$718,5,0)</f>
        <v>DESPESAS MEDICAS, HOSPITALARES</v>
      </c>
      <c r="F243" s="11">
        <v>418</v>
      </c>
      <c r="G243" s="11">
        <v>1984.15</v>
      </c>
      <c r="H243" t="s">
        <v>353</v>
      </c>
      <c r="I243" t="s">
        <v>355</v>
      </c>
    </row>
    <row r="244" spans="1:9" x14ac:dyDescent="0.35">
      <c r="A244">
        <v>240888573</v>
      </c>
      <c r="B244" t="str">
        <f>VLOOKUP(A244,Plan1!$A$1:$G$718,2,0)</f>
        <v>VISUB05000548933</v>
      </c>
      <c r="C244" t="str">
        <f>VLOOKUP(A244,Plan1!$A$1:$G$718,3,0)</f>
        <v>ABERTO</v>
      </c>
      <c r="D244">
        <v>24</v>
      </c>
      <c r="E244" t="str">
        <f>VLOOKUP(A244,Plan1!$A$1:$G$718,5,0)</f>
        <v>DESPESAS FARMACEUTICAS</v>
      </c>
      <c r="F244" s="11">
        <v>376.48</v>
      </c>
      <c r="G244" s="11">
        <v>376.48</v>
      </c>
      <c r="H244" t="s">
        <v>353</v>
      </c>
      <c r="I244" t="s">
        <v>355</v>
      </c>
    </row>
    <row r="245" spans="1:9" x14ac:dyDescent="0.35">
      <c r="A245">
        <v>239650271</v>
      </c>
      <c r="B245" t="str">
        <f>VLOOKUP(A245,Plan1!$A$1:$G$718,2,0)</f>
        <v>VIMTP08000876098</v>
      </c>
      <c r="C245" t="str">
        <f>VLOOKUP(A245,Plan1!$A$1:$G$718,3,0)</f>
        <v>ABERTO</v>
      </c>
      <c r="D245">
        <v>4</v>
      </c>
      <c r="E245" t="str">
        <f>VLOOKUP(A245,Plan1!$A$1:$G$718,5,0)</f>
        <v>DESPESAS MEDICAS, HOSPITALARES</v>
      </c>
      <c r="F245" s="11">
        <v>5342.39</v>
      </c>
      <c r="G245" s="11">
        <v>5342.39</v>
      </c>
      <c r="H245" t="s">
        <v>353</v>
      </c>
      <c r="I245" t="s">
        <v>355</v>
      </c>
    </row>
    <row r="246" spans="1:9" x14ac:dyDescent="0.35">
      <c r="A246">
        <v>239659352</v>
      </c>
      <c r="B246" t="str">
        <f>VLOOKUP(A246,Plan1!$A$1:$G$718,2,0)</f>
        <v>VIMTP08000876098</v>
      </c>
      <c r="C246" t="str">
        <f>VLOOKUP(A246,Plan1!$A$1:$G$718,3,0)</f>
        <v>ABERTO</v>
      </c>
      <c r="D246">
        <v>24</v>
      </c>
      <c r="E246" t="str">
        <f>VLOOKUP(A246,Plan1!$A$1:$G$718,5,0)</f>
        <v>DESPESAS FARMACEUTICAS</v>
      </c>
      <c r="F246" s="11">
        <v>334.86</v>
      </c>
      <c r="G246" s="11">
        <v>334.86</v>
      </c>
      <c r="H246" t="s">
        <v>353</v>
      </c>
      <c r="I246" t="s">
        <v>355</v>
      </c>
    </row>
    <row r="247" spans="1:9" x14ac:dyDescent="0.35">
      <c r="A247">
        <v>239644937</v>
      </c>
      <c r="B247" t="str">
        <f>VLOOKUP(A247,Plan1!$A$1:$G$718,2,0)</f>
        <v>VIMTP08000849511</v>
      </c>
      <c r="C247" t="str">
        <f>VLOOKUP(A247,Plan1!$A$1:$G$718,3,0)</f>
        <v>ABERTO</v>
      </c>
      <c r="D247">
        <v>8</v>
      </c>
      <c r="E247" t="str">
        <f>VLOOKUP(A247,Plan1!$A$1:$G$718,5,0)</f>
        <v>DESPESAS MEDICAS, HOSPITALARES</v>
      </c>
      <c r="F247" s="11">
        <v>4627.41</v>
      </c>
      <c r="G247" s="11">
        <v>21116.82</v>
      </c>
      <c r="H247" t="s">
        <v>353</v>
      </c>
      <c r="I247" t="s">
        <v>355</v>
      </c>
    </row>
    <row r="248" spans="1:9" x14ac:dyDescent="0.35">
      <c r="A248">
        <v>239647085</v>
      </c>
      <c r="B248" t="str">
        <f>VLOOKUP(A248,Plan1!$A$1:$G$718,2,0)</f>
        <v>VIAGA67000880541</v>
      </c>
      <c r="C248" t="str">
        <f>VLOOKUP(A248,Plan1!$A$1:$G$718,3,0)</f>
        <v>ABERTO</v>
      </c>
      <c r="D248">
        <v>12</v>
      </c>
      <c r="E248" t="str">
        <f>VLOOKUP(A248,Plan1!$A$1:$G$718,5,0)</f>
        <v>DESPESAS MEDICAS, HOSPITALARES</v>
      </c>
      <c r="F248" s="11">
        <v>4499.0600000000004</v>
      </c>
      <c r="G248" s="11">
        <v>4499.0600000000004</v>
      </c>
      <c r="H248" t="s">
        <v>353</v>
      </c>
      <c r="I248" t="s">
        <v>355</v>
      </c>
    </row>
    <row r="249" spans="1:9" x14ac:dyDescent="0.35">
      <c r="A249">
        <v>239642661</v>
      </c>
      <c r="B249" t="str">
        <f>VLOOKUP(A249,Plan1!$A$1:$G$718,2,0)</f>
        <v>VIMTP08000881644</v>
      </c>
      <c r="C249" t="str">
        <f>VLOOKUP(A249,Plan1!$A$1:$G$718,3,0)</f>
        <v>ABERTO</v>
      </c>
      <c r="D249">
        <v>8</v>
      </c>
      <c r="E249" t="str">
        <f>VLOOKUP(A249,Plan1!$A$1:$G$718,5,0)</f>
        <v>DESPESAS MEDICAS, HOSPITALARES</v>
      </c>
      <c r="F249" s="11">
        <v>914.73</v>
      </c>
      <c r="G249" s="11">
        <v>4416.38</v>
      </c>
      <c r="H249" t="s">
        <v>353</v>
      </c>
      <c r="I249" t="s">
        <v>355</v>
      </c>
    </row>
    <row r="250" spans="1:9" x14ac:dyDescent="0.35">
      <c r="A250">
        <v>239651826</v>
      </c>
      <c r="B250" t="str">
        <f>VLOOKUP(A250,Plan1!$A$1:$G$718,2,0)</f>
        <v>VIMTP33000738959</v>
      </c>
      <c r="C250" t="str">
        <f>VLOOKUP(A250,Plan1!$A$1:$G$718,3,0)</f>
        <v>ABERTO</v>
      </c>
      <c r="D250">
        <v>8</v>
      </c>
      <c r="E250" t="str">
        <f>VLOOKUP(A250,Plan1!$A$1:$G$718,5,0)</f>
        <v>DESPESAS MEDICAS, HOSPITALARES</v>
      </c>
      <c r="F250" s="11">
        <v>2930.02</v>
      </c>
      <c r="G250" s="11">
        <v>14146.39</v>
      </c>
      <c r="H250" t="s">
        <v>353</v>
      </c>
      <c r="I250" t="s">
        <v>355</v>
      </c>
    </row>
    <row r="251" spans="1:9" x14ac:dyDescent="0.35">
      <c r="A251">
        <v>239651446</v>
      </c>
      <c r="B251" t="str">
        <f>VLOOKUP(A251,Plan1!$A$1:$G$718,2,0)</f>
        <v>VIMTP19000867683</v>
      </c>
      <c r="C251" t="str">
        <f>VLOOKUP(A251,Plan1!$A$1:$G$718,3,0)</f>
        <v>ABERTO</v>
      </c>
      <c r="D251">
        <v>6</v>
      </c>
      <c r="E251" t="str">
        <f>VLOOKUP(A251,Plan1!$A$1:$G$718,5,0)</f>
        <v>DESPESAS ODONTOLOGICAS</v>
      </c>
      <c r="F251" s="11">
        <v>244</v>
      </c>
      <c r="G251" s="11">
        <v>1485.31</v>
      </c>
      <c r="H251" t="s">
        <v>353</v>
      </c>
      <c r="I251" t="s">
        <v>355</v>
      </c>
    </row>
    <row r="252" spans="1:9" x14ac:dyDescent="0.35">
      <c r="A252">
        <v>239658101</v>
      </c>
      <c r="B252" t="str">
        <f>VLOOKUP(A252,Plan1!$A$1:$G$718,2,0)</f>
        <v>VIAGA52000835995</v>
      </c>
      <c r="C252" t="str">
        <f>VLOOKUP(A252,Plan1!$A$1:$G$718,3,0)</f>
        <v>ABERTO</v>
      </c>
      <c r="D252">
        <v>6</v>
      </c>
      <c r="E252" t="str">
        <f>VLOOKUP(A252,Plan1!$A$1:$G$718,5,0)</f>
        <v>DESPESAS ODONTOLOGICAS</v>
      </c>
      <c r="F252" s="11">
        <v>221</v>
      </c>
      <c r="G252" s="11">
        <v>1063.31</v>
      </c>
      <c r="H252" t="s">
        <v>354</v>
      </c>
      <c r="I252" t="s">
        <v>357</v>
      </c>
    </row>
    <row r="253" spans="1:9" x14ac:dyDescent="0.35">
      <c r="A253">
        <v>239643802</v>
      </c>
      <c r="B253" t="str">
        <f>VLOOKUP(A253,Plan1!$A$1:$G$718,2,0)</f>
        <v>VIMTP12000887425</v>
      </c>
      <c r="C253" t="str">
        <f>VLOOKUP(A253,Plan1!$A$1:$G$718,3,0)</f>
        <v>ABERTO</v>
      </c>
      <c r="D253">
        <v>4</v>
      </c>
      <c r="E253" t="str">
        <f>VLOOKUP(A253,Plan1!$A$1:$G$718,5,0)</f>
        <v>DESPESAS MEDICAS, HOSPITALARES</v>
      </c>
      <c r="F253" s="11">
        <v>1487.04</v>
      </c>
      <c r="G253" s="11">
        <v>7985.97</v>
      </c>
      <c r="H253" t="s">
        <v>353</v>
      </c>
      <c r="I253" t="s">
        <v>355</v>
      </c>
    </row>
    <row r="254" spans="1:9" x14ac:dyDescent="0.35">
      <c r="A254">
        <v>239654700</v>
      </c>
      <c r="B254" t="str">
        <f>VLOOKUP(A254,Plan1!$A$1:$G$718,2,0)</f>
        <v>VIMTP12000887424</v>
      </c>
      <c r="C254" t="str">
        <f>VLOOKUP(A254,Plan1!$A$1:$G$718,3,0)</f>
        <v>ABERTO</v>
      </c>
      <c r="D254">
        <v>4</v>
      </c>
      <c r="E254" t="str">
        <f>VLOOKUP(A254,Plan1!$A$1:$G$718,5,0)</f>
        <v>DESPESAS MEDICAS, HOSPITALARES</v>
      </c>
      <c r="F254" s="11">
        <v>960.36</v>
      </c>
      <c r="G254" s="11">
        <v>5157.51</v>
      </c>
      <c r="H254" t="s">
        <v>353</v>
      </c>
      <c r="I254" t="s">
        <v>355</v>
      </c>
    </row>
    <row r="255" spans="1:9" x14ac:dyDescent="0.35">
      <c r="A255">
        <v>240888651</v>
      </c>
      <c r="B255" t="str">
        <f>VLOOKUP(A255,Plan1!$A$1:$G$718,2,0)</f>
        <v>VIMTP08000590442</v>
      </c>
      <c r="C255" t="str">
        <f>VLOOKUP(A255,Plan1!$A$1:$G$718,3,0)</f>
        <v>ABERTO</v>
      </c>
      <c r="D255">
        <v>8</v>
      </c>
      <c r="E255" t="str">
        <f>VLOOKUP(A255,Plan1!$A$1:$G$718,5,0)</f>
        <v>DESPESAS MEDICAS, HOSPITALARES</v>
      </c>
      <c r="F255" s="11">
        <v>865</v>
      </c>
      <c r="G255" s="11">
        <v>3952.5</v>
      </c>
      <c r="H255" t="s">
        <v>353</v>
      </c>
      <c r="I255" t="s">
        <v>355</v>
      </c>
    </row>
    <row r="256" spans="1:9" x14ac:dyDescent="0.35">
      <c r="A256">
        <v>239649667</v>
      </c>
      <c r="B256" t="str">
        <f>VLOOKUP(A256,Plan1!$A$1:$G$718,2,0)</f>
        <v>VIAGA54000815099</v>
      </c>
      <c r="C256" t="str">
        <f>VLOOKUP(A256,Plan1!$A$1:$G$718,3,0)</f>
        <v>ABERTO</v>
      </c>
      <c r="D256">
        <v>16</v>
      </c>
      <c r="E256" t="str">
        <f>VLOOKUP(A256,Plan1!$A$1:$G$718,5,0)</f>
        <v>DESPESAS MEDICAS, HOSPITALARES</v>
      </c>
      <c r="F256" s="11">
        <v>1375.56</v>
      </c>
      <c r="G256" s="11">
        <v>6677.3</v>
      </c>
      <c r="H256" t="s">
        <v>353</v>
      </c>
      <c r="I256" t="s">
        <v>355</v>
      </c>
    </row>
    <row r="257" spans="1:9" x14ac:dyDescent="0.35">
      <c r="A257">
        <v>239639777</v>
      </c>
      <c r="B257" t="str">
        <f>VLOOKUP(A257,Plan1!$A$1:$G$718,2,0)</f>
        <v>VIMTP16000832192</v>
      </c>
      <c r="C257" t="str">
        <f>VLOOKUP(A257,Plan1!$A$1:$G$718,3,0)</f>
        <v>ABERTO</v>
      </c>
      <c r="D257">
        <v>8</v>
      </c>
      <c r="E257" t="str">
        <f>VLOOKUP(A257,Plan1!$A$1:$G$718,5,0)</f>
        <v>DESPESAS MEDICAS, HOSPITALARES</v>
      </c>
      <c r="F257" s="11">
        <v>997.55</v>
      </c>
      <c r="G257" s="11">
        <v>5357.21</v>
      </c>
      <c r="H257" t="s">
        <v>353</v>
      </c>
      <c r="I257" t="s">
        <v>355</v>
      </c>
    </row>
    <row r="258" spans="1:9" x14ac:dyDescent="0.35">
      <c r="A258">
        <v>239715691</v>
      </c>
      <c r="B258" t="str">
        <f>VLOOKUP(A258,Plan1!$A$1:$G$718,2,0)</f>
        <v>VIMTP19000888363</v>
      </c>
      <c r="C258" t="str">
        <f>VLOOKUP(A258,Plan1!$A$1:$G$718,3,0)</f>
        <v>ABERTO</v>
      </c>
      <c r="D258">
        <v>4</v>
      </c>
      <c r="E258" t="str">
        <f>VLOOKUP(A258,Plan1!$A$1:$G$718,5,0)</f>
        <v>DESPESAS MEDICAS, HOSPITALARES</v>
      </c>
      <c r="F258" s="11">
        <v>812.99</v>
      </c>
      <c r="G258" s="11">
        <v>4366.0600000000004</v>
      </c>
      <c r="H258" t="s">
        <v>353</v>
      </c>
      <c r="I258" t="s">
        <v>355</v>
      </c>
    </row>
    <row r="259" spans="1:9" x14ac:dyDescent="0.35">
      <c r="A259">
        <v>239715989</v>
      </c>
      <c r="B259" t="str">
        <f>VLOOKUP(A259,Plan1!$A$1:$G$718,2,0)</f>
        <v>VIMTP19000888364</v>
      </c>
      <c r="C259" t="str">
        <f>VLOOKUP(A259,Plan1!$A$1:$G$718,3,0)</f>
        <v>ABERTO</v>
      </c>
      <c r="D259">
        <v>4</v>
      </c>
      <c r="E259" t="str">
        <f>VLOOKUP(A259,Plan1!$A$1:$G$718,5,0)</f>
        <v>DESPESAS MEDICAS, HOSPITALARES</v>
      </c>
      <c r="F259" s="11">
        <v>845.19</v>
      </c>
      <c r="G259" s="11">
        <v>4538.99</v>
      </c>
      <c r="H259" t="s">
        <v>353</v>
      </c>
      <c r="I259" t="s">
        <v>355</v>
      </c>
    </row>
    <row r="260" spans="1:9" x14ac:dyDescent="0.35">
      <c r="A260">
        <v>239650949</v>
      </c>
      <c r="B260" t="str">
        <f>VLOOKUP(A260,Plan1!$A$1:$G$718,2,0)</f>
        <v>VIAGA68000815898</v>
      </c>
      <c r="C260" t="str">
        <f>VLOOKUP(A260,Plan1!$A$1:$G$718,3,0)</f>
        <v>ABERTO</v>
      </c>
      <c r="D260">
        <v>12</v>
      </c>
      <c r="E260" t="str">
        <f>VLOOKUP(A260,Plan1!$A$1:$G$718,5,0)</f>
        <v>DESPESAS MEDICAS, HOSPITALARES</v>
      </c>
      <c r="F260" s="11">
        <v>13296.56</v>
      </c>
      <c r="G260" s="11">
        <v>69230.429999999993</v>
      </c>
      <c r="H260" t="s">
        <v>353</v>
      </c>
      <c r="I260" t="s">
        <v>355</v>
      </c>
    </row>
    <row r="261" spans="1:9" x14ac:dyDescent="0.35">
      <c r="A261">
        <v>239652473</v>
      </c>
      <c r="B261" t="str">
        <f>VLOOKUP(A261,Plan1!$A$1:$G$718,2,0)</f>
        <v>VIAGA68000815898</v>
      </c>
      <c r="C261" t="str">
        <f>VLOOKUP(A261,Plan1!$A$1:$G$718,3,0)</f>
        <v>ABERTO</v>
      </c>
      <c r="D261">
        <v>19</v>
      </c>
      <c r="E261" t="str">
        <f>VLOOKUP(A261,Plan1!$A$1:$G$718,5,0)</f>
        <v>REGRESSO ANTECIPADO DO SEGURADO</v>
      </c>
      <c r="F261" s="11">
        <v>4115.79</v>
      </c>
      <c r="G261" s="11">
        <v>4115.79</v>
      </c>
      <c r="H261" t="s">
        <v>354</v>
      </c>
      <c r="I261" t="s">
        <v>357</v>
      </c>
    </row>
    <row r="262" spans="1:9" x14ac:dyDescent="0.35">
      <c r="A262">
        <v>239651300</v>
      </c>
      <c r="B262" t="str">
        <f>VLOOKUP(A262,Plan1!$A$1:$G$718,2,0)</f>
        <v>VIAGA68000815898</v>
      </c>
      <c r="C262" t="str">
        <f>VLOOKUP(A262,Plan1!$A$1:$G$718,3,0)</f>
        <v>ABERTO</v>
      </c>
      <c r="D262">
        <v>24</v>
      </c>
      <c r="E262" t="str">
        <f>VLOOKUP(A262,Plan1!$A$1:$G$718,5,0)</f>
        <v>DESPESAS FARMACEUTICAS</v>
      </c>
      <c r="F262" s="11">
        <v>201.02</v>
      </c>
      <c r="G262" s="11">
        <v>201.02</v>
      </c>
      <c r="H262" t="s">
        <v>353</v>
      </c>
      <c r="I262" t="s">
        <v>355</v>
      </c>
    </row>
    <row r="263" spans="1:9" x14ac:dyDescent="0.35">
      <c r="A263">
        <v>239658521</v>
      </c>
      <c r="B263" t="str">
        <f>VLOOKUP(A263,Plan1!$A$1:$G$718,2,0)</f>
        <v>VIAGA60000878200</v>
      </c>
      <c r="C263" t="str">
        <f>VLOOKUP(A263,Plan1!$A$1:$G$718,3,0)</f>
        <v>ABERTO</v>
      </c>
      <c r="D263">
        <v>4</v>
      </c>
      <c r="E263" t="str">
        <f>VLOOKUP(A263,Plan1!$A$1:$G$718,5,0)</f>
        <v>DESPESAS MEDICAS, HOSPITALARES</v>
      </c>
      <c r="F263" s="11">
        <v>639.64</v>
      </c>
      <c r="G263" s="11">
        <v>3425.32</v>
      </c>
      <c r="H263" t="s">
        <v>353</v>
      </c>
      <c r="I263" t="s">
        <v>355</v>
      </c>
    </row>
    <row r="264" spans="1:9" x14ac:dyDescent="0.35">
      <c r="A264">
        <v>239660273</v>
      </c>
      <c r="B264" t="str">
        <f>VLOOKUP(A264,Plan1!$A$1:$G$718,2,0)</f>
        <v>VIAGA15000855119</v>
      </c>
      <c r="C264" t="str">
        <f>VLOOKUP(A264,Plan1!$A$1:$G$718,3,0)</f>
        <v>ABERTO</v>
      </c>
      <c r="D264">
        <v>4</v>
      </c>
      <c r="E264" t="str">
        <f>VLOOKUP(A264,Plan1!$A$1:$G$718,5,0)</f>
        <v>DESPESAS MEDICAS, HOSPITALARES</v>
      </c>
      <c r="F264" s="11">
        <v>3024.55</v>
      </c>
      <c r="G264" s="11">
        <v>3024.55</v>
      </c>
      <c r="H264" t="s">
        <v>353</v>
      </c>
      <c r="I264" t="s">
        <v>355</v>
      </c>
    </row>
    <row r="265" spans="1:9" x14ac:dyDescent="0.35">
      <c r="A265">
        <v>239657526</v>
      </c>
      <c r="B265" t="str">
        <f>VLOOKUP(A265,Plan1!$A$1:$G$718,2,0)</f>
        <v>VIMTP08000834613</v>
      </c>
      <c r="C265" t="str">
        <f>VLOOKUP(A265,Plan1!$A$1:$G$718,3,0)</f>
        <v>ABERTO</v>
      </c>
      <c r="D265">
        <v>16</v>
      </c>
      <c r="E265" t="str">
        <f>VLOOKUP(A265,Plan1!$A$1:$G$718,5,0)</f>
        <v>DESPESAS MEDICAS, HOSPITALARES</v>
      </c>
      <c r="F265" s="11">
        <v>2254.2600000000002</v>
      </c>
      <c r="G265" s="11">
        <v>10883.76</v>
      </c>
      <c r="H265" t="s">
        <v>353</v>
      </c>
      <c r="I265" t="s">
        <v>355</v>
      </c>
    </row>
    <row r="266" spans="1:9" x14ac:dyDescent="0.35">
      <c r="A266">
        <v>239642429</v>
      </c>
      <c r="B266" t="str">
        <f>VLOOKUP(A266,Plan1!$A$1:$G$718,2,0)</f>
        <v>VIMTP08000834614</v>
      </c>
      <c r="C266" t="str">
        <f>VLOOKUP(A266,Plan1!$A$1:$G$718,3,0)</f>
        <v>ABERTO</v>
      </c>
      <c r="D266">
        <v>16</v>
      </c>
      <c r="E266" t="str">
        <f>VLOOKUP(A266,Plan1!$A$1:$G$718,5,0)</f>
        <v>DESPESAS MEDICAS, HOSPITALARES</v>
      </c>
      <c r="F266" s="11">
        <v>1989.81</v>
      </c>
      <c r="G266" s="11">
        <v>9536.9</v>
      </c>
      <c r="H266" t="s">
        <v>353</v>
      </c>
      <c r="I266" t="s">
        <v>355</v>
      </c>
    </row>
    <row r="267" spans="1:9" x14ac:dyDescent="0.35">
      <c r="A267">
        <v>239642171</v>
      </c>
      <c r="B267" t="str">
        <f>VLOOKUP(A267,Plan1!$A$1:$G$718,2,0)</f>
        <v>VIMTP33000802418</v>
      </c>
      <c r="C267" t="str">
        <f>VLOOKUP(A267,Plan1!$A$1:$G$718,3,0)</f>
        <v>ABERTO</v>
      </c>
      <c r="D267">
        <v>8</v>
      </c>
      <c r="E267" t="str">
        <f>VLOOKUP(A267,Plan1!$A$1:$G$718,5,0)</f>
        <v>DESPESAS MEDICAS, HOSPITALARES</v>
      </c>
      <c r="F267" s="11">
        <v>1320.29</v>
      </c>
      <c r="G267" s="11">
        <v>6374.48</v>
      </c>
      <c r="H267" t="s">
        <v>353</v>
      </c>
      <c r="I267" t="s">
        <v>355</v>
      </c>
    </row>
    <row r="268" spans="1:9" x14ac:dyDescent="0.35">
      <c r="A268">
        <v>239645206</v>
      </c>
      <c r="B268" t="str">
        <f>VLOOKUP(A268,Plan1!$A$1:$G$718,2,0)</f>
        <v>VIMTP08000910654</v>
      </c>
      <c r="C268" t="str">
        <f>VLOOKUP(A268,Plan1!$A$1:$G$718,3,0)</f>
        <v>ABERTO</v>
      </c>
      <c r="D268">
        <v>8</v>
      </c>
      <c r="E268" t="str">
        <f>VLOOKUP(A268,Plan1!$A$1:$G$718,5,0)</f>
        <v>DESPESAS MEDICAS, HOSPITALARES</v>
      </c>
      <c r="F268" s="11">
        <v>1481.79</v>
      </c>
      <c r="G268" s="11">
        <v>7154.21</v>
      </c>
      <c r="H268" t="s">
        <v>353</v>
      </c>
      <c r="I268" t="s">
        <v>355</v>
      </c>
    </row>
    <row r="269" spans="1:9" x14ac:dyDescent="0.35">
      <c r="A269">
        <v>239650233</v>
      </c>
      <c r="B269" t="str">
        <f>VLOOKUP(A269,Plan1!$A$1:$G$718,2,0)</f>
        <v>VIAGA52000845626</v>
      </c>
      <c r="C269" t="str">
        <f>VLOOKUP(A269,Plan1!$A$1:$G$718,3,0)</f>
        <v>ABERTO</v>
      </c>
      <c r="D269">
        <v>6</v>
      </c>
      <c r="E269" t="str">
        <f>VLOOKUP(A269,Plan1!$A$1:$G$718,5,0)</f>
        <v>DESPESAS ODONTOLOGICAS</v>
      </c>
      <c r="F269" s="11">
        <v>426</v>
      </c>
      <c r="G269" s="11">
        <v>1946.54</v>
      </c>
      <c r="H269" t="s">
        <v>353</v>
      </c>
      <c r="I269" t="s">
        <v>355</v>
      </c>
    </row>
    <row r="270" spans="1:9" x14ac:dyDescent="0.35">
      <c r="A270">
        <v>239660503</v>
      </c>
      <c r="B270" t="str">
        <f>VLOOKUP(A270,Plan1!$A$1:$G$718,2,0)</f>
        <v>VIMTP33000829181</v>
      </c>
      <c r="C270" t="str">
        <f>VLOOKUP(A270,Plan1!$A$1:$G$718,3,0)</f>
        <v>ABERTO</v>
      </c>
      <c r="D270">
        <v>16</v>
      </c>
      <c r="E270" t="str">
        <f>VLOOKUP(A270,Plan1!$A$1:$G$718,5,0)</f>
        <v>DESPESAS MEDICAS, HOSPITALARES</v>
      </c>
      <c r="F270" s="11">
        <v>1683.3600000000001</v>
      </c>
      <c r="G270" s="11">
        <v>8023.98</v>
      </c>
      <c r="H270" t="s">
        <v>353</v>
      </c>
      <c r="I270" t="s">
        <v>355</v>
      </c>
    </row>
    <row r="271" spans="1:9" x14ac:dyDescent="0.35">
      <c r="A271">
        <v>239650404</v>
      </c>
      <c r="B271" t="str">
        <f>VLOOKUP(A271,Plan1!$A$1:$G$718,2,0)</f>
        <v>VIMTP08000825049</v>
      </c>
      <c r="C271" t="str">
        <f>VLOOKUP(A271,Plan1!$A$1:$G$718,3,0)</f>
        <v>ABERTO</v>
      </c>
      <c r="D271">
        <v>16</v>
      </c>
      <c r="E271" t="str">
        <f>VLOOKUP(A271,Plan1!$A$1:$G$718,5,0)</f>
        <v>DESPESAS MEDICAS, HOSPITALARES</v>
      </c>
      <c r="F271" s="11">
        <v>1297.29</v>
      </c>
      <c r="G271" s="11">
        <v>6252.49</v>
      </c>
      <c r="H271" t="s">
        <v>353</v>
      </c>
      <c r="I271" t="s">
        <v>355</v>
      </c>
    </row>
    <row r="272" spans="1:9" x14ac:dyDescent="0.35">
      <c r="A272">
        <v>239659301</v>
      </c>
      <c r="B272" t="str">
        <f>VLOOKUP(A272,Plan1!$A$1:$G$718,2,0)</f>
        <v>VIMTP11000911365</v>
      </c>
      <c r="C272" t="str">
        <f>VLOOKUP(A272,Plan1!$A$1:$G$718,3,0)</f>
        <v>ABERTO</v>
      </c>
      <c r="D272">
        <v>4</v>
      </c>
      <c r="E272" t="str">
        <f>VLOOKUP(A272,Plan1!$A$1:$G$718,5,0)</f>
        <v>DESPESAS MEDICAS, HOSPITALARES</v>
      </c>
      <c r="F272" s="11">
        <v>842.64</v>
      </c>
      <c r="G272" s="11">
        <v>4525.28</v>
      </c>
      <c r="H272" t="s">
        <v>353</v>
      </c>
      <c r="I272" t="s">
        <v>355</v>
      </c>
    </row>
    <row r="273" spans="1:9" x14ac:dyDescent="0.35">
      <c r="A273">
        <v>239650569</v>
      </c>
      <c r="B273" t="str">
        <f>VLOOKUP(A273,Plan1!$A$1:$G$718,2,0)</f>
        <v>VIMTP08000886233</v>
      </c>
      <c r="C273" t="str">
        <f>VLOOKUP(A273,Plan1!$A$1:$G$718,3,0)</f>
        <v>ABERTO</v>
      </c>
      <c r="D273">
        <v>12</v>
      </c>
      <c r="E273" t="str">
        <f>VLOOKUP(A273,Plan1!$A$1:$G$718,5,0)</f>
        <v>DESPESAS MEDICAS, HOSPITALARES</v>
      </c>
      <c r="F273" s="11">
        <v>939.33999999999992</v>
      </c>
      <c r="G273" s="11">
        <v>4535.22</v>
      </c>
      <c r="H273" t="s">
        <v>353</v>
      </c>
      <c r="I273" t="s">
        <v>355</v>
      </c>
    </row>
    <row r="274" spans="1:9" x14ac:dyDescent="0.35">
      <c r="A274">
        <v>239646461</v>
      </c>
      <c r="B274" t="str">
        <f>VLOOKUP(A274,Plan1!$A$1:$G$718,2,0)</f>
        <v>VIAGA68000794900</v>
      </c>
      <c r="C274" t="str">
        <f>VLOOKUP(A274,Plan1!$A$1:$G$718,3,0)</f>
        <v>ABERTO</v>
      </c>
      <c r="D274">
        <v>8</v>
      </c>
      <c r="E274" t="str">
        <f>VLOOKUP(A274,Plan1!$A$1:$G$718,5,0)</f>
        <v>DESPESAS MEDICAS, HOSPITALARES</v>
      </c>
      <c r="F274" s="11">
        <v>838.99</v>
      </c>
      <c r="G274" s="11">
        <v>4494.8100000000004</v>
      </c>
      <c r="H274" t="s">
        <v>353</v>
      </c>
      <c r="I274" t="s">
        <v>355</v>
      </c>
    </row>
    <row r="275" spans="1:9" x14ac:dyDescent="0.35">
      <c r="A275">
        <v>240888351</v>
      </c>
      <c r="B275" t="str">
        <f>VLOOKUP(A275,Plan1!$A$1:$G$718,2,0)</f>
        <v>VIAGA52000645000</v>
      </c>
      <c r="C275" t="str">
        <f>VLOOKUP(A275,Plan1!$A$1:$G$718,3,0)</f>
        <v>ABERTO</v>
      </c>
      <c r="D275">
        <v>16</v>
      </c>
      <c r="E275" t="str">
        <f>VLOOKUP(A275,Plan1!$A$1:$G$718,5,0)</f>
        <v>DESPESAS MEDICAS, HOSPITALARES</v>
      </c>
      <c r="F275" s="11">
        <v>1752.1399999999999</v>
      </c>
      <c r="G275" s="11">
        <v>8279.89</v>
      </c>
      <c r="H275" t="s">
        <v>353</v>
      </c>
      <c r="I275" t="s">
        <v>355</v>
      </c>
    </row>
    <row r="276" spans="1:9" x14ac:dyDescent="0.35">
      <c r="A276">
        <v>239641195</v>
      </c>
      <c r="B276" t="str">
        <f>VLOOKUP(A276,Plan1!$A$1:$G$718,2,0)</f>
        <v>VIMTP07000593017</v>
      </c>
      <c r="C276" t="str">
        <f>VLOOKUP(A276,Plan1!$A$1:$G$718,3,0)</f>
        <v>ABERTO</v>
      </c>
      <c r="D276">
        <v>10</v>
      </c>
      <c r="E276" t="str">
        <f>VLOOKUP(A276,Plan1!$A$1:$G$718,5,0)</f>
        <v>EXTRAVIO DE BAGAGEM</v>
      </c>
      <c r="F276" s="11">
        <v>1500</v>
      </c>
      <c r="G276" s="11">
        <v>1500</v>
      </c>
      <c r="H276" t="s">
        <v>354</v>
      </c>
      <c r="I276" t="s">
        <v>357</v>
      </c>
    </row>
    <row r="277" spans="1:9" x14ac:dyDescent="0.35">
      <c r="A277">
        <v>239651851</v>
      </c>
      <c r="B277" t="str">
        <f>VLOOKUP(A277,Plan1!$A$1:$G$718,2,0)</f>
        <v>VIAGA54000793611</v>
      </c>
      <c r="C277" t="str">
        <f>VLOOKUP(A277,Plan1!$A$1:$G$718,3,0)</f>
        <v>ABERTO</v>
      </c>
      <c r="D277">
        <v>19</v>
      </c>
      <c r="E277" t="str">
        <f>VLOOKUP(A277,Plan1!$A$1:$G$718,5,0)</f>
        <v>REGRESSO ANTECIPADO DO SEGURADO</v>
      </c>
      <c r="F277" s="11">
        <v>3286.5</v>
      </c>
      <c r="G277" s="11">
        <v>3286.5</v>
      </c>
      <c r="H277" t="s">
        <v>354</v>
      </c>
      <c r="I277" t="s">
        <v>357</v>
      </c>
    </row>
    <row r="278" spans="1:9" x14ac:dyDescent="0.35">
      <c r="A278">
        <v>239649194</v>
      </c>
      <c r="B278" t="str">
        <f>VLOOKUP(A278,Plan1!$A$1:$G$718,2,0)</f>
        <v>VIMTP19000797141</v>
      </c>
      <c r="C278" t="str">
        <f>VLOOKUP(A278,Plan1!$A$1:$G$718,3,0)</f>
        <v>ABERTO</v>
      </c>
      <c r="D278">
        <v>8</v>
      </c>
      <c r="E278" t="str">
        <f>VLOOKUP(A278,Plan1!$A$1:$G$718,5,0)</f>
        <v>DESPESAS MEDICAS, HOSPITALARES</v>
      </c>
      <c r="F278" s="11">
        <v>789.2</v>
      </c>
      <c r="G278" s="11">
        <v>4196.7299999999996</v>
      </c>
      <c r="H278" t="s">
        <v>353</v>
      </c>
      <c r="I278" t="s">
        <v>355</v>
      </c>
    </row>
    <row r="279" spans="1:9" x14ac:dyDescent="0.35">
      <c r="A279">
        <v>239656727</v>
      </c>
      <c r="B279" t="str">
        <f>VLOOKUP(A279,Plan1!$A$1:$G$718,2,0)</f>
        <v>VIMTP08000837400</v>
      </c>
      <c r="C279" t="str">
        <f>VLOOKUP(A279,Plan1!$A$1:$G$718,3,0)</f>
        <v>ABERTO</v>
      </c>
      <c r="D279">
        <v>16</v>
      </c>
      <c r="E279" t="str">
        <f>VLOOKUP(A279,Plan1!$A$1:$G$718,5,0)</f>
        <v>DESPESAS MEDICAS, HOSPITALARES</v>
      </c>
      <c r="F279" s="11">
        <v>1268.5899999999999</v>
      </c>
      <c r="G279" s="11">
        <v>5994.82</v>
      </c>
      <c r="H279" t="s">
        <v>353</v>
      </c>
      <c r="I279" t="s">
        <v>355</v>
      </c>
    </row>
    <row r="280" spans="1:9" x14ac:dyDescent="0.35">
      <c r="A280">
        <v>239658331</v>
      </c>
      <c r="B280" t="str">
        <f>VLOOKUP(A280,Plan1!$A$1:$G$718,2,0)</f>
        <v>VIMTP20000908478</v>
      </c>
      <c r="C280" t="str">
        <f>VLOOKUP(A280,Plan1!$A$1:$G$718,3,0)</f>
        <v>ABERTO</v>
      </c>
      <c r="D280">
        <v>4</v>
      </c>
      <c r="E280" t="str">
        <f>VLOOKUP(A280,Plan1!$A$1:$G$718,5,0)</f>
        <v>DESPESAS MEDICAS, HOSPITALARES</v>
      </c>
      <c r="F280" s="11">
        <v>1120.5</v>
      </c>
      <c r="G280" s="11">
        <v>5376.22</v>
      </c>
      <c r="H280" t="s">
        <v>353</v>
      </c>
      <c r="I280" t="s">
        <v>355</v>
      </c>
    </row>
    <row r="281" spans="1:9" x14ac:dyDescent="0.35">
      <c r="A281">
        <v>239641824</v>
      </c>
      <c r="B281" t="str">
        <f>VLOOKUP(A281,Plan1!$A$1:$G$718,2,0)</f>
        <v>VIMTP07000877433</v>
      </c>
      <c r="C281" t="str">
        <f>VLOOKUP(A281,Plan1!$A$1:$G$718,3,0)</f>
        <v>ABERTO</v>
      </c>
      <c r="D281">
        <v>16</v>
      </c>
      <c r="E281" t="str">
        <f>VLOOKUP(A281,Plan1!$A$1:$G$718,5,0)</f>
        <v>DESPESAS MEDICAS, HOSPITALARES</v>
      </c>
      <c r="F281" s="11">
        <v>949.94</v>
      </c>
      <c r="G281" s="11">
        <v>4489.0200000000004</v>
      </c>
      <c r="H281" t="s">
        <v>353</v>
      </c>
      <c r="I281" t="s">
        <v>355</v>
      </c>
    </row>
    <row r="282" spans="1:9" x14ac:dyDescent="0.35">
      <c r="A282">
        <v>240915971</v>
      </c>
      <c r="B282" t="str">
        <f>VLOOKUP(A282,Plan1!$A$1:$G$718,2,0)</f>
        <v>VIMTP33000918266</v>
      </c>
      <c r="C282" t="str">
        <f>VLOOKUP(A282,Plan1!$A$1:$G$718,3,0)</f>
        <v>ABERTO</v>
      </c>
      <c r="D282">
        <v>16</v>
      </c>
      <c r="E282" t="str">
        <f>VLOOKUP(A282,Plan1!$A$1:$G$718,5,0)</f>
        <v>DESPESAS MEDICAS, HOSPITALARES</v>
      </c>
      <c r="F282" s="11">
        <v>1903.79</v>
      </c>
      <c r="G282" s="11">
        <v>9037.34</v>
      </c>
      <c r="H282" t="s">
        <v>353</v>
      </c>
      <c r="I282" t="s">
        <v>355</v>
      </c>
    </row>
    <row r="283" spans="1:9" x14ac:dyDescent="0.35">
      <c r="A283">
        <v>239640928</v>
      </c>
      <c r="B283" t="str">
        <f>VLOOKUP(A283,Plan1!$A$1:$G$718,2,0)</f>
        <v>VIMTP07000864794</v>
      </c>
      <c r="C283" t="str">
        <f>VLOOKUP(A283,Plan1!$A$1:$G$718,3,0)</f>
        <v>ABERTO</v>
      </c>
      <c r="D283">
        <v>16</v>
      </c>
      <c r="E283" t="str">
        <f>VLOOKUP(A283,Plan1!$A$1:$G$718,5,0)</f>
        <v>DESPESAS MEDICAS, HOSPITALARES</v>
      </c>
      <c r="F283" s="11">
        <v>1252.6300000000001</v>
      </c>
      <c r="G283" s="11">
        <v>5979.4000000000005</v>
      </c>
      <c r="H283" t="s">
        <v>353</v>
      </c>
      <c r="I283" t="s">
        <v>355</v>
      </c>
    </row>
    <row r="284" spans="1:9" x14ac:dyDescent="0.35">
      <c r="A284">
        <v>239649496</v>
      </c>
      <c r="B284" t="str">
        <f>VLOOKUP(A284,Plan1!$A$1:$G$718,2,0)</f>
        <v>VIMTP19000908883</v>
      </c>
      <c r="C284" t="str">
        <f>VLOOKUP(A284,Plan1!$A$1:$G$718,3,0)</f>
        <v>ABERTO</v>
      </c>
      <c r="D284">
        <v>24</v>
      </c>
      <c r="E284" t="str">
        <f>VLOOKUP(A284,Plan1!$A$1:$G$718,5,0)</f>
        <v>DESPESAS FARMACEUTICAS</v>
      </c>
      <c r="F284" s="11">
        <v>602</v>
      </c>
      <c r="G284" s="11">
        <v>602</v>
      </c>
      <c r="H284" t="s">
        <v>353</v>
      </c>
      <c r="I284" t="s">
        <v>355</v>
      </c>
    </row>
    <row r="285" spans="1:9" x14ac:dyDescent="0.35">
      <c r="A285">
        <v>239659654</v>
      </c>
      <c r="B285" t="str">
        <f>VLOOKUP(A285,Plan1!$A$1:$G$718,2,0)</f>
        <v>VIMTP33000743939</v>
      </c>
      <c r="C285" t="str">
        <f>VLOOKUP(A285,Plan1!$A$1:$G$718,3,0)</f>
        <v>ABERTO</v>
      </c>
      <c r="D285">
        <v>8</v>
      </c>
      <c r="E285" t="str">
        <f>VLOOKUP(A285,Plan1!$A$1:$G$718,5,0)</f>
        <v>DESPESAS MEDICAS, HOSPITALARES</v>
      </c>
      <c r="F285" s="11">
        <v>847.74</v>
      </c>
      <c r="G285" s="11">
        <v>4006.0699999999997</v>
      </c>
      <c r="H285" t="s">
        <v>353</v>
      </c>
      <c r="I285" t="s">
        <v>355</v>
      </c>
    </row>
    <row r="286" spans="1:9" x14ac:dyDescent="0.35">
      <c r="A286">
        <v>239653384</v>
      </c>
      <c r="B286" t="str">
        <f>VLOOKUP(A286,Plan1!$A$1:$G$718,2,0)</f>
        <v>VIAGA54000911261</v>
      </c>
      <c r="C286" t="str">
        <f>VLOOKUP(A286,Plan1!$A$1:$G$718,3,0)</f>
        <v>ABERTO</v>
      </c>
      <c r="D286">
        <v>8</v>
      </c>
      <c r="E286" t="str">
        <f>VLOOKUP(A286,Plan1!$A$1:$G$718,5,0)</f>
        <v>DESPESAS MEDICAS, HOSPITALARES</v>
      </c>
      <c r="F286" s="11">
        <v>2179.4899999999998</v>
      </c>
      <c r="G286" s="11">
        <v>10345.57</v>
      </c>
      <c r="H286" t="s">
        <v>353</v>
      </c>
      <c r="I286" t="s">
        <v>355</v>
      </c>
    </row>
    <row r="287" spans="1:9" x14ac:dyDescent="0.35">
      <c r="A287">
        <v>239639378</v>
      </c>
      <c r="B287" t="str">
        <f>VLOOKUP(A287,Plan1!$A$1:$G$718,2,0)</f>
        <v>VIMTP08000904039</v>
      </c>
      <c r="C287" t="str">
        <f>VLOOKUP(A287,Plan1!$A$1:$G$718,3,0)</f>
        <v>ABERTO</v>
      </c>
      <c r="D287">
        <v>4</v>
      </c>
      <c r="E287" t="str">
        <f>VLOOKUP(A287,Plan1!$A$1:$G$718,5,0)</f>
        <v>DESPESAS MEDICAS, HOSPITALARES</v>
      </c>
      <c r="F287" s="11">
        <v>473</v>
      </c>
      <c r="G287" s="11">
        <v>2275.7800000000002</v>
      </c>
      <c r="H287" t="s">
        <v>353</v>
      </c>
      <c r="I287" t="s">
        <v>355</v>
      </c>
    </row>
    <row r="288" spans="1:9" x14ac:dyDescent="0.35">
      <c r="A288">
        <v>239643521</v>
      </c>
      <c r="B288" t="str">
        <f>VLOOKUP(A288,Plan1!$A$1:$G$718,2,0)</f>
        <v>VIMTP08000898694</v>
      </c>
      <c r="C288" t="str">
        <f>VLOOKUP(A288,Plan1!$A$1:$G$718,3,0)</f>
        <v>ABERTO</v>
      </c>
      <c r="D288">
        <v>16</v>
      </c>
      <c r="E288" t="str">
        <f>VLOOKUP(A288,Plan1!$A$1:$G$718,5,0)</f>
        <v>DESPESAS MEDICAS, HOSPITALARES</v>
      </c>
      <c r="F288" s="11">
        <v>1636.3999999999999</v>
      </c>
      <c r="G288" s="11">
        <v>7759.6</v>
      </c>
      <c r="H288" t="s">
        <v>353</v>
      </c>
      <c r="I288" t="s">
        <v>355</v>
      </c>
    </row>
    <row r="289" spans="1:9" x14ac:dyDescent="0.35">
      <c r="A289">
        <v>239647110</v>
      </c>
      <c r="B289" t="str">
        <f>VLOOKUP(A289,Plan1!$A$1:$G$718,2,0)</f>
        <v>VIAGA68000860830</v>
      </c>
      <c r="C289" t="str">
        <f>VLOOKUP(A289,Plan1!$A$1:$G$718,3,0)</f>
        <v>ABERTO</v>
      </c>
      <c r="D289">
        <v>4</v>
      </c>
      <c r="E289" t="str">
        <f>VLOOKUP(A289,Plan1!$A$1:$G$718,5,0)</f>
        <v>DESPESAS MEDICAS, HOSPITALARES</v>
      </c>
      <c r="F289" s="11">
        <v>40</v>
      </c>
      <c r="G289" s="11">
        <v>201.52</v>
      </c>
      <c r="H289" t="s">
        <v>353</v>
      </c>
      <c r="I289" t="s">
        <v>355</v>
      </c>
    </row>
    <row r="290" spans="1:9" x14ac:dyDescent="0.35">
      <c r="A290">
        <v>239645069</v>
      </c>
      <c r="B290" t="str">
        <f>VLOOKUP(A290,Plan1!$A$1:$G$718,2,0)</f>
        <v>VIMTP08000920154</v>
      </c>
      <c r="C290" t="str">
        <f>VLOOKUP(A290,Plan1!$A$1:$G$718,3,0)</f>
        <v>ABERTO</v>
      </c>
      <c r="D290">
        <v>24</v>
      </c>
      <c r="E290" t="str">
        <f>VLOOKUP(A290,Plan1!$A$1:$G$718,5,0)</f>
        <v>DESPESAS MEDICAS, HOSPITALARES</v>
      </c>
      <c r="F290" s="11">
        <v>2542.5</v>
      </c>
      <c r="G290" s="11">
        <v>12020.48</v>
      </c>
      <c r="H290" t="s">
        <v>353</v>
      </c>
      <c r="I290" t="s">
        <v>355</v>
      </c>
    </row>
    <row r="291" spans="1:9" x14ac:dyDescent="0.35">
      <c r="A291">
        <v>239653010</v>
      </c>
      <c r="B291" t="str">
        <f>VLOOKUP(A291,Plan1!$A$1:$G$718,2,0)</f>
        <v>VIMTP16000818871</v>
      </c>
      <c r="C291" t="str">
        <f>VLOOKUP(A291,Plan1!$A$1:$G$718,3,0)</f>
        <v>ABERTO</v>
      </c>
      <c r="D291">
        <v>24</v>
      </c>
      <c r="E291" t="str">
        <f>VLOOKUP(A291,Plan1!$A$1:$G$718,5,0)</f>
        <v>DESPESAS FARMACEUTICAS</v>
      </c>
      <c r="F291" s="11">
        <v>464.17</v>
      </c>
      <c r="G291" s="11">
        <v>464.17</v>
      </c>
      <c r="H291" t="s">
        <v>353</v>
      </c>
      <c r="I291" t="s">
        <v>355</v>
      </c>
    </row>
    <row r="292" spans="1:9" x14ac:dyDescent="0.35">
      <c r="A292">
        <v>239659158</v>
      </c>
      <c r="B292" t="str">
        <f>VLOOKUP(A292,Plan1!$A$1:$G$718,2,0)</f>
        <v>VIAGA52000869385</v>
      </c>
      <c r="C292" t="str">
        <f>VLOOKUP(A292,Plan1!$A$1:$G$718,3,0)</f>
        <v>ABERTO</v>
      </c>
      <c r="D292">
        <v>48</v>
      </c>
      <c r="E292" t="str">
        <f>VLOOKUP(A292,Plan1!$A$1:$G$718,5,0)</f>
        <v>DESPESAS MEDICAS, HOSPITALARES</v>
      </c>
      <c r="F292" s="11">
        <v>985.14</v>
      </c>
      <c r="G292" s="11">
        <v>4749.38</v>
      </c>
      <c r="H292" t="s">
        <v>353</v>
      </c>
      <c r="I292" t="s">
        <v>355</v>
      </c>
    </row>
    <row r="293" spans="1:9" x14ac:dyDescent="0.35">
      <c r="A293">
        <v>239642049</v>
      </c>
      <c r="B293" t="str">
        <f>VLOOKUP(A293,Plan1!$A$1:$G$718,2,0)</f>
        <v>VIAGA54000889440</v>
      </c>
      <c r="C293" t="str">
        <f>VLOOKUP(A293,Plan1!$A$1:$G$718,3,0)</f>
        <v>ABERTO</v>
      </c>
      <c r="D293">
        <v>16</v>
      </c>
      <c r="E293" t="str">
        <f>VLOOKUP(A293,Plan1!$A$1:$G$718,5,0)</f>
        <v>DESPESAS MEDICAS, HOSPITALARES</v>
      </c>
      <c r="F293" s="11">
        <v>1476.44</v>
      </c>
      <c r="G293" s="11">
        <v>6977.04</v>
      </c>
      <c r="H293" t="s">
        <v>353</v>
      </c>
      <c r="I293" t="s">
        <v>355</v>
      </c>
    </row>
    <row r="294" spans="1:9" x14ac:dyDescent="0.35">
      <c r="A294">
        <v>239645400</v>
      </c>
      <c r="B294" t="str">
        <f>VLOOKUP(A294,Plan1!$A$1:$G$718,2,0)</f>
        <v>VIMTP33000855592</v>
      </c>
      <c r="C294" t="str">
        <f>VLOOKUP(A294,Plan1!$A$1:$G$718,3,0)</f>
        <v>ABERTO</v>
      </c>
      <c r="D294">
        <v>8</v>
      </c>
      <c r="E294" t="str">
        <f>VLOOKUP(A294,Plan1!$A$1:$G$718,5,0)</f>
        <v>DESPESAS MEDICAS, HOSPITALARES</v>
      </c>
      <c r="F294" s="11">
        <v>914.73</v>
      </c>
      <c r="G294" s="11">
        <v>4322.62</v>
      </c>
      <c r="H294" t="s">
        <v>353</v>
      </c>
      <c r="I294" t="s">
        <v>355</v>
      </c>
    </row>
    <row r="295" spans="1:9" x14ac:dyDescent="0.35">
      <c r="A295">
        <v>239645930</v>
      </c>
      <c r="B295" t="str">
        <f>VLOOKUP(A295,Plan1!$A$1:$G$718,2,0)</f>
        <v>VIMTP07000909261</v>
      </c>
      <c r="C295" t="str">
        <f>VLOOKUP(A295,Plan1!$A$1:$G$718,3,0)</f>
        <v>ABERTO</v>
      </c>
      <c r="D295">
        <v>4</v>
      </c>
      <c r="E295" t="str">
        <f>VLOOKUP(A295,Plan1!$A$1:$G$718,5,0)</f>
        <v>DESPESAS MEDICAS, HOSPITALARES</v>
      </c>
      <c r="F295" s="11">
        <v>2220.48</v>
      </c>
      <c r="G295" s="11">
        <v>11924.82</v>
      </c>
      <c r="H295" t="s">
        <v>353</v>
      </c>
      <c r="I295" t="s">
        <v>355</v>
      </c>
    </row>
    <row r="296" spans="1:9" x14ac:dyDescent="0.35">
      <c r="A296">
        <v>239641079</v>
      </c>
      <c r="B296" t="str">
        <f>VLOOKUP(A296,Plan1!$A$1:$G$718,2,0)</f>
        <v>VIMTP19000587134</v>
      </c>
      <c r="C296" t="str">
        <f>VLOOKUP(A296,Plan1!$A$1:$G$718,3,0)</f>
        <v>ABERTO</v>
      </c>
      <c r="D296">
        <v>6</v>
      </c>
      <c r="E296" t="str">
        <f>VLOOKUP(A296,Plan1!$A$1:$G$718,5,0)</f>
        <v>DESPESAS ODONTOLOGICAS</v>
      </c>
      <c r="F296" s="11">
        <v>180</v>
      </c>
      <c r="G296" s="11">
        <v>906.82</v>
      </c>
      <c r="H296" t="s">
        <v>353</v>
      </c>
      <c r="I296" t="s">
        <v>355</v>
      </c>
    </row>
    <row r="297" spans="1:9" x14ac:dyDescent="0.35">
      <c r="A297">
        <v>239642530</v>
      </c>
      <c r="B297" t="str">
        <f>VLOOKUP(A297,Plan1!$A$1:$G$718,2,0)</f>
        <v>VIAGA15000923830</v>
      </c>
      <c r="C297" t="str">
        <f>VLOOKUP(A297,Plan1!$A$1:$G$718,3,0)</f>
        <v>ABERTO</v>
      </c>
      <c r="D297">
        <v>16</v>
      </c>
      <c r="E297" t="str">
        <f>VLOOKUP(A297,Plan1!$A$1:$G$718,5,0)</f>
        <v>DESPESAS MEDICAS, HOSPITALARES</v>
      </c>
      <c r="F297" s="11">
        <v>1326.46</v>
      </c>
      <c r="G297" s="11">
        <v>6330.5</v>
      </c>
      <c r="H297" t="s">
        <v>353</v>
      </c>
      <c r="I297" t="s">
        <v>355</v>
      </c>
    </row>
    <row r="298" spans="1:9" x14ac:dyDescent="0.35">
      <c r="A298">
        <v>239660083</v>
      </c>
      <c r="B298" t="str">
        <f>VLOOKUP(A298,Plan1!$A$1:$G$718,2,0)</f>
        <v>VIMTP07000926161</v>
      </c>
      <c r="C298" t="str">
        <f>VLOOKUP(A298,Plan1!$A$1:$G$718,3,0)</f>
        <v>ABERTO</v>
      </c>
      <c r="D298">
        <v>16</v>
      </c>
      <c r="E298" t="str">
        <f>VLOOKUP(A298,Plan1!$A$1:$G$718,5,0)</f>
        <v>DESPESAS MEDICAS, HOSPITALARES</v>
      </c>
      <c r="F298" s="11">
        <v>3066.9</v>
      </c>
      <c r="G298" s="11">
        <v>14492.91</v>
      </c>
      <c r="H298" t="s">
        <v>353</v>
      </c>
      <c r="I298" t="s">
        <v>355</v>
      </c>
    </row>
    <row r="299" spans="1:9" x14ac:dyDescent="0.35">
      <c r="A299">
        <v>239643534</v>
      </c>
      <c r="B299" t="str">
        <f>VLOOKUP(A299,Plan1!$A$1:$G$718,2,0)</f>
        <v>VIMTP19000899585</v>
      </c>
      <c r="C299" t="str">
        <f>VLOOKUP(A299,Plan1!$A$1:$G$718,3,0)</f>
        <v>ABERTO</v>
      </c>
      <c r="D299">
        <v>4</v>
      </c>
      <c r="E299" t="str">
        <f>VLOOKUP(A299,Plan1!$A$1:$G$718,5,0)</f>
        <v>DESPESAS MEDICAS, HOSPITALARES</v>
      </c>
      <c r="F299" s="11">
        <v>915.96</v>
      </c>
      <c r="G299" s="11">
        <v>4905.04</v>
      </c>
      <c r="H299" t="s">
        <v>353</v>
      </c>
      <c r="I299" t="s">
        <v>355</v>
      </c>
    </row>
    <row r="300" spans="1:9" x14ac:dyDescent="0.35">
      <c r="A300">
        <v>239658758</v>
      </c>
      <c r="B300" t="str">
        <f>VLOOKUP(A300,Plan1!$A$1:$G$718,2,0)</f>
        <v>VIAGA68000929039</v>
      </c>
      <c r="C300" t="str">
        <f>VLOOKUP(A300,Plan1!$A$1:$G$718,3,0)</f>
        <v>ABERTO</v>
      </c>
      <c r="D300">
        <v>12</v>
      </c>
      <c r="E300" t="str">
        <f>VLOOKUP(A300,Plan1!$A$1:$G$718,5,0)</f>
        <v>DESPESAS MEDICAS, HOSPITALARES</v>
      </c>
      <c r="F300" s="11">
        <v>2372</v>
      </c>
      <c r="G300" s="11">
        <v>12365.24</v>
      </c>
      <c r="H300" t="s">
        <v>353</v>
      </c>
      <c r="I300" t="s">
        <v>355</v>
      </c>
    </row>
    <row r="301" spans="1:9" x14ac:dyDescent="0.35">
      <c r="A301">
        <v>239685790</v>
      </c>
      <c r="B301" t="str">
        <f>VLOOKUP(A301,Plan1!$A$1:$G$718,2,0)</f>
        <v>VIMTP33000855096</v>
      </c>
      <c r="C301" t="str">
        <f>VLOOKUP(A301,Plan1!$A$1:$G$718,3,0)</f>
        <v>ABERTO</v>
      </c>
      <c r="D301">
        <v>24</v>
      </c>
      <c r="E301" t="str">
        <f>VLOOKUP(A301,Plan1!$A$1:$G$718,5,0)</f>
        <v>DESPESAS FARMACEUTICAS</v>
      </c>
      <c r="F301" s="11">
        <v>705.63</v>
      </c>
      <c r="G301" s="11">
        <v>705.63</v>
      </c>
      <c r="H301" t="s">
        <v>353</v>
      </c>
      <c r="I301" t="s">
        <v>355</v>
      </c>
    </row>
    <row r="302" spans="1:9" x14ac:dyDescent="0.35">
      <c r="A302">
        <v>239662154</v>
      </c>
      <c r="B302" t="str">
        <f>VLOOKUP(A302,Plan1!$A$1:$G$718,2,0)</f>
        <v>VIMTP08000895631</v>
      </c>
      <c r="C302" t="str">
        <f>VLOOKUP(A302,Plan1!$A$1:$G$718,3,0)</f>
        <v>ABERTO</v>
      </c>
      <c r="D302">
        <v>8</v>
      </c>
      <c r="E302" t="str">
        <f>VLOOKUP(A302,Plan1!$A$1:$G$718,5,0)</f>
        <v>DESPESAS MEDICAS, HOSPITALARES</v>
      </c>
      <c r="F302" s="11">
        <v>1767.15</v>
      </c>
      <c r="G302" s="11">
        <v>8531.9500000000007</v>
      </c>
      <c r="H302" t="s">
        <v>353</v>
      </c>
      <c r="I302" t="s">
        <v>355</v>
      </c>
    </row>
    <row r="303" spans="1:9" x14ac:dyDescent="0.35">
      <c r="A303">
        <v>239651203</v>
      </c>
      <c r="B303" t="str">
        <f>VLOOKUP(A303,Plan1!$A$1:$G$718,2,0)</f>
        <v>VIMTP19000862832</v>
      </c>
      <c r="C303" t="str">
        <f>VLOOKUP(A303,Plan1!$A$1:$G$718,3,0)</f>
        <v>ABERTO</v>
      </c>
      <c r="D303">
        <v>4</v>
      </c>
      <c r="E303" t="str">
        <f>VLOOKUP(A303,Plan1!$A$1:$G$718,5,0)</f>
        <v>DESPESAS MEDICAS, HOSPITALARES</v>
      </c>
      <c r="F303" s="11">
        <v>653.58000000000004</v>
      </c>
      <c r="G303" s="11">
        <v>3490.63</v>
      </c>
      <c r="H303" t="s">
        <v>353</v>
      </c>
      <c r="I303" t="s">
        <v>355</v>
      </c>
    </row>
    <row r="304" spans="1:9" x14ac:dyDescent="0.35">
      <c r="A304">
        <v>239660858</v>
      </c>
      <c r="B304" t="str">
        <f>VLOOKUP(A304,Plan1!$A$1:$G$718,2,0)</f>
        <v>VIAGA54000823570</v>
      </c>
      <c r="C304" t="str">
        <f>VLOOKUP(A304,Plan1!$A$1:$G$718,3,0)</f>
        <v>ABERTO</v>
      </c>
      <c r="D304">
        <v>24</v>
      </c>
      <c r="E304" t="str">
        <f>VLOOKUP(A304,Plan1!$A$1:$G$718,5,0)</f>
        <v>DESPESAS FARMACEUTICAS</v>
      </c>
      <c r="F304" s="11">
        <v>573.69000000000005</v>
      </c>
      <c r="G304" s="11">
        <v>573.69000000000005</v>
      </c>
      <c r="H304" t="s">
        <v>353</v>
      </c>
      <c r="I304" t="s">
        <v>355</v>
      </c>
    </row>
    <row r="305" spans="1:9" x14ac:dyDescent="0.35">
      <c r="A305">
        <v>239643743</v>
      </c>
      <c r="B305" t="str">
        <f>VLOOKUP(A305,Plan1!$A$1:$G$718,2,0)</f>
        <v>VIMTP07000936674</v>
      </c>
      <c r="C305" t="str">
        <f>VLOOKUP(A305,Plan1!$A$1:$G$718,3,0)</f>
        <v>ABERTO</v>
      </c>
      <c r="D305">
        <v>30</v>
      </c>
      <c r="E305" t="str">
        <f>VLOOKUP(A305,Plan1!$A$1:$G$718,5,0)</f>
        <v>CANCELAMENTO, INTERRUPÇÃO  E EXTENSÃO DE VIAGEM</v>
      </c>
      <c r="F305" s="11">
        <v>2995.8</v>
      </c>
      <c r="G305" s="11">
        <v>2995.8</v>
      </c>
      <c r="H305" t="s">
        <v>354</v>
      </c>
      <c r="I305" t="s">
        <v>357</v>
      </c>
    </row>
    <row r="306" spans="1:9" x14ac:dyDescent="0.35">
      <c r="A306">
        <v>239640888</v>
      </c>
      <c r="B306" t="str">
        <f>VLOOKUP(A306,Plan1!$A$1:$G$718,2,0)</f>
        <v>VIAGA68000821814</v>
      </c>
      <c r="C306" t="str">
        <f>VLOOKUP(A306,Plan1!$A$1:$G$718,3,0)</f>
        <v>ABERTO</v>
      </c>
      <c r="D306">
        <v>12</v>
      </c>
      <c r="E306" t="str">
        <f>VLOOKUP(A306,Plan1!$A$1:$G$718,5,0)</f>
        <v>DESPESAS MEDICAS, HOSPITALARES</v>
      </c>
      <c r="F306" s="11">
        <v>3883.3500000000004</v>
      </c>
      <c r="G306" s="11">
        <v>20779.36</v>
      </c>
      <c r="H306" t="s">
        <v>353</v>
      </c>
      <c r="I306" t="s">
        <v>355</v>
      </c>
    </row>
    <row r="307" spans="1:9" x14ac:dyDescent="0.35">
      <c r="A307">
        <v>239655651</v>
      </c>
      <c r="B307" t="str">
        <f>VLOOKUP(A307,Plan1!$A$1:$G$718,2,0)</f>
        <v>VIAGA68000821814</v>
      </c>
      <c r="C307" t="str">
        <f>VLOOKUP(A307,Plan1!$A$1:$G$718,3,0)</f>
        <v>ABERTO</v>
      </c>
      <c r="D307">
        <v>24</v>
      </c>
      <c r="E307" t="str">
        <f>VLOOKUP(A307,Plan1!$A$1:$G$718,5,0)</f>
        <v>DESPESAS FARMACEUTICAS</v>
      </c>
      <c r="F307" s="11">
        <v>557.30999999999995</v>
      </c>
      <c r="G307" s="11">
        <v>557.30999999999995</v>
      </c>
      <c r="H307" t="s">
        <v>353</v>
      </c>
      <c r="I307" t="s">
        <v>355</v>
      </c>
    </row>
    <row r="308" spans="1:9" x14ac:dyDescent="0.35">
      <c r="A308">
        <v>239936384</v>
      </c>
      <c r="B308" t="str">
        <f>VLOOKUP(A308,Plan1!$A$1:$G$718,2,0)</f>
        <v>VIAGA54000896181</v>
      </c>
      <c r="C308" t="str">
        <f>VLOOKUP(A308,Plan1!$A$1:$G$718,3,0)</f>
        <v>ABERTO</v>
      </c>
      <c r="D308">
        <v>24</v>
      </c>
      <c r="E308" t="str">
        <f>VLOOKUP(A308,Plan1!$A$1:$G$718,5,0)</f>
        <v>DESPESAS FARMACEUTICAS</v>
      </c>
      <c r="F308" s="11">
        <v>311.08999999999997</v>
      </c>
      <c r="G308" s="11">
        <v>311.08999999999997</v>
      </c>
      <c r="H308" t="s">
        <v>353</v>
      </c>
      <c r="I308" t="s">
        <v>355</v>
      </c>
    </row>
    <row r="309" spans="1:9" x14ac:dyDescent="0.35">
      <c r="A309">
        <v>239651070</v>
      </c>
      <c r="B309" t="str">
        <f>VLOOKUP(A309,Plan1!$A$1:$G$718,2,0)</f>
        <v>VIMTP20000927833</v>
      </c>
      <c r="C309" t="str">
        <f>VLOOKUP(A309,Plan1!$A$1:$G$718,3,0)</f>
        <v>ABERTO</v>
      </c>
      <c r="D309">
        <v>12</v>
      </c>
      <c r="E309" t="str">
        <f>VLOOKUP(A309,Plan1!$A$1:$G$718,5,0)</f>
        <v>DESPESAS ODONTOLOGICAS</v>
      </c>
      <c r="F309" s="11">
        <v>352</v>
      </c>
      <c r="G309" s="11">
        <v>1834.98</v>
      </c>
      <c r="H309" t="s">
        <v>353</v>
      </c>
      <c r="I309" t="s">
        <v>355</v>
      </c>
    </row>
    <row r="310" spans="1:9" x14ac:dyDescent="0.35">
      <c r="A310">
        <v>240090239</v>
      </c>
      <c r="B310" t="str">
        <f>VLOOKUP(A310,Plan1!$A$1:$G$718,2,0)</f>
        <v>VIMTP19000918008</v>
      </c>
      <c r="C310" t="str">
        <f>VLOOKUP(A310,Plan1!$A$1:$G$718,3,0)</f>
        <v>ABERTO</v>
      </c>
      <c r="D310">
        <v>8</v>
      </c>
      <c r="E310" t="str">
        <f>VLOOKUP(A310,Plan1!$A$1:$G$718,5,0)</f>
        <v>REGRESSO SANITARIO</v>
      </c>
      <c r="F310" s="11">
        <v>23200.54</v>
      </c>
      <c r="G310" s="11">
        <v>23200.54</v>
      </c>
      <c r="H310" t="s">
        <v>353</v>
      </c>
      <c r="I310" t="s">
        <v>355</v>
      </c>
    </row>
    <row r="311" spans="1:9" x14ac:dyDescent="0.35">
      <c r="A311">
        <v>240289630</v>
      </c>
      <c r="B311" t="str">
        <f>VLOOKUP(A311,Plan1!$A$1:$G$718,2,0)</f>
        <v>VIMTP12000953229</v>
      </c>
      <c r="C311" t="str">
        <f>VLOOKUP(A311,Plan1!$A$1:$G$718,3,0)</f>
        <v>ABERTO</v>
      </c>
      <c r="D311">
        <v>8</v>
      </c>
      <c r="E311" t="str">
        <f>VLOOKUP(A311,Plan1!$A$1:$G$718,5,0)</f>
        <v>REGRESSO SANITARIO</v>
      </c>
      <c r="F311" s="11">
        <v>12210.5</v>
      </c>
      <c r="G311" s="11">
        <v>12210.5</v>
      </c>
      <c r="H311" t="s">
        <v>353</v>
      </c>
      <c r="I311" t="s">
        <v>355</v>
      </c>
    </row>
    <row r="312" spans="1:9" x14ac:dyDescent="0.35">
      <c r="A312">
        <v>239642695</v>
      </c>
      <c r="B312" t="str">
        <f>VLOOKUP(A312,Plan1!$A$1:$G$718,2,0)</f>
        <v>VIMTP08000938587</v>
      </c>
      <c r="C312" t="str">
        <f>VLOOKUP(A312,Plan1!$A$1:$G$718,3,0)</f>
        <v>ABERTO</v>
      </c>
      <c r="D312">
        <v>8</v>
      </c>
      <c r="E312" t="str">
        <f>VLOOKUP(A312,Plan1!$A$1:$G$718,5,0)</f>
        <v>DESPESAS MEDICAS, HOSPITALARES</v>
      </c>
      <c r="F312" s="11">
        <v>2787.4300000000003</v>
      </c>
      <c r="G312" s="11">
        <v>13172.25</v>
      </c>
      <c r="H312" t="s">
        <v>353</v>
      </c>
      <c r="I312" t="s">
        <v>355</v>
      </c>
    </row>
    <row r="313" spans="1:9" x14ac:dyDescent="0.35">
      <c r="A313">
        <v>239647581</v>
      </c>
      <c r="B313" t="str">
        <f>VLOOKUP(A313,Plan1!$A$1:$G$718,2,0)</f>
        <v>VIMTP19000949997</v>
      </c>
      <c r="C313" t="str">
        <f>VLOOKUP(A313,Plan1!$A$1:$G$718,3,0)</f>
        <v>ABERTO</v>
      </c>
      <c r="D313">
        <v>24</v>
      </c>
      <c r="E313" t="str">
        <f>VLOOKUP(A313,Plan1!$A$1:$G$718,5,0)</f>
        <v>DESPESAS FARMACEUTICAS</v>
      </c>
      <c r="F313" s="11">
        <v>494.44</v>
      </c>
      <c r="G313" s="11">
        <v>494.44</v>
      </c>
      <c r="H313" t="s">
        <v>353</v>
      </c>
      <c r="I313" t="s">
        <v>355</v>
      </c>
    </row>
    <row r="314" spans="1:9" x14ac:dyDescent="0.35">
      <c r="A314">
        <v>239657676</v>
      </c>
      <c r="B314" t="str">
        <f>VLOOKUP(A314,Plan1!$A$1:$G$718,2,0)</f>
        <v>VIMTP08000958154</v>
      </c>
      <c r="C314" t="str">
        <f>VLOOKUP(A314,Plan1!$A$1:$G$718,3,0)</f>
        <v>ABERTO</v>
      </c>
      <c r="D314">
        <v>8</v>
      </c>
      <c r="E314" t="str">
        <f>VLOOKUP(A314,Plan1!$A$1:$G$718,5,0)</f>
        <v>DESPESAS MEDICAS, HOSPITALARES</v>
      </c>
      <c r="F314" s="11">
        <v>1283.25</v>
      </c>
      <c r="G314" s="11">
        <v>6181.9</v>
      </c>
      <c r="H314" t="s">
        <v>353</v>
      </c>
      <c r="I314" t="s">
        <v>355</v>
      </c>
    </row>
    <row r="315" spans="1:9" x14ac:dyDescent="0.35">
      <c r="A315">
        <v>239646043</v>
      </c>
      <c r="B315" t="str">
        <f>VLOOKUP(A315,Plan1!$A$1:$G$718,2,0)</f>
        <v>VIMTP33000847632</v>
      </c>
      <c r="C315" t="str">
        <f>VLOOKUP(A315,Plan1!$A$1:$G$718,3,0)</f>
        <v>ABERTO</v>
      </c>
      <c r="D315">
        <v>4</v>
      </c>
      <c r="E315" t="str">
        <f>VLOOKUP(A315,Plan1!$A$1:$G$718,5,0)</f>
        <v>DESPESAS MEDICAS, HOSPITALARES</v>
      </c>
      <c r="F315" s="11">
        <v>1185</v>
      </c>
      <c r="G315" s="11">
        <v>5414.69</v>
      </c>
      <c r="H315" t="s">
        <v>353</v>
      </c>
      <c r="I315" t="s">
        <v>355</v>
      </c>
    </row>
    <row r="316" spans="1:9" x14ac:dyDescent="0.35">
      <c r="A316">
        <v>239641273</v>
      </c>
      <c r="B316" t="str">
        <f>VLOOKUP(A316,Plan1!$A$1:$G$718,2,0)</f>
        <v>VIMTP07000960084</v>
      </c>
      <c r="C316" t="str">
        <f>VLOOKUP(A316,Plan1!$A$1:$G$718,3,0)</f>
        <v>ABERTO</v>
      </c>
      <c r="D316">
        <v>24</v>
      </c>
      <c r="E316" t="str">
        <f>VLOOKUP(A316,Plan1!$A$1:$G$718,5,0)</f>
        <v>DESPESAS FARMACEUTICAS</v>
      </c>
      <c r="F316" s="11">
        <v>415.45</v>
      </c>
      <c r="G316" s="11">
        <v>415.45</v>
      </c>
      <c r="H316" t="s">
        <v>353</v>
      </c>
      <c r="I316" t="s">
        <v>355</v>
      </c>
    </row>
    <row r="317" spans="1:9" x14ac:dyDescent="0.35">
      <c r="A317">
        <v>239650797</v>
      </c>
      <c r="B317" t="str">
        <f>VLOOKUP(A317,Plan1!$A$1:$G$718,2,0)</f>
        <v>VIMTP07000952273</v>
      </c>
      <c r="C317" t="str">
        <f>VLOOKUP(A317,Plan1!$A$1:$G$718,3,0)</f>
        <v>ABERTO</v>
      </c>
      <c r="D317">
        <v>48</v>
      </c>
      <c r="E317" t="str">
        <f>VLOOKUP(A317,Plan1!$A$1:$G$718,5,0)</f>
        <v>DESPESAS FARMACEUTICAS</v>
      </c>
      <c r="F317" s="11">
        <v>1148.92</v>
      </c>
      <c r="G317" s="11">
        <v>1148.92</v>
      </c>
      <c r="H317" t="s">
        <v>353</v>
      </c>
      <c r="I317" t="s">
        <v>355</v>
      </c>
    </row>
    <row r="318" spans="1:9" x14ac:dyDescent="0.35">
      <c r="A318">
        <v>239650972</v>
      </c>
      <c r="B318" t="str">
        <f>VLOOKUP(A318,Plan1!$A$1:$G$718,2,0)</f>
        <v>VIMTP33000919221</v>
      </c>
      <c r="C318" t="str">
        <f>VLOOKUP(A318,Plan1!$A$1:$G$718,3,0)</f>
        <v>ABERTO</v>
      </c>
      <c r="D318">
        <v>15</v>
      </c>
      <c r="E318" t="str">
        <f>VLOOKUP(A318,Plan1!$A$1:$G$718,5,0)</f>
        <v>CANCELAMENTO, INTERRUPÇÃO  E EXTENSÃO DE VIAGEM</v>
      </c>
      <c r="F318" s="11">
        <v>2106.79</v>
      </c>
      <c r="G318" s="11">
        <v>2106.79</v>
      </c>
      <c r="H318" t="s">
        <v>354</v>
      </c>
      <c r="I318" t="s">
        <v>357</v>
      </c>
    </row>
    <row r="319" spans="1:9" x14ac:dyDescent="0.35">
      <c r="A319">
        <v>239641410</v>
      </c>
      <c r="B319" t="str">
        <f>VLOOKUP(A319,Plan1!$A$1:$G$718,2,0)</f>
        <v>VIMTP08000934498</v>
      </c>
      <c r="C319" t="str">
        <f>VLOOKUP(A319,Plan1!$A$1:$G$718,3,0)</f>
        <v>ABERTO</v>
      </c>
      <c r="D319">
        <v>26</v>
      </c>
      <c r="E319" t="str">
        <f>VLOOKUP(A319,Plan1!$A$1:$G$718,5,0)</f>
        <v>HOSPEDAGEM APOS ALTA HOSPITALAR</v>
      </c>
      <c r="F319" s="11">
        <v>4200</v>
      </c>
      <c r="G319" s="11">
        <v>4200</v>
      </c>
      <c r="H319" t="s">
        <v>353</v>
      </c>
      <c r="I319" t="s">
        <v>355</v>
      </c>
    </row>
    <row r="320" spans="1:9" x14ac:dyDescent="0.35">
      <c r="A320">
        <v>239685693</v>
      </c>
      <c r="B320" t="str">
        <f>VLOOKUP(A320,Plan1!$A$1:$G$718,2,0)</f>
        <v>VIMTP08000836637</v>
      </c>
      <c r="C320" t="str">
        <f>VLOOKUP(A320,Plan1!$A$1:$G$718,3,0)</f>
        <v>ABERTO</v>
      </c>
      <c r="D320">
        <v>24</v>
      </c>
      <c r="E320" t="str">
        <f>VLOOKUP(A320,Plan1!$A$1:$G$718,5,0)</f>
        <v>DESPESAS FARMACEUTICAS</v>
      </c>
      <c r="F320" s="11">
        <v>351.85</v>
      </c>
      <c r="G320" s="11">
        <v>351.85</v>
      </c>
      <c r="H320" t="s">
        <v>353</v>
      </c>
      <c r="I320" t="s">
        <v>355</v>
      </c>
    </row>
    <row r="321" spans="1:9" x14ac:dyDescent="0.35">
      <c r="A321">
        <v>239644595</v>
      </c>
      <c r="B321" t="str">
        <f>VLOOKUP(A321,Plan1!$A$1:$G$718,2,0)</f>
        <v>VIAGA54000937841</v>
      </c>
      <c r="C321" t="str">
        <f>VLOOKUP(A321,Plan1!$A$1:$G$718,3,0)</f>
        <v>ABERTO</v>
      </c>
      <c r="D321">
        <v>24</v>
      </c>
      <c r="E321" t="str">
        <f>VLOOKUP(A321,Plan1!$A$1:$G$718,5,0)</f>
        <v>DESPESAS FARMACEUTICAS</v>
      </c>
      <c r="F321" s="11">
        <v>354.38</v>
      </c>
      <c r="G321" s="11">
        <v>354.38</v>
      </c>
      <c r="H321" t="s">
        <v>353</v>
      </c>
      <c r="I321" t="s">
        <v>355</v>
      </c>
    </row>
    <row r="322" spans="1:9" x14ac:dyDescent="0.35">
      <c r="A322">
        <v>239642146</v>
      </c>
      <c r="B322" t="str">
        <f>VLOOKUP(A322,Plan1!$A$1:$G$718,2,0)</f>
        <v>VIMTP08000957231</v>
      </c>
      <c r="C322" t="str">
        <f>VLOOKUP(A322,Plan1!$A$1:$G$718,3,0)</f>
        <v>ABERTO</v>
      </c>
      <c r="D322">
        <v>24</v>
      </c>
      <c r="E322" t="str">
        <f>VLOOKUP(A322,Plan1!$A$1:$G$718,5,0)</f>
        <v>DESPESAS FARMACEUTICAS</v>
      </c>
      <c r="F322" s="11">
        <v>348.31</v>
      </c>
      <c r="G322" s="11">
        <v>348.31</v>
      </c>
      <c r="H322" t="s">
        <v>353</v>
      </c>
      <c r="I322" t="s">
        <v>355</v>
      </c>
    </row>
    <row r="323" spans="1:9" x14ac:dyDescent="0.35">
      <c r="A323">
        <v>239657262</v>
      </c>
      <c r="B323" t="str">
        <f>VLOOKUP(A323,Plan1!$A$1:$G$718,2,0)</f>
        <v>VIMTP07000956350</v>
      </c>
      <c r="C323" t="str">
        <f>VLOOKUP(A323,Plan1!$A$1:$G$718,3,0)</f>
        <v>ABERTO</v>
      </c>
      <c r="D323">
        <v>15</v>
      </c>
      <c r="E323" t="str">
        <f>VLOOKUP(A323,Plan1!$A$1:$G$718,5,0)</f>
        <v>CANCELAMENTO, INTERRUPÇÃO  E EXTENSÃO DE VIAGEM</v>
      </c>
      <c r="F323" s="11">
        <v>3000</v>
      </c>
      <c r="G323" s="11">
        <v>3000</v>
      </c>
      <c r="H323" t="s">
        <v>353</v>
      </c>
      <c r="I323" t="s">
        <v>355</v>
      </c>
    </row>
    <row r="324" spans="1:9" x14ac:dyDescent="0.35">
      <c r="A324">
        <v>239640003</v>
      </c>
      <c r="B324" t="str">
        <f>VLOOKUP(A324,Plan1!$A$1:$G$718,2,0)</f>
        <v>VIMTP08000800562</v>
      </c>
      <c r="C324" t="str">
        <f>VLOOKUP(A324,Plan1!$A$1:$G$718,3,0)</f>
        <v>ABERTO</v>
      </c>
      <c r="D324">
        <v>24</v>
      </c>
      <c r="E324" t="str">
        <f>VLOOKUP(A324,Plan1!$A$1:$G$718,5,0)</f>
        <v>DESPESAS FARMACEUTICAS</v>
      </c>
      <c r="F324" s="11">
        <v>330.94</v>
      </c>
      <c r="G324" s="11">
        <v>330.94</v>
      </c>
      <c r="H324" t="s">
        <v>353</v>
      </c>
      <c r="I324" t="s">
        <v>355</v>
      </c>
    </row>
    <row r="325" spans="1:9" x14ac:dyDescent="0.35">
      <c r="A325">
        <v>239641784</v>
      </c>
      <c r="B325" t="str">
        <f>VLOOKUP(A325,Plan1!$A$1:$G$718,2,0)</f>
        <v>VIMTP20000956282</v>
      </c>
      <c r="C325" t="str">
        <f>VLOOKUP(A325,Plan1!$A$1:$G$718,3,0)</f>
        <v>ABERTO</v>
      </c>
      <c r="D325">
        <v>6</v>
      </c>
      <c r="E325" t="str">
        <f>VLOOKUP(A325,Plan1!$A$1:$G$718,5,0)</f>
        <v>DESPESAS ODONTOLOGICAS</v>
      </c>
      <c r="F325" s="11">
        <v>300</v>
      </c>
      <c r="G325" s="11">
        <v>1741.09</v>
      </c>
      <c r="H325" t="s">
        <v>353</v>
      </c>
      <c r="I325" t="s">
        <v>355</v>
      </c>
    </row>
    <row r="326" spans="1:9" x14ac:dyDescent="0.35">
      <c r="A326">
        <v>239648152</v>
      </c>
      <c r="B326" t="str">
        <f>VLOOKUP(A326,Plan1!$A$1:$G$718,2,0)</f>
        <v>VIMTP19000929999</v>
      </c>
      <c r="C326" t="str">
        <f>VLOOKUP(A326,Plan1!$A$1:$G$718,3,0)</f>
        <v>ABERTO</v>
      </c>
      <c r="D326">
        <v>8</v>
      </c>
      <c r="E326" t="str">
        <f>VLOOKUP(A326,Plan1!$A$1:$G$718,5,0)</f>
        <v>DESPESAS MEDICAS, HOSPITALARES</v>
      </c>
      <c r="F326" s="11">
        <v>1095</v>
      </c>
      <c r="G326" s="11">
        <v>6354.9699999999993</v>
      </c>
      <c r="H326" t="s">
        <v>353</v>
      </c>
      <c r="I326" t="s">
        <v>355</v>
      </c>
    </row>
    <row r="327" spans="1:9" x14ac:dyDescent="0.35">
      <c r="A327">
        <v>239653156</v>
      </c>
      <c r="B327" t="str">
        <f>VLOOKUP(A327,Plan1!$A$1:$G$718,2,0)</f>
        <v>VIMTP33000978374</v>
      </c>
      <c r="C327" t="str">
        <f>VLOOKUP(A327,Plan1!$A$1:$G$718,3,0)</f>
        <v>ABERTO</v>
      </c>
      <c r="D327">
        <v>24</v>
      </c>
      <c r="E327" t="str">
        <f>VLOOKUP(A327,Plan1!$A$1:$G$718,5,0)</f>
        <v>DESPESAS FARMACEUTICAS</v>
      </c>
      <c r="F327" s="11">
        <v>310.85000000000002</v>
      </c>
      <c r="G327" s="11">
        <v>310.85000000000002</v>
      </c>
      <c r="H327" t="s">
        <v>353</v>
      </c>
      <c r="I327" t="s">
        <v>355</v>
      </c>
    </row>
    <row r="328" spans="1:9" x14ac:dyDescent="0.35">
      <c r="A328">
        <v>239755325</v>
      </c>
      <c r="B328" t="str">
        <f>VLOOKUP(A328,Plan1!$A$1:$G$718,2,0)</f>
        <v>VIMTP20000848770</v>
      </c>
      <c r="C328" t="str">
        <f>VLOOKUP(A328,Plan1!$A$1:$G$718,3,0)</f>
        <v>ABERTO</v>
      </c>
      <c r="D328">
        <v>24</v>
      </c>
      <c r="E328" t="str">
        <f>VLOOKUP(A328,Plan1!$A$1:$G$718,5,0)</f>
        <v>DESPESAS FARMACEUTICAS</v>
      </c>
      <c r="F328" s="11">
        <v>327.12</v>
      </c>
      <c r="G328" s="11">
        <v>327.12</v>
      </c>
      <c r="H328" t="s">
        <v>353</v>
      </c>
      <c r="I328" t="s">
        <v>355</v>
      </c>
    </row>
    <row r="329" spans="1:9" x14ac:dyDescent="0.35">
      <c r="A329">
        <v>239654238</v>
      </c>
      <c r="B329" t="str">
        <f>VLOOKUP(A329,Plan1!$A$1:$G$718,2,0)</f>
        <v>VIAGA52000831050</v>
      </c>
      <c r="C329" t="str">
        <f>VLOOKUP(A329,Plan1!$A$1:$G$718,3,0)</f>
        <v>ABERTO</v>
      </c>
      <c r="D329">
        <v>4</v>
      </c>
      <c r="E329" t="str">
        <f>VLOOKUP(A329,Plan1!$A$1:$G$718,5,0)</f>
        <v>DESPESAS MEDICAS, HOSPITALARES</v>
      </c>
      <c r="F329" s="11">
        <v>9784.73</v>
      </c>
      <c r="G329" s="11">
        <v>52547.74</v>
      </c>
      <c r="H329" t="s">
        <v>353</v>
      </c>
      <c r="I329" t="s">
        <v>355</v>
      </c>
    </row>
    <row r="330" spans="1:9" x14ac:dyDescent="0.35">
      <c r="A330">
        <v>239883966</v>
      </c>
      <c r="B330" t="str">
        <f>VLOOKUP(A330,Plan1!$A$1:$G$718,2,0)</f>
        <v>VIMTP12001000954</v>
      </c>
      <c r="C330" t="str">
        <f>VLOOKUP(A330,Plan1!$A$1:$G$718,3,0)</f>
        <v>ABERTO</v>
      </c>
      <c r="D330">
        <v>24</v>
      </c>
      <c r="E330" t="str">
        <f>VLOOKUP(A330,Plan1!$A$1:$G$718,5,0)</f>
        <v>DESPESAS FARMACEUTICAS</v>
      </c>
      <c r="F330" s="11">
        <v>400.64</v>
      </c>
      <c r="G330" s="11">
        <v>400.64</v>
      </c>
      <c r="H330" t="s">
        <v>353</v>
      </c>
      <c r="I330" t="s">
        <v>355</v>
      </c>
    </row>
    <row r="331" spans="1:9" x14ac:dyDescent="0.35">
      <c r="A331">
        <v>239642165</v>
      </c>
      <c r="B331" t="str">
        <f>VLOOKUP(A331,Plan1!$A$1:$G$718,2,0)</f>
        <v>VIAGA70000952393</v>
      </c>
      <c r="C331" t="str">
        <f>VLOOKUP(A331,Plan1!$A$1:$G$718,3,0)</f>
        <v>ABERTO</v>
      </c>
      <c r="D331">
        <v>6</v>
      </c>
      <c r="E331" t="str">
        <f>VLOOKUP(A331,Plan1!$A$1:$G$718,5,0)</f>
        <v>DESPESAS ODONTOLOGICAS</v>
      </c>
      <c r="F331" s="11">
        <v>375</v>
      </c>
      <c r="G331" s="11">
        <v>2176.36</v>
      </c>
      <c r="H331" t="s">
        <v>353</v>
      </c>
      <c r="I331" t="s">
        <v>355</v>
      </c>
    </row>
    <row r="332" spans="1:9" x14ac:dyDescent="0.35">
      <c r="A332">
        <v>239647577</v>
      </c>
      <c r="B332" t="str">
        <f>VLOOKUP(A332,Plan1!$A$1:$G$718,2,0)</f>
        <v>VIMTP11001009247</v>
      </c>
      <c r="C332" t="str">
        <f>VLOOKUP(A332,Plan1!$A$1:$G$718,3,0)</f>
        <v>ABERTO</v>
      </c>
      <c r="D332">
        <v>24</v>
      </c>
      <c r="E332" t="str">
        <f>VLOOKUP(A332,Plan1!$A$1:$G$718,5,0)</f>
        <v>DESPESAS FARMACEUTICAS</v>
      </c>
      <c r="F332" s="11">
        <v>373.97</v>
      </c>
      <c r="G332" s="11">
        <v>373.97</v>
      </c>
      <c r="H332" t="s">
        <v>353</v>
      </c>
      <c r="I332" t="s">
        <v>355</v>
      </c>
    </row>
    <row r="333" spans="1:9" x14ac:dyDescent="0.35">
      <c r="A333">
        <v>240006458</v>
      </c>
      <c r="B333" t="str">
        <f>VLOOKUP(A333,Plan1!$A$1:$G$718,2,0)</f>
        <v>VIMTP07000901526</v>
      </c>
      <c r="C333" t="str">
        <f>VLOOKUP(A333,Plan1!$A$1:$G$718,3,0)</f>
        <v>ABERTO</v>
      </c>
      <c r="D333">
        <v>24</v>
      </c>
      <c r="E333" t="str">
        <f>VLOOKUP(A333,Plan1!$A$1:$G$718,5,0)</f>
        <v>DESPESAS FARMACEUTICAS</v>
      </c>
      <c r="F333" s="11">
        <v>911.05</v>
      </c>
      <c r="G333" s="11">
        <v>911.05</v>
      </c>
      <c r="H333" t="s">
        <v>353</v>
      </c>
      <c r="I333" t="s">
        <v>355</v>
      </c>
    </row>
    <row r="334" spans="1:9" x14ac:dyDescent="0.35">
      <c r="A334">
        <v>240250379</v>
      </c>
      <c r="B334" t="str">
        <f>VLOOKUP(A334,Plan1!$A$1:$G$718,2,0)</f>
        <v>VIMTP07000863926</v>
      </c>
      <c r="C334" t="str">
        <f>VLOOKUP(A334,Plan1!$A$1:$G$718,3,0)</f>
        <v>ABERTO</v>
      </c>
      <c r="D334">
        <v>8</v>
      </c>
      <c r="E334" t="str">
        <f>VLOOKUP(A334,Plan1!$A$1:$G$718,5,0)</f>
        <v>DESPESAS MEDICAS, HOSPITALARES</v>
      </c>
      <c r="F334" s="11">
        <v>14052.91</v>
      </c>
      <c r="G334" s="11">
        <v>14052.91</v>
      </c>
      <c r="H334" t="s">
        <v>353</v>
      </c>
      <c r="I334" t="s">
        <v>355</v>
      </c>
    </row>
    <row r="335" spans="1:9" x14ac:dyDescent="0.35">
      <c r="A335">
        <v>239923586</v>
      </c>
      <c r="B335" t="str">
        <f>VLOOKUP(A335,Plan1!$A$1:$G$718,2,0)</f>
        <v>VIAGA52000923651</v>
      </c>
      <c r="C335" t="str">
        <f>VLOOKUP(A335,Plan1!$A$1:$G$718,3,0)</f>
        <v>ABERTO</v>
      </c>
      <c r="D335">
        <v>24</v>
      </c>
      <c r="E335" t="str">
        <f>VLOOKUP(A335,Plan1!$A$1:$G$718,5,0)</f>
        <v>DESPESAS FARMACEUTICAS</v>
      </c>
      <c r="F335" s="11">
        <v>466.39</v>
      </c>
      <c r="G335" s="11">
        <v>466.39</v>
      </c>
      <c r="H335" t="s">
        <v>353</v>
      </c>
      <c r="I335" t="s">
        <v>355</v>
      </c>
    </row>
    <row r="336" spans="1:9" x14ac:dyDescent="0.35">
      <c r="A336">
        <v>240090452</v>
      </c>
      <c r="B336" t="str">
        <f>VLOOKUP(A336,Plan1!$A$1:$G$718,2,0)</f>
        <v>VIMTP08000941356</v>
      </c>
      <c r="C336" t="str">
        <f>VLOOKUP(A336,Plan1!$A$1:$G$718,3,0)</f>
        <v>ABERTO</v>
      </c>
      <c r="D336">
        <v>24</v>
      </c>
      <c r="E336" t="str">
        <f>VLOOKUP(A336,Plan1!$A$1:$G$718,5,0)</f>
        <v>DESPESAS FARMACEUTICAS</v>
      </c>
      <c r="F336" s="11">
        <v>639.94000000000005</v>
      </c>
      <c r="G336" s="11">
        <v>639.94000000000005</v>
      </c>
      <c r="H336" t="s">
        <v>353</v>
      </c>
      <c r="I336" t="s">
        <v>355</v>
      </c>
    </row>
    <row r="337" spans="1:9" x14ac:dyDescent="0.35">
      <c r="A337">
        <v>240166071</v>
      </c>
      <c r="B337" t="str">
        <f>VLOOKUP(A337,Plan1!$A$1:$G$718,2,0)</f>
        <v>VIMTP19000939544</v>
      </c>
      <c r="C337" t="str">
        <f>VLOOKUP(A337,Plan1!$A$1:$G$718,3,0)</f>
        <v>ABERTO</v>
      </c>
      <c r="D337">
        <v>24</v>
      </c>
      <c r="E337" t="str">
        <f>VLOOKUP(A337,Plan1!$A$1:$G$718,5,0)</f>
        <v>DESPESAS FARMACEUTICAS</v>
      </c>
      <c r="F337" s="11">
        <v>395.17</v>
      </c>
      <c r="G337" s="11">
        <v>395.17</v>
      </c>
      <c r="H337" t="s">
        <v>353</v>
      </c>
      <c r="I337" t="s">
        <v>355</v>
      </c>
    </row>
    <row r="338" spans="1:9" x14ac:dyDescent="0.35">
      <c r="A338">
        <v>239652304</v>
      </c>
      <c r="B338" t="str">
        <f>VLOOKUP(A338,Plan1!$A$1:$G$718,2,0)</f>
        <v>VIMTP08000998976</v>
      </c>
      <c r="C338" t="str">
        <f>VLOOKUP(A338,Plan1!$A$1:$G$718,3,0)</f>
        <v>ABERTO</v>
      </c>
      <c r="D338">
        <v>4</v>
      </c>
      <c r="E338" t="str">
        <f>VLOOKUP(A338,Plan1!$A$1:$G$718,5,0)</f>
        <v>DESPESAS MEDICAS, HOSPITALARES</v>
      </c>
      <c r="F338" s="11">
        <v>4681.6400000000003</v>
      </c>
      <c r="G338" s="11">
        <v>4681.6400000000003</v>
      </c>
      <c r="H338" t="s">
        <v>353</v>
      </c>
      <c r="I338" t="s">
        <v>355</v>
      </c>
    </row>
    <row r="339" spans="1:9" x14ac:dyDescent="0.35">
      <c r="A339">
        <v>240090355</v>
      </c>
      <c r="B339" t="str">
        <f>VLOOKUP(A339,Plan1!$A$1:$G$718,2,0)</f>
        <v>VIMTP33000972142</v>
      </c>
      <c r="C339" t="str">
        <f>VLOOKUP(A339,Plan1!$A$1:$G$718,3,0)</f>
        <v>ABERTO</v>
      </c>
      <c r="D339">
        <v>24</v>
      </c>
      <c r="E339" t="str">
        <f>VLOOKUP(A339,Plan1!$A$1:$G$718,5,0)</f>
        <v>DESPESAS FARMACEUTICAS</v>
      </c>
      <c r="F339" s="11">
        <v>534.25</v>
      </c>
      <c r="G339" s="11">
        <v>534.25</v>
      </c>
      <c r="H339" t="s">
        <v>353</v>
      </c>
      <c r="I339" t="s">
        <v>355</v>
      </c>
    </row>
    <row r="340" spans="1:9" x14ac:dyDescent="0.35">
      <c r="A340">
        <v>240318498</v>
      </c>
      <c r="B340" t="str">
        <f>VLOOKUP(A340,Plan1!$A$1:$G$718,2,0)</f>
        <v>VIAGA54000827988</v>
      </c>
      <c r="C340" t="str">
        <f>VLOOKUP(A340,Plan1!$A$1:$G$718,3,0)</f>
        <v>ABERTO</v>
      </c>
      <c r="D340">
        <v>24</v>
      </c>
      <c r="E340" t="str">
        <f>VLOOKUP(A340,Plan1!$A$1:$G$718,5,0)</f>
        <v>DESPESAS FARMACEUTICAS</v>
      </c>
      <c r="F340" s="11">
        <v>542.16999999999996</v>
      </c>
      <c r="G340" s="11">
        <v>542.16999999999996</v>
      </c>
      <c r="H340" t="s">
        <v>353</v>
      </c>
      <c r="I340" t="s">
        <v>355</v>
      </c>
    </row>
    <row r="341" spans="1:9" x14ac:dyDescent="0.35">
      <c r="A341">
        <v>239789422</v>
      </c>
      <c r="B341" t="str">
        <f>VLOOKUP(A341,Plan1!$A$1:$G$718,2,0)</f>
        <v>VIMTP07000985760</v>
      </c>
      <c r="C341" t="str">
        <f>VLOOKUP(A341,Plan1!$A$1:$G$718,3,0)</f>
        <v>ABERTO</v>
      </c>
      <c r="D341">
        <v>8</v>
      </c>
      <c r="E341" t="str">
        <f>VLOOKUP(A341,Plan1!$A$1:$G$718,5,0)</f>
        <v>DESPESAS MEDICAS, HOSPITALARES</v>
      </c>
      <c r="F341" s="11">
        <v>1273</v>
      </c>
      <c r="G341" s="11">
        <v>5816.7800000000007</v>
      </c>
      <c r="H341" t="s">
        <v>353</v>
      </c>
      <c r="I341" t="s">
        <v>355</v>
      </c>
    </row>
  </sheetData>
  <autoFilter ref="A1:I341"/>
  <dataConsolidate topLabels="1">
    <dataRefs count="1">
      <dataRef ref="A1:G718" sheet="Plan1"/>
    </dataRefs>
  </dataConsolidate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718"/>
  <sheetViews>
    <sheetView workbookViewId="0"/>
  </sheetViews>
  <sheetFormatPr defaultRowHeight="14.5" x14ac:dyDescent="0.35"/>
  <cols>
    <col min="1" max="1" width="14.7265625" customWidth="1" collapsed="1"/>
    <col min="2" max="2" width="17.26953125" bestFit="1" customWidth="1" collapsed="1"/>
    <col min="3" max="3" width="14.1796875" customWidth="1" collapsed="1"/>
    <col min="4" max="4" width="11.26953125" customWidth="1" collapsed="1"/>
    <col min="5" max="5" width="50.54296875" bestFit="1" customWidth="1" collapsed="1"/>
    <col min="6" max="7" width="14.7265625" style="9" customWidth="1" collapsed="1"/>
  </cols>
  <sheetData>
    <row r="1" spans="1:7" x14ac:dyDescent="0.35">
      <c r="A1" s="1" t="s">
        <v>0</v>
      </c>
      <c r="B1" s="1" t="s">
        <v>4</v>
      </c>
      <c r="C1" s="1" t="s">
        <v>3</v>
      </c>
      <c r="D1" s="1" t="s">
        <v>1</v>
      </c>
      <c r="E1" s="1" t="s">
        <v>2</v>
      </c>
      <c r="F1" s="6" t="s">
        <v>347</v>
      </c>
      <c r="G1" s="6" t="s">
        <v>348</v>
      </c>
    </row>
    <row r="2" spans="1:7" x14ac:dyDescent="0.35">
      <c r="A2" s="2">
        <v>206366658</v>
      </c>
      <c r="B2" s="3" t="s">
        <v>7</v>
      </c>
      <c r="C2" s="3" t="s">
        <v>6</v>
      </c>
      <c r="D2" s="2">
        <v>24</v>
      </c>
      <c r="E2" s="3" t="s">
        <v>5</v>
      </c>
      <c r="F2" s="7">
        <v>47.99</v>
      </c>
      <c r="G2" s="7">
        <v>47.99</v>
      </c>
    </row>
    <row r="3" spans="1:7" x14ac:dyDescent="0.35">
      <c r="A3" s="2">
        <v>206366677</v>
      </c>
      <c r="B3" s="3" t="s">
        <v>9</v>
      </c>
      <c r="C3" s="3" t="s">
        <v>6</v>
      </c>
      <c r="D3" s="2">
        <v>6</v>
      </c>
      <c r="E3" s="3" t="s">
        <v>8</v>
      </c>
      <c r="F3" s="7">
        <v>52.68</v>
      </c>
      <c r="G3" s="7">
        <v>227.33</v>
      </c>
    </row>
    <row r="4" spans="1:7" x14ac:dyDescent="0.35">
      <c r="A4" s="4">
        <v>206366677</v>
      </c>
      <c r="B4" s="5" t="s">
        <v>9</v>
      </c>
      <c r="C4" s="5" t="s">
        <v>6</v>
      </c>
      <c r="D4" s="4">
        <v>6</v>
      </c>
      <c r="E4" s="5" t="s">
        <v>8</v>
      </c>
      <c r="F4" s="8">
        <v>40</v>
      </c>
      <c r="G4" s="8">
        <v>174.28</v>
      </c>
    </row>
    <row r="5" spans="1:7" x14ac:dyDescent="0.35">
      <c r="A5" s="4">
        <v>209702916</v>
      </c>
      <c r="B5" s="5" t="s">
        <v>12</v>
      </c>
      <c r="C5" s="5" t="s">
        <v>11</v>
      </c>
      <c r="D5" s="4">
        <v>4</v>
      </c>
      <c r="E5" s="5" t="s">
        <v>10</v>
      </c>
      <c r="F5" s="8">
        <v>510</v>
      </c>
      <c r="G5" s="8">
        <v>1659.54</v>
      </c>
    </row>
    <row r="6" spans="1:7" x14ac:dyDescent="0.35">
      <c r="A6" s="2">
        <v>209702916</v>
      </c>
      <c r="B6" s="3" t="s">
        <v>12</v>
      </c>
      <c r="C6" s="3" t="s">
        <v>11</v>
      </c>
      <c r="D6" s="2">
        <v>4</v>
      </c>
      <c r="E6" s="3" t="s">
        <v>10</v>
      </c>
      <c r="F6" s="7">
        <v>308</v>
      </c>
      <c r="G6" s="7">
        <v>1002.23</v>
      </c>
    </row>
    <row r="7" spans="1:7" x14ac:dyDescent="0.35">
      <c r="A7" s="4">
        <v>209703198</v>
      </c>
      <c r="B7" s="5" t="s">
        <v>13</v>
      </c>
      <c r="C7" s="5" t="s">
        <v>11</v>
      </c>
      <c r="D7" s="4">
        <v>4</v>
      </c>
      <c r="E7" s="5" t="s">
        <v>10</v>
      </c>
      <c r="F7" s="8">
        <v>275</v>
      </c>
      <c r="G7" s="8">
        <v>1075.1099999999999</v>
      </c>
    </row>
    <row r="8" spans="1:7" x14ac:dyDescent="0.35">
      <c r="A8" s="4">
        <v>213186373</v>
      </c>
      <c r="B8" s="5" t="s">
        <v>14</v>
      </c>
      <c r="C8" s="5" t="s">
        <v>11</v>
      </c>
      <c r="D8" s="4">
        <v>4</v>
      </c>
      <c r="E8" s="5" t="s">
        <v>10</v>
      </c>
      <c r="F8" s="8">
        <v>55</v>
      </c>
      <c r="G8" s="8">
        <v>153.63999999999999</v>
      </c>
    </row>
    <row r="9" spans="1:7" x14ac:dyDescent="0.35">
      <c r="A9" s="2">
        <v>215287609</v>
      </c>
      <c r="B9" s="3" t="s">
        <v>15</v>
      </c>
      <c r="C9" s="3" t="s">
        <v>11</v>
      </c>
      <c r="D9" s="2">
        <v>4</v>
      </c>
      <c r="E9" s="3" t="s">
        <v>10</v>
      </c>
      <c r="F9" s="7">
        <v>17558.5</v>
      </c>
      <c r="G9" s="7">
        <v>106883.32</v>
      </c>
    </row>
    <row r="10" spans="1:7" x14ac:dyDescent="0.35">
      <c r="A10" s="2">
        <v>215287233</v>
      </c>
      <c r="B10" s="3" t="s">
        <v>16</v>
      </c>
      <c r="C10" s="3" t="s">
        <v>11</v>
      </c>
      <c r="D10" s="2">
        <v>4</v>
      </c>
      <c r="E10" s="3" t="s">
        <v>10</v>
      </c>
      <c r="F10" s="7">
        <v>2412.41</v>
      </c>
      <c r="G10" s="7">
        <v>2412.41</v>
      </c>
    </row>
    <row r="11" spans="1:7" x14ac:dyDescent="0.35">
      <c r="A11" s="2">
        <v>215287763</v>
      </c>
      <c r="B11" s="3" t="s">
        <v>17</v>
      </c>
      <c r="C11" s="3" t="s">
        <v>11</v>
      </c>
      <c r="D11" s="2">
        <v>4</v>
      </c>
      <c r="E11" s="3" t="s">
        <v>10</v>
      </c>
      <c r="F11" s="7">
        <v>5.6</v>
      </c>
      <c r="G11" s="7">
        <v>29.91</v>
      </c>
    </row>
    <row r="12" spans="1:7" x14ac:dyDescent="0.35">
      <c r="A12" s="4">
        <v>218179941</v>
      </c>
      <c r="B12" s="5" t="s">
        <v>18</v>
      </c>
      <c r="C12" s="5" t="s">
        <v>11</v>
      </c>
      <c r="D12" s="4">
        <v>4</v>
      </c>
      <c r="E12" s="5" t="s">
        <v>10</v>
      </c>
      <c r="F12" s="8">
        <v>55</v>
      </c>
      <c r="G12" s="8">
        <v>169.53</v>
      </c>
    </row>
    <row r="13" spans="1:7" x14ac:dyDescent="0.35">
      <c r="A13" s="2">
        <v>218179941</v>
      </c>
      <c r="B13" s="3" t="s">
        <v>18</v>
      </c>
      <c r="C13" s="3" t="s">
        <v>11</v>
      </c>
      <c r="D13" s="2">
        <v>4</v>
      </c>
      <c r="E13" s="3" t="s">
        <v>10</v>
      </c>
      <c r="F13" s="7">
        <v>6535.9</v>
      </c>
      <c r="G13" s="7">
        <v>24802.12</v>
      </c>
    </row>
    <row r="14" spans="1:7" x14ac:dyDescent="0.35">
      <c r="A14" s="4">
        <v>218179941</v>
      </c>
      <c r="B14" s="5" t="s">
        <v>18</v>
      </c>
      <c r="C14" s="5" t="s">
        <v>11</v>
      </c>
      <c r="D14" s="4">
        <v>4</v>
      </c>
      <c r="E14" s="5" t="s">
        <v>10</v>
      </c>
      <c r="F14" s="8">
        <v>532.21</v>
      </c>
      <c r="G14" s="8">
        <v>2019.61</v>
      </c>
    </row>
    <row r="15" spans="1:7" x14ac:dyDescent="0.35">
      <c r="A15" s="2">
        <v>218179941</v>
      </c>
      <c r="B15" s="3" t="s">
        <v>18</v>
      </c>
      <c r="C15" s="3" t="s">
        <v>11</v>
      </c>
      <c r="D15" s="2">
        <v>4</v>
      </c>
      <c r="E15" s="3" t="s">
        <v>10</v>
      </c>
      <c r="F15" s="7">
        <v>720</v>
      </c>
      <c r="G15" s="7">
        <v>2735.39</v>
      </c>
    </row>
    <row r="16" spans="1:7" x14ac:dyDescent="0.35">
      <c r="A16" s="4">
        <v>218179941</v>
      </c>
      <c r="B16" s="5" t="s">
        <v>18</v>
      </c>
      <c r="C16" s="5" t="s">
        <v>11</v>
      </c>
      <c r="D16" s="4">
        <v>4</v>
      </c>
      <c r="E16" s="5" t="s">
        <v>10</v>
      </c>
      <c r="F16" s="8">
        <v>15.2</v>
      </c>
      <c r="G16" s="8">
        <v>57.75</v>
      </c>
    </row>
    <row r="17" spans="1:7" x14ac:dyDescent="0.35">
      <c r="A17" s="2">
        <v>218179941</v>
      </c>
      <c r="B17" s="3" t="s">
        <v>18</v>
      </c>
      <c r="C17" s="3" t="s">
        <v>11</v>
      </c>
      <c r="D17" s="2">
        <v>4</v>
      </c>
      <c r="E17" s="3" t="s">
        <v>10</v>
      </c>
      <c r="F17" s="7">
        <v>49</v>
      </c>
      <c r="G17" s="7">
        <v>189.48</v>
      </c>
    </row>
    <row r="18" spans="1:7" x14ac:dyDescent="0.35">
      <c r="A18" s="4">
        <v>218179941</v>
      </c>
      <c r="B18" s="5" t="s">
        <v>18</v>
      </c>
      <c r="C18" s="5" t="s">
        <v>11</v>
      </c>
      <c r="D18" s="4">
        <v>4</v>
      </c>
      <c r="E18" s="5" t="s">
        <v>10</v>
      </c>
      <c r="F18" s="8">
        <v>37.24</v>
      </c>
      <c r="G18" s="8">
        <v>144</v>
      </c>
    </row>
    <row r="19" spans="1:7" x14ac:dyDescent="0.35">
      <c r="A19" s="2">
        <v>218179941</v>
      </c>
      <c r="B19" s="3" t="s">
        <v>18</v>
      </c>
      <c r="C19" s="3" t="s">
        <v>11</v>
      </c>
      <c r="D19" s="2">
        <v>4</v>
      </c>
      <c r="E19" s="3" t="s">
        <v>10</v>
      </c>
      <c r="F19" s="7">
        <v>705</v>
      </c>
      <c r="G19" s="7">
        <v>2677.95</v>
      </c>
    </row>
    <row r="20" spans="1:7" x14ac:dyDescent="0.35">
      <c r="A20" s="2">
        <v>219097503</v>
      </c>
      <c r="B20" s="3" t="s">
        <v>19</v>
      </c>
      <c r="C20" s="3" t="s">
        <v>11</v>
      </c>
      <c r="D20" s="2">
        <v>4</v>
      </c>
      <c r="E20" s="3" t="s">
        <v>10</v>
      </c>
      <c r="F20" s="7">
        <v>40</v>
      </c>
      <c r="G20" s="7">
        <v>211.07</v>
      </c>
    </row>
    <row r="21" spans="1:7" x14ac:dyDescent="0.35">
      <c r="A21" s="4">
        <v>222287930</v>
      </c>
      <c r="B21" s="5" t="s">
        <v>20</v>
      </c>
      <c r="C21" s="5" t="s">
        <v>11</v>
      </c>
      <c r="D21" s="4">
        <v>4</v>
      </c>
      <c r="E21" s="5" t="s">
        <v>10</v>
      </c>
      <c r="F21" s="8">
        <v>180</v>
      </c>
      <c r="G21" s="8">
        <v>961.34</v>
      </c>
    </row>
    <row r="22" spans="1:7" x14ac:dyDescent="0.35">
      <c r="A22" s="2">
        <v>222287930</v>
      </c>
      <c r="B22" s="3" t="s">
        <v>20</v>
      </c>
      <c r="C22" s="3" t="s">
        <v>11</v>
      </c>
      <c r="D22" s="2">
        <v>4</v>
      </c>
      <c r="E22" s="3" t="s">
        <v>10</v>
      </c>
      <c r="F22" s="7">
        <v>610.9</v>
      </c>
      <c r="G22" s="7">
        <v>3262.68</v>
      </c>
    </row>
    <row r="23" spans="1:7" x14ac:dyDescent="0.35">
      <c r="A23" s="2">
        <v>226008277</v>
      </c>
      <c r="B23" s="3" t="s">
        <v>21</v>
      </c>
      <c r="C23" s="3" t="s">
        <v>11</v>
      </c>
      <c r="D23" s="2">
        <v>4</v>
      </c>
      <c r="E23" s="3" t="s">
        <v>10</v>
      </c>
      <c r="F23" s="7">
        <v>95</v>
      </c>
      <c r="G23" s="7">
        <v>297.39</v>
      </c>
    </row>
    <row r="24" spans="1:7" x14ac:dyDescent="0.35">
      <c r="A24" s="2">
        <v>224057875</v>
      </c>
      <c r="B24" s="3" t="s">
        <v>22</v>
      </c>
      <c r="C24" s="3" t="s">
        <v>11</v>
      </c>
      <c r="D24" s="2">
        <v>4</v>
      </c>
      <c r="E24" s="3" t="s">
        <v>10</v>
      </c>
      <c r="F24" s="7">
        <v>665.25</v>
      </c>
      <c r="G24" s="7">
        <v>3143.7</v>
      </c>
    </row>
    <row r="25" spans="1:7" x14ac:dyDescent="0.35">
      <c r="A25" s="4">
        <v>224057875</v>
      </c>
      <c r="B25" s="5" t="s">
        <v>22</v>
      </c>
      <c r="C25" s="5" t="s">
        <v>11</v>
      </c>
      <c r="D25" s="4">
        <v>4</v>
      </c>
      <c r="E25" s="5" t="s">
        <v>10</v>
      </c>
      <c r="F25" s="8">
        <v>42.13</v>
      </c>
      <c r="G25" s="8">
        <v>199.09</v>
      </c>
    </row>
    <row r="26" spans="1:7" x14ac:dyDescent="0.35">
      <c r="A26" s="2">
        <v>223936623</v>
      </c>
      <c r="B26" s="3" t="s">
        <v>24</v>
      </c>
      <c r="C26" s="3" t="s">
        <v>23</v>
      </c>
      <c r="D26" s="2">
        <v>4</v>
      </c>
      <c r="E26" s="3" t="s">
        <v>10</v>
      </c>
      <c r="F26" s="7">
        <v>813.08</v>
      </c>
      <c r="G26" s="7">
        <v>813.08</v>
      </c>
    </row>
    <row r="27" spans="1:7" x14ac:dyDescent="0.35">
      <c r="A27" s="4">
        <v>226935299</v>
      </c>
      <c r="B27" s="5" t="s">
        <v>25</v>
      </c>
      <c r="C27" s="5" t="s">
        <v>11</v>
      </c>
      <c r="D27" s="4">
        <v>4</v>
      </c>
      <c r="E27" s="5" t="s">
        <v>10</v>
      </c>
      <c r="F27" s="8">
        <v>150.9</v>
      </c>
      <c r="G27" s="8">
        <v>472.38</v>
      </c>
    </row>
    <row r="28" spans="1:7" x14ac:dyDescent="0.35">
      <c r="A28" s="4">
        <v>225060989</v>
      </c>
      <c r="B28" s="5" t="s">
        <v>26</v>
      </c>
      <c r="C28" s="5" t="s">
        <v>6</v>
      </c>
      <c r="D28" s="4">
        <v>4</v>
      </c>
      <c r="E28" s="5" t="s">
        <v>10</v>
      </c>
      <c r="F28" s="8">
        <v>479.38</v>
      </c>
      <c r="G28" s="8">
        <v>2482.94</v>
      </c>
    </row>
    <row r="29" spans="1:7" x14ac:dyDescent="0.35">
      <c r="A29" s="4">
        <v>225484980</v>
      </c>
      <c r="B29" s="5" t="s">
        <v>27</v>
      </c>
      <c r="C29" s="5" t="s">
        <v>11</v>
      </c>
      <c r="D29" s="4">
        <v>6</v>
      </c>
      <c r="E29" s="5" t="s">
        <v>8</v>
      </c>
      <c r="F29" s="8">
        <v>60</v>
      </c>
      <c r="G29" s="8">
        <v>319.07</v>
      </c>
    </row>
    <row r="30" spans="1:7" x14ac:dyDescent="0.35">
      <c r="A30" s="4">
        <v>240915148</v>
      </c>
      <c r="B30" s="5" t="s">
        <v>28</v>
      </c>
      <c r="C30" s="5" t="s">
        <v>23</v>
      </c>
      <c r="D30" s="4">
        <v>4</v>
      </c>
      <c r="E30" s="5" t="s">
        <v>10</v>
      </c>
      <c r="F30" s="8">
        <v>1517.34</v>
      </c>
      <c r="G30" s="8">
        <v>7178.97</v>
      </c>
    </row>
    <row r="31" spans="1:7" x14ac:dyDescent="0.35">
      <c r="A31" s="2">
        <v>240915148</v>
      </c>
      <c r="B31" s="3" t="s">
        <v>28</v>
      </c>
      <c r="C31" s="3" t="s">
        <v>23</v>
      </c>
      <c r="D31" s="2">
        <v>4</v>
      </c>
      <c r="E31" s="3" t="s">
        <v>10</v>
      </c>
      <c r="F31" s="7">
        <v>72.069999999999993</v>
      </c>
      <c r="G31" s="7">
        <v>340.99</v>
      </c>
    </row>
    <row r="32" spans="1:7" x14ac:dyDescent="0.35">
      <c r="A32" s="4">
        <v>240915148</v>
      </c>
      <c r="B32" s="5" t="s">
        <v>28</v>
      </c>
      <c r="C32" s="5" t="s">
        <v>23</v>
      </c>
      <c r="D32" s="4">
        <v>4</v>
      </c>
      <c r="E32" s="5" t="s">
        <v>10</v>
      </c>
      <c r="F32" s="8">
        <v>340.8</v>
      </c>
      <c r="G32" s="8">
        <v>1612.43</v>
      </c>
    </row>
    <row r="33" spans="1:7" x14ac:dyDescent="0.35">
      <c r="A33" s="2">
        <v>240915148</v>
      </c>
      <c r="B33" s="3" t="s">
        <v>28</v>
      </c>
      <c r="C33" s="3" t="s">
        <v>23</v>
      </c>
      <c r="D33" s="2">
        <v>4</v>
      </c>
      <c r="E33" s="3" t="s">
        <v>10</v>
      </c>
      <c r="F33" s="7">
        <v>16.190000000000001</v>
      </c>
      <c r="G33" s="7">
        <v>76.61</v>
      </c>
    </row>
    <row r="34" spans="1:7" x14ac:dyDescent="0.35">
      <c r="A34" s="2">
        <v>240915148</v>
      </c>
      <c r="B34" s="3" t="s">
        <v>28</v>
      </c>
      <c r="C34" s="3" t="s">
        <v>23</v>
      </c>
      <c r="D34" s="2">
        <v>4</v>
      </c>
      <c r="E34" s="3" t="s">
        <v>10</v>
      </c>
      <c r="F34" s="7">
        <v>2669.44</v>
      </c>
      <c r="G34" s="7">
        <v>12872.8</v>
      </c>
    </row>
    <row r="35" spans="1:7" x14ac:dyDescent="0.35">
      <c r="A35" s="4">
        <v>240915148</v>
      </c>
      <c r="B35" s="5" t="s">
        <v>28</v>
      </c>
      <c r="C35" s="5" t="s">
        <v>23</v>
      </c>
      <c r="D35" s="4">
        <v>4</v>
      </c>
      <c r="E35" s="5" t="s">
        <v>10</v>
      </c>
      <c r="F35" s="8">
        <v>26.7</v>
      </c>
      <c r="G35" s="8">
        <v>128.75</v>
      </c>
    </row>
    <row r="36" spans="1:7" x14ac:dyDescent="0.35">
      <c r="A36" s="4">
        <v>228065611</v>
      </c>
      <c r="B36" s="5" t="s">
        <v>29</v>
      </c>
      <c r="C36" s="5" t="s">
        <v>6</v>
      </c>
      <c r="D36" s="4">
        <v>4</v>
      </c>
      <c r="E36" s="5" t="s">
        <v>10</v>
      </c>
      <c r="F36" s="8">
        <v>803.75</v>
      </c>
      <c r="G36" s="8">
        <v>3871.98</v>
      </c>
    </row>
    <row r="37" spans="1:7" x14ac:dyDescent="0.35">
      <c r="A37" s="2">
        <v>228065611</v>
      </c>
      <c r="B37" s="3" t="s">
        <v>29</v>
      </c>
      <c r="C37" s="3" t="s">
        <v>6</v>
      </c>
      <c r="D37" s="2">
        <v>4</v>
      </c>
      <c r="E37" s="3" t="s">
        <v>10</v>
      </c>
      <c r="F37" s="7">
        <v>114.6</v>
      </c>
      <c r="G37" s="7">
        <v>552.08000000000004</v>
      </c>
    </row>
    <row r="38" spans="1:7" x14ac:dyDescent="0.35">
      <c r="A38" s="2">
        <v>227121818</v>
      </c>
      <c r="B38" s="3" t="s">
        <v>30</v>
      </c>
      <c r="C38" s="3" t="s">
        <v>11</v>
      </c>
      <c r="D38" s="2">
        <v>4</v>
      </c>
      <c r="E38" s="3" t="s">
        <v>10</v>
      </c>
      <c r="F38" s="7">
        <v>180</v>
      </c>
      <c r="G38" s="7">
        <v>961.34</v>
      </c>
    </row>
    <row r="39" spans="1:7" x14ac:dyDescent="0.35">
      <c r="A39" s="4">
        <v>227121818</v>
      </c>
      <c r="B39" s="5" t="s">
        <v>30</v>
      </c>
      <c r="C39" s="5" t="s">
        <v>11</v>
      </c>
      <c r="D39" s="4">
        <v>4</v>
      </c>
      <c r="E39" s="5" t="s">
        <v>10</v>
      </c>
      <c r="F39" s="8">
        <v>281.89999999999998</v>
      </c>
      <c r="G39" s="8">
        <v>1505.56</v>
      </c>
    </row>
    <row r="40" spans="1:7" x14ac:dyDescent="0.35">
      <c r="A40" s="4">
        <v>227154297</v>
      </c>
      <c r="B40" s="5" t="s">
        <v>31</v>
      </c>
      <c r="C40" s="5" t="s">
        <v>11</v>
      </c>
      <c r="D40" s="4">
        <v>4</v>
      </c>
      <c r="E40" s="5" t="s">
        <v>10</v>
      </c>
      <c r="F40" s="8">
        <v>781.6</v>
      </c>
      <c r="G40" s="8">
        <v>3693.52</v>
      </c>
    </row>
    <row r="41" spans="1:7" x14ac:dyDescent="0.35">
      <c r="A41" s="2">
        <v>227154297</v>
      </c>
      <c r="B41" s="3" t="s">
        <v>31</v>
      </c>
      <c r="C41" s="3" t="s">
        <v>11</v>
      </c>
      <c r="D41" s="2">
        <v>4</v>
      </c>
      <c r="E41" s="3" t="s">
        <v>10</v>
      </c>
      <c r="F41" s="7">
        <v>37.130000000000003</v>
      </c>
      <c r="G41" s="7">
        <v>175.46</v>
      </c>
    </row>
    <row r="42" spans="1:7" x14ac:dyDescent="0.35">
      <c r="A42" s="4">
        <v>227247166</v>
      </c>
      <c r="B42" s="5" t="s">
        <v>32</v>
      </c>
      <c r="C42" s="5" t="s">
        <v>11</v>
      </c>
      <c r="D42" s="4">
        <v>4</v>
      </c>
      <c r="E42" s="5" t="s">
        <v>10</v>
      </c>
      <c r="F42" s="8">
        <v>40</v>
      </c>
      <c r="G42" s="8">
        <v>212.7</v>
      </c>
    </row>
    <row r="43" spans="1:7" x14ac:dyDescent="0.35">
      <c r="A43" s="2">
        <v>227454460</v>
      </c>
      <c r="B43" s="3" t="s">
        <v>33</v>
      </c>
      <c r="C43" s="3" t="s">
        <v>11</v>
      </c>
      <c r="D43" s="2">
        <v>4</v>
      </c>
      <c r="E43" s="3" t="s">
        <v>10</v>
      </c>
      <c r="F43" s="7">
        <v>40</v>
      </c>
      <c r="G43" s="7">
        <v>212.7</v>
      </c>
    </row>
    <row r="44" spans="1:7" x14ac:dyDescent="0.35">
      <c r="A44" s="4">
        <v>228063587</v>
      </c>
      <c r="B44" s="5" t="s">
        <v>34</v>
      </c>
      <c r="C44" s="5" t="s">
        <v>11</v>
      </c>
      <c r="D44" s="4">
        <v>4</v>
      </c>
      <c r="E44" s="5" t="s">
        <v>10</v>
      </c>
      <c r="F44" s="8">
        <v>287.10000000000002</v>
      </c>
      <c r="G44" s="8">
        <v>287.10000000000002</v>
      </c>
    </row>
    <row r="45" spans="1:7" x14ac:dyDescent="0.35">
      <c r="A45" s="2">
        <v>228063587</v>
      </c>
      <c r="B45" s="3" t="s">
        <v>34</v>
      </c>
      <c r="C45" s="3" t="s">
        <v>11</v>
      </c>
      <c r="D45" s="2">
        <v>4</v>
      </c>
      <c r="E45" s="3" t="s">
        <v>10</v>
      </c>
      <c r="F45" s="7">
        <v>41.1</v>
      </c>
      <c r="G45" s="7">
        <v>41.1</v>
      </c>
    </row>
    <row r="46" spans="1:7" x14ac:dyDescent="0.35">
      <c r="A46" s="4">
        <v>228063587</v>
      </c>
      <c r="B46" s="5" t="s">
        <v>34</v>
      </c>
      <c r="C46" s="5" t="s">
        <v>11</v>
      </c>
      <c r="D46" s="4">
        <v>4</v>
      </c>
      <c r="E46" s="5" t="s">
        <v>10</v>
      </c>
      <c r="F46" s="8">
        <v>417.39</v>
      </c>
      <c r="G46" s="8">
        <v>417.39</v>
      </c>
    </row>
    <row r="47" spans="1:7" x14ac:dyDescent="0.35">
      <c r="A47" s="4">
        <v>229393367</v>
      </c>
      <c r="B47" s="5" t="s">
        <v>35</v>
      </c>
      <c r="C47" s="5" t="s">
        <v>11</v>
      </c>
      <c r="D47" s="4">
        <v>4</v>
      </c>
      <c r="E47" s="5" t="s">
        <v>10</v>
      </c>
      <c r="F47" s="8">
        <v>65</v>
      </c>
      <c r="G47" s="8">
        <v>349.06</v>
      </c>
    </row>
    <row r="48" spans="1:7" x14ac:dyDescent="0.35">
      <c r="A48" s="2">
        <v>228065170</v>
      </c>
      <c r="B48" s="3" t="s">
        <v>37</v>
      </c>
      <c r="C48" s="3" t="s">
        <v>23</v>
      </c>
      <c r="D48" s="2">
        <v>8</v>
      </c>
      <c r="E48" s="3" t="s">
        <v>36</v>
      </c>
      <c r="F48" s="7">
        <v>513.27</v>
      </c>
      <c r="G48" s="7">
        <v>2748.59</v>
      </c>
    </row>
    <row r="49" spans="1:7" x14ac:dyDescent="0.35">
      <c r="A49" s="4">
        <v>228065170</v>
      </c>
      <c r="B49" s="5" t="s">
        <v>37</v>
      </c>
      <c r="C49" s="5" t="s">
        <v>23</v>
      </c>
      <c r="D49" s="4">
        <v>8</v>
      </c>
      <c r="E49" s="5" t="s">
        <v>36</v>
      </c>
      <c r="F49" s="8">
        <v>51.33</v>
      </c>
      <c r="G49" s="8">
        <v>274.88</v>
      </c>
    </row>
    <row r="50" spans="1:7" x14ac:dyDescent="0.35">
      <c r="A50" s="2">
        <v>227639355</v>
      </c>
      <c r="B50" s="3" t="s">
        <v>38</v>
      </c>
      <c r="C50" s="3" t="s">
        <v>23</v>
      </c>
      <c r="D50" s="2">
        <v>4</v>
      </c>
      <c r="E50" s="3" t="s">
        <v>10</v>
      </c>
      <c r="F50" s="7">
        <v>55</v>
      </c>
      <c r="G50" s="7">
        <v>193.83</v>
      </c>
    </row>
    <row r="51" spans="1:7" x14ac:dyDescent="0.35">
      <c r="A51" s="4">
        <v>227640749</v>
      </c>
      <c r="B51" s="5" t="s">
        <v>39</v>
      </c>
      <c r="C51" s="5" t="s">
        <v>11</v>
      </c>
      <c r="D51" s="4">
        <v>4</v>
      </c>
      <c r="E51" s="5" t="s">
        <v>10</v>
      </c>
      <c r="F51" s="8">
        <v>180</v>
      </c>
      <c r="G51" s="8">
        <v>961.34</v>
      </c>
    </row>
    <row r="52" spans="1:7" x14ac:dyDescent="0.35">
      <c r="A52" s="2">
        <v>227640749</v>
      </c>
      <c r="B52" s="3" t="s">
        <v>39</v>
      </c>
      <c r="C52" s="3" t="s">
        <v>11</v>
      </c>
      <c r="D52" s="2">
        <v>4</v>
      </c>
      <c r="E52" s="3" t="s">
        <v>10</v>
      </c>
      <c r="F52" s="7">
        <v>135.4</v>
      </c>
      <c r="G52" s="7">
        <v>723.14</v>
      </c>
    </row>
    <row r="53" spans="1:7" x14ac:dyDescent="0.35">
      <c r="A53" s="4">
        <v>228066081</v>
      </c>
      <c r="B53" s="5" t="s">
        <v>40</v>
      </c>
      <c r="C53" s="5" t="s">
        <v>6</v>
      </c>
      <c r="D53" s="4">
        <v>4</v>
      </c>
      <c r="E53" s="5" t="s">
        <v>10</v>
      </c>
      <c r="F53" s="8">
        <v>173.29</v>
      </c>
      <c r="G53" s="8">
        <v>859.44</v>
      </c>
    </row>
    <row r="54" spans="1:7" x14ac:dyDescent="0.35">
      <c r="A54" s="2">
        <v>228066081</v>
      </c>
      <c r="B54" s="3" t="s">
        <v>40</v>
      </c>
      <c r="C54" s="3" t="s">
        <v>6</v>
      </c>
      <c r="D54" s="2">
        <v>4</v>
      </c>
      <c r="E54" s="3" t="s">
        <v>10</v>
      </c>
      <c r="F54" s="7">
        <v>108</v>
      </c>
      <c r="G54" s="7">
        <v>535.62</v>
      </c>
    </row>
    <row r="55" spans="1:7" x14ac:dyDescent="0.35">
      <c r="A55" s="4">
        <v>228066081</v>
      </c>
      <c r="B55" s="5" t="s">
        <v>40</v>
      </c>
      <c r="C55" s="5" t="s">
        <v>6</v>
      </c>
      <c r="D55" s="4">
        <v>4</v>
      </c>
      <c r="E55" s="5" t="s">
        <v>10</v>
      </c>
      <c r="F55" s="8">
        <v>250</v>
      </c>
      <c r="G55" s="8">
        <v>1239.8800000000001</v>
      </c>
    </row>
    <row r="56" spans="1:7" x14ac:dyDescent="0.35">
      <c r="A56" s="2">
        <v>228066081</v>
      </c>
      <c r="B56" s="3" t="s">
        <v>40</v>
      </c>
      <c r="C56" s="3" t="s">
        <v>6</v>
      </c>
      <c r="D56" s="2">
        <v>4</v>
      </c>
      <c r="E56" s="3" t="s">
        <v>10</v>
      </c>
      <c r="F56" s="7">
        <v>158.94</v>
      </c>
      <c r="G56" s="7">
        <v>816.47</v>
      </c>
    </row>
    <row r="57" spans="1:7" x14ac:dyDescent="0.35">
      <c r="A57" s="4">
        <v>228222096</v>
      </c>
      <c r="B57" s="5" t="s">
        <v>41</v>
      </c>
      <c r="C57" s="5" t="s">
        <v>11</v>
      </c>
      <c r="D57" s="4">
        <v>4</v>
      </c>
      <c r="E57" s="5" t="s">
        <v>10</v>
      </c>
      <c r="F57" s="8">
        <v>187</v>
      </c>
      <c r="G57" s="8">
        <v>871.87</v>
      </c>
    </row>
    <row r="58" spans="1:7" x14ac:dyDescent="0.35">
      <c r="A58" s="2">
        <v>228737939</v>
      </c>
      <c r="B58" s="3" t="s">
        <v>42</v>
      </c>
      <c r="C58" s="3" t="s">
        <v>23</v>
      </c>
      <c r="D58" s="2">
        <v>4</v>
      </c>
      <c r="E58" s="3" t="s">
        <v>10</v>
      </c>
      <c r="F58" s="7">
        <v>2608.9499999999998</v>
      </c>
      <c r="G58" s="7">
        <v>12659.63</v>
      </c>
    </row>
    <row r="59" spans="1:7" x14ac:dyDescent="0.35">
      <c r="A59" s="4">
        <v>228737939</v>
      </c>
      <c r="B59" s="5" t="s">
        <v>42</v>
      </c>
      <c r="C59" s="5" t="s">
        <v>23</v>
      </c>
      <c r="D59" s="4">
        <v>4</v>
      </c>
      <c r="E59" s="5" t="s">
        <v>10</v>
      </c>
      <c r="F59" s="8">
        <v>330.47</v>
      </c>
      <c r="G59" s="8">
        <v>1603.57</v>
      </c>
    </row>
    <row r="60" spans="1:7" x14ac:dyDescent="0.35">
      <c r="A60" s="4">
        <v>228439080</v>
      </c>
      <c r="B60" s="5" t="s">
        <v>44</v>
      </c>
      <c r="C60" s="5" t="s">
        <v>23</v>
      </c>
      <c r="D60" s="4">
        <v>15</v>
      </c>
      <c r="E60" s="5" t="s">
        <v>43</v>
      </c>
      <c r="F60" s="8">
        <v>77</v>
      </c>
      <c r="G60" s="8">
        <v>373.71</v>
      </c>
    </row>
    <row r="61" spans="1:7" x14ac:dyDescent="0.35">
      <c r="A61" s="2">
        <v>228439080</v>
      </c>
      <c r="B61" s="3" t="s">
        <v>44</v>
      </c>
      <c r="C61" s="3" t="s">
        <v>23</v>
      </c>
      <c r="D61" s="2">
        <v>15</v>
      </c>
      <c r="E61" s="3" t="s">
        <v>43</v>
      </c>
      <c r="F61" s="7">
        <v>37.81</v>
      </c>
      <c r="G61" s="7">
        <v>183.51</v>
      </c>
    </row>
    <row r="62" spans="1:7" x14ac:dyDescent="0.35">
      <c r="A62" s="4">
        <v>228439080</v>
      </c>
      <c r="B62" s="5" t="s">
        <v>44</v>
      </c>
      <c r="C62" s="5" t="s">
        <v>23</v>
      </c>
      <c r="D62" s="4">
        <v>15</v>
      </c>
      <c r="E62" s="5" t="s">
        <v>43</v>
      </c>
      <c r="F62" s="8">
        <v>140</v>
      </c>
      <c r="G62" s="8">
        <v>679.47</v>
      </c>
    </row>
    <row r="63" spans="1:7" x14ac:dyDescent="0.35">
      <c r="A63" s="2">
        <v>228439080</v>
      </c>
      <c r="B63" s="3" t="s">
        <v>44</v>
      </c>
      <c r="C63" s="3" t="s">
        <v>23</v>
      </c>
      <c r="D63" s="2">
        <v>15</v>
      </c>
      <c r="E63" s="3" t="s">
        <v>43</v>
      </c>
      <c r="F63" s="7">
        <v>17.48</v>
      </c>
      <c r="G63" s="7">
        <v>84.84</v>
      </c>
    </row>
    <row r="64" spans="1:7" x14ac:dyDescent="0.35">
      <c r="A64" s="4">
        <v>228439080</v>
      </c>
      <c r="B64" s="5" t="s">
        <v>44</v>
      </c>
      <c r="C64" s="5" t="s">
        <v>23</v>
      </c>
      <c r="D64" s="4">
        <v>15</v>
      </c>
      <c r="E64" s="5" t="s">
        <v>43</v>
      </c>
      <c r="F64" s="8">
        <v>217</v>
      </c>
      <c r="G64" s="8">
        <v>986.78</v>
      </c>
    </row>
    <row r="65" spans="1:7" x14ac:dyDescent="0.35">
      <c r="A65" s="2">
        <v>228439080</v>
      </c>
      <c r="B65" s="3" t="s">
        <v>44</v>
      </c>
      <c r="C65" s="3" t="s">
        <v>23</v>
      </c>
      <c r="D65" s="2">
        <v>15</v>
      </c>
      <c r="E65" s="3" t="s">
        <v>43</v>
      </c>
      <c r="F65" s="7">
        <v>55.29</v>
      </c>
      <c r="G65" s="7">
        <v>251.43</v>
      </c>
    </row>
    <row r="66" spans="1:7" x14ac:dyDescent="0.35">
      <c r="A66" s="4">
        <v>228439080</v>
      </c>
      <c r="B66" s="5" t="s">
        <v>44</v>
      </c>
      <c r="C66" s="5" t="s">
        <v>23</v>
      </c>
      <c r="D66" s="4">
        <v>15</v>
      </c>
      <c r="E66" s="5" t="s">
        <v>43</v>
      </c>
      <c r="F66" s="8">
        <v>17.7</v>
      </c>
      <c r="G66" s="8">
        <v>80.099999999999994</v>
      </c>
    </row>
    <row r="67" spans="1:7" x14ac:dyDescent="0.35">
      <c r="A67" s="4">
        <v>239644859</v>
      </c>
      <c r="B67" s="5" t="s">
        <v>45</v>
      </c>
      <c r="C67" s="5" t="s">
        <v>23</v>
      </c>
      <c r="D67" s="4">
        <v>4</v>
      </c>
      <c r="E67" s="5" t="s">
        <v>10</v>
      </c>
      <c r="F67" s="8">
        <v>5264.4</v>
      </c>
      <c r="G67" s="8">
        <v>23258.77</v>
      </c>
    </row>
    <row r="68" spans="1:7" x14ac:dyDescent="0.35">
      <c r="A68" s="2">
        <v>239644859</v>
      </c>
      <c r="B68" s="3" t="s">
        <v>45</v>
      </c>
      <c r="C68" s="3" t="s">
        <v>23</v>
      </c>
      <c r="D68" s="2">
        <v>4</v>
      </c>
      <c r="E68" s="3" t="s">
        <v>10</v>
      </c>
      <c r="F68" s="7">
        <v>666.82</v>
      </c>
      <c r="G68" s="7">
        <v>2946.09</v>
      </c>
    </row>
    <row r="69" spans="1:7" x14ac:dyDescent="0.35">
      <c r="A69" s="2">
        <v>228366348</v>
      </c>
      <c r="B69" s="3" t="s">
        <v>46</v>
      </c>
      <c r="C69" s="3" t="s">
        <v>23</v>
      </c>
      <c r="D69" s="2">
        <v>4</v>
      </c>
      <c r="E69" s="3" t="s">
        <v>10</v>
      </c>
      <c r="F69" s="7">
        <v>393</v>
      </c>
      <c r="G69" s="7">
        <v>1662.35</v>
      </c>
    </row>
    <row r="70" spans="1:7" x14ac:dyDescent="0.35">
      <c r="A70" s="2">
        <v>228366348</v>
      </c>
      <c r="B70" s="3" t="s">
        <v>46</v>
      </c>
      <c r="C70" s="3" t="s">
        <v>23</v>
      </c>
      <c r="D70" s="2">
        <v>4</v>
      </c>
      <c r="E70" s="3" t="s">
        <v>10</v>
      </c>
      <c r="F70" s="7">
        <v>426</v>
      </c>
      <c r="G70" s="7">
        <v>1826.33</v>
      </c>
    </row>
    <row r="71" spans="1:7" x14ac:dyDescent="0.35">
      <c r="A71" s="4">
        <v>228366348</v>
      </c>
      <c r="B71" s="5" t="s">
        <v>46</v>
      </c>
      <c r="C71" s="5" t="s">
        <v>23</v>
      </c>
      <c r="D71" s="4">
        <v>4</v>
      </c>
      <c r="E71" s="5" t="s">
        <v>10</v>
      </c>
      <c r="F71" s="8">
        <v>26.98</v>
      </c>
      <c r="G71" s="8">
        <v>115.67</v>
      </c>
    </row>
    <row r="72" spans="1:7" x14ac:dyDescent="0.35">
      <c r="A72" s="2">
        <v>228366348</v>
      </c>
      <c r="B72" s="3" t="s">
        <v>46</v>
      </c>
      <c r="C72" s="3" t="s">
        <v>23</v>
      </c>
      <c r="D72" s="2">
        <v>4</v>
      </c>
      <c r="E72" s="3" t="s">
        <v>10</v>
      </c>
      <c r="F72" s="7">
        <v>245.39</v>
      </c>
      <c r="G72" s="7">
        <v>1052.02</v>
      </c>
    </row>
    <row r="73" spans="1:7" x14ac:dyDescent="0.35">
      <c r="A73" s="4">
        <v>228366348</v>
      </c>
      <c r="B73" s="5" t="s">
        <v>46</v>
      </c>
      <c r="C73" s="5" t="s">
        <v>23</v>
      </c>
      <c r="D73" s="4">
        <v>4</v>
      </c>
      <c r="E73" s="5" t="s">
        <v>10</v>
      </c>
      <c r="F73" s="8">
        <v>35.270000000000003</v>
      </c>
      <c r="G73" s="8">
        <v>151.19999999999999</v>
      </c>
    </row>
    <row r="74" spans="1:7" x14ac:dyDescent="0.35">
      <c r="A74" s="2">
        <v>228366348</v>
      </c>
      <c r="B74" s="3" t="s">
        <v>46</v>
      </c>
      <c r="C74" s="3" t="s">
        <v>23</v>
      </c>
      <c r="D74" s="2">
        <v>4</v>
      </c>
      <c r="E74" s="3" t="s">
        <v>10</v>
      </c>
      <c r="F74" s="7">
        <v>15162.09</v>
      </c>
      <c r="G74" s="7">
        <v>70668.350000000006</v>
      </c>
    </row>
    <row r="75" spans="1:7" x14ac:dyDescent="0.35">
      <c r="A75" s="4">
        <v>228366348</v>
      </c>
      <c r="B75" s="5" t="s">
        <v>46</v>
      </c>
      <c r="C75" s="5" t="s">
        <v>23</v>
      </c>
      <c r="D75" s="4">
        <v>4</v>
      </c>
      <c r="E75" s="5" t="s">
        <v>10</v>
      </c>
      <c r="F75" s="8">
        <v>29.1</v>
      </c>
      <c r="G75" s="8">
        <v>135.63</v>
      </c>
    </row>
    <row r="76" spans="1:7" x14ac:dyDescent="0.35">
      <c r="A76" s="2">
        <v>228366348</v>
      </c>
      <c r="B76" s="3" t="s">
        <v>46</v>
      </c>
      <c r="C76" s="3" t="s">
        <v>23</v>
      </c>
      <c r="D76" s="2">
        <v>4</v>
      </c>
      <c r="E76" s="3" t="s">
        <v>10</v>
      </c>
      <c r="F76" s="7">
        <v>79.8</v>
      </c>
      <c r="G76" s="7">
        <v>361.19</v>
      </c>
    </row>
    <row r="77" spans="1:7" x14ac:dyDescent="0.35">
      <c r="A77" s="4">
        <v>228366348</v>
      </c>
      <c r="B77" s="5" t="s">
        <v>46</v>
      </c>
      <c r="C77" s="5" t="s">
        <v>23</v>
      </c>
      <c r="D77" s="4">
        <v>4</v>
      </c>
      <c r="E77" s="5" t="s">
        <v>10</v>
      </c>
      <c r="F77" s="8">
        <v>26.83</v>
      </c>
      <c r="G77" s="8">
        <v>121.44</v>
      </c>
    </row>
    <row r="78" spans="1:7" x14ac:dyDescent="0.35">
      <c r="A78" s="2">
        <v>228366348</v>
      </c>
      <c r="B78" s="3" t="s">
        <v>46</v>
      </c>
      <c r="C78" s="3" t="s">
        <v>23</v>
      </c>
      <c r="D78" s="2">
        <v>4</v>
      </c>
      <c r="E78" s="3" t="s">
        <v>10</v>
      </c>
      <c r="F78" s="7">
        <v>350</v>
      </c>
      <c r="G78" s="7">
        <v>1233.47</v>
      </c>
    </row>
    <row r="79" spans="1:7" x14ac:dyDescent="0.35">
      <c r="A79" s="4">
        <v>240916059</v>
      </c>
      <c r="B79" s="5" t="s">
        <v>47</v>
      </c>
      <c r="C79" s="5" t="s">
        <v>23</v>
      </c>
      <c r="D79" s="4">
        <v>4</v>
      </c>
      <c r="E79" s="5" t="s">
        <v>10</v>
      </c>
      <c r="F79" s="8">
        <v>2748.65</v>
      </c>
      <c r="G79" s="8">
        <v>12811.07</v>
      </c>
    </row>
    <row r="80" spans="1:7" x14ac:dyDescent="0.35">
      <c r="A80" s="2">
        <v>240916059</v>
      </c>
      <c r="B80" s="3" t="s">
        <v>47</v>
      </c>
      <c r="C80" s="3" t="s">
        <v>23</v>
      </c>
      <c r="D80" s="2">
        <v>4</v>
      </c>
      <c r="E80" s="3" t="s">
        <v>10</v>
      </c>
      <c r="F80" s="7">
        <v>155.99</v>
      </c>
      <c r="G80" s="7">
        <v>727.05</v>
      </c>
    </row>
    <row r="81" spans="1:7" x14ac:dyDescent="0.35">
      <c r="A81" s="4">
        <v>228615635</v>
      </c>
      <c r="B81" s="5" t="s">
        <v>48</v>
      </c>
      <c r="C81" s="5" t="s">
        <v>23</v>
      </c>
      <c r="D81" s="4">
        <v>4</v>
      </c>
      <c r="E81" s="5" t="s">
        <v>10</v>
      </c>
      <c r="F81" s="8">
        <v>986</v>
      </c>
      <c r="G81" s="8">
        <v>4680.33</v>
      </c>
    </row>
    <row r="82" spans="1:7" x14ac:dyDescent="0.35">
      <c r="A82" s="2">
        <v>228615635</v>
      </c>
      <c r="B82" s="3" t="s">
        <v>48</v>
      </c>
      <c r="C82" s="3" t="s">
        <v>23</v>
      </c>
      <c r="D82" s="2">
        <v>4</v>
      </c>
      <c r="E82" s="3" t="s">
        <v>10</v>
      </c>
      <c r="F82" s="7">
        <v>33.06</v>
      </c>
      <c r="G82" s="7">
        <v>156.93</v>
      </c>
    </row>
    <row r="83" spans="1:7" x14ac:dyDescent="0.35">
      <c r="A83" s="4">
        <v>228615747</v>
      </c>
      <c r="B83" s="5" t="s">
        <v>49</v>
      </c>
      <c r="C83" s="5" t="s">
        <v>23</v>
      </c>
      <c r="D83" s="4">
        <v>4</v>
      </c>
      <c r="E83" s="5" t="s">
        <v>10</v>
      </c>
      <c r="F83" s="8">
        <v>1817.25</v>
      </c>
      <c r="G83" s="8">
        <v>8587.56</v>
      </c>
    </row>
    <row r="84" spans="1:7" x14ac:dyDescent="0.35">
      <c r="A84" s="2">
        <v>228615747</v>
      </c>
      <c r="B84" s="3" t="s">
        <v>49</v>
      </c>
      <c r="C84" s="3" t="s">
        <v>23</v>
      </c>
      <c r="D84" s="2">
        <v>4</v>
      </c>
      <c r="E84" s="3" t="s">
        <v>10</v>
      </c>
      <c r="F84" s="7">
        <v>115.09</v>
      </c>
      <c r="G84" s="7">
        <v>543.87</v>
      </c>
    </row>
    <row r="85" spans="1:7" x14ac:dyDescent="0.35">
      <c r="A85" s="4">
        <v>240504187</v>
      </c>
      <c r="B85" s="5" t="s">
        <v>50</v>
      </c>
      <c r="C85" s="5" t="s">
        <v>23</v>
      </c>
      <c r="D85" s="4">
        <v>24</v>
      </c>
      <c r="E85" s="5" t="s">
        <v>5</v>
      </c>
      <c r="F85" s="8">
        <v>701.57</v>
      </c>
      <c r="G85" s="8">
        <v>701.57</v>
      </c>
    </row>
    <row r="86" spans="1:7" x14ac:dyDescent="0.35">
      <c r="A86" s="4">
        <v>228811666</v>
      </c>
      <c r="B86" s="5" t="s">
        <v>51</v>
      </c>
      <c r="C86" s="5" t="s">
        <v>23</v>
      </c>
      <c r="D86" s="4">
        <v>4</v>
      </c>
      <c r="E86" s="5" t="s">
        <v>10</v>
      </c>
      <c r="F86" s="8">
        <v>2637.72</v>
      </c>
      <c r="G86" s="8">
        <v>12706.9</v>
      </c>
    </row>
    <row r="87" spans="1:7" x14ac:dyDescent="0.35">
      <c r="A87" s="2">
        <v>228811666</v>
      </c>
      <c r="B87" s="3" t="s">
        <v>51</v>
      </c>
      <c r="C87" s="3" t="s">
        <v>23</v>
      </c>
      <c r="D87" s="2">
        <v>4</v>
      </c>
      <c r="E87" s="3" t="s">
        <v>10</v>
      </c>
      <c r="F87" s="7">
        <v>115.19</v>
      </c>
      <c r="G87" s="7">
        <v>554.91999999999996</v>
      </c>
    </row>
    <row r="88" spans="1:7" x14ac:dyDescent="0.35">
      <c r="A88" s="2">
        <v>230096485</v>
      </c>
      <c r="B88" s="3" t="s">
        <v>52</v>
      </c>
      <c r="C88" s="3" t="s">
        <v>23</v>
      </c>
      <c r="D88" s="2">
        <v>4</v>
      </c>
      <c r="E88" s="3" t="s">
        <v>10</v>
      </c>
      <c r="F88" s="7">
        <v>1027</v>
      </c>
      <c r="G88" s="7">
        <v>4983.3900000000003</v>
      </c>
    </row>
    <row r="89" spans="1:7" x14ac:dyDescent="0.35">
      <c r="A89" s="2">
        <v>228737905</v>
      </c>
      <c r="B89" s="3" t="s">
        <v>53</v>
      </c>
      <c r="C89" s="3" t="s">
        <v>23</v>
      </c>
      <c r="D89" s="2">
        <v>4</v>
      </c>
      <c r="E89" s="3" t="s">
        <v>10</v>
      </c>
      <c r="F89" s="7">
        <v>2041.9</v>
      </c>
      <c r="G89" s="7">
        <v>9887.26</v>
      </c>
    </row>
    <row r="90" spans="1:7" x14ac:dyDescent="0.35">
      <c r="A90" s="4">
        <v>228737905</v>
      </c>
      <c r="B90" s="5" t="s">
        <v>53</v>
      </c>
      <c r="C90" s="5" t="s">
        <v>23</v>
      </c>
      <c r="D90" s="4">
        <v>4</v>
      </c>
      <c r="E90" s="5" t="s">
        <v>10</v>
      </c>
      <c r="F90" s="8">
        <v>166.27</v>
      </c>
      <c r="G90" s="8">
        <v>805.12</v>
      </c>
    </row>
    <row r="91" spans="1:7" x14ac:dyDescent="0.35">
      <c r="A91" s="2">
        <v>240916063</v>
      </c>
      <c r="B91" s="3" t="s">
        <v>54</v>
      </c>
      <c r="C91" s="3" t="s">
        <v>23</v>
      </c>
      <c r="D91" s="2">
        <v>4</v>
      </c>
      <c r="E91" s="3" t="s">
        <v>10</v>
      </c>
      <c r="F91" s="7">
        <v>3140.1</v>
      </c>
      <c r="G91" s="7">
        <v>15267.37</v>
      </c>
    </row>
    <row r="92" spans="1:7" x14ac:dyDescent="0.35">
      <c r="A92" s="4">
        <v>240916063</v>
      </c>
      <c r="B92" s="5" t="s">
        <v>54</v>
      </c>
      <c r="C92" s="5" t="s">
        <v>23</v>
      </c>
      <c r="D92" s="4">
        <v>4</v>
      </c>
      <c r="E92" s="5" t="s">
        <v>10</v>
      </c>
      <c r="F92" s="8">
        <v>81.36</v>
      </c>
      <c r="G92" s="8">
        <v>395.58</v>
      </c>
    </row>
    <row r="93" spans="1:7" x14ac:dyDescent="0.35">
      <c r="A93" s="2">
        <v>229307969</v>
      </c>
      <c r="B93" s="3" t="s">
        <v>55</v>
      </c>
      <c r="C93" s="3" t="s">
        <v>23</v>
      </c>
      <c r="D93" s="2">
        <v>4</v>
      </c>
      <c r="E93" s="3" t="s">
        <v>10</v>
      </c>
      <c r="F93" s="7">
        <v>3568.11</v>
      </c>
      <c r="G93" s="7">
        <v>17206.41</v>
      </c>
    </row>
    <row r="94" spans="1:7" x14ac:dyDescent="0.35">
      <c r="A94" s="4">
        <v>229307969</v>
      </c>
      <c r="B94" s="5" t="s">
        <v>55</v>
      </c>
      <c r="C94" s="5" t="s">
        <v>23</v>
      </c>
      <c r="D94" s="4">
        <v>4</v>
      </c>
      <c r="E94" s="5" t="s">
        <v>10</v>
      </c>
      <c r="F94" s="8">
        <v>178.41</v>
      </c>
      <c r="G94" s="8">
        <v>860.35</v>
      </c>
    </row>
    <row r="95" spans="1:7" x14ac:dyDescent="0.35">
      <c r="A95" s="4">
        <v>231873882</v>
      </c>
      <c r="B95" s="5" t="s">
        <v>56</v>
      </c>
      <c r="C95" s="5" t="s">
        <v>23</v>
      </c>
      <c r="D95" s="4">
        <v>4</v>
      </c>
      <c r="E95" s="5" t="s">
        <v>10</v>
      </c>
      <c r="F95" s="8">
        <v>13.71</v>
      </c>
      <c r="G95" s="8">
        <v>71.02</v>
      </c>
    </row>
    <row r="96" spans="1:7" x14ac:dyDescent="0.35">
      <c r="A96" s="2">
        <v>231873882</v>
      </c>
      <c r="B96" s="3" t="s">
        <v>56</v>
      </c>
      <c r="C96" s="3" t="s">
        <v>23</v>
      </c>
      <c r="D96" s="2">
        <v>4</v>
      </c>
      <c r="E96" s="3" t="s">
        <v>10</v>
      </c>
      <c r="F96" s="7">
        <v>3001.4</v>
      </c>
      <c r="G96" s="7">
        <v>15545.75</v>
      </c>
    </row>
    <row r="97" spans="1:7" x14ac:dyDescent="0.35">
      <c r="A97" s="2">
        <v>229994026</v>
      </c>
      <c r="B97" s="3" t="s">
        <v>57</v>
      </c>
      <c r="C97" s="3" t="s">
        <v>23</v>
      </c>
      <c r="D97" s="2">
        <v>4</v>
      </c>
      <c r="E97" s="3" t="s">
        <v>10</v>
      </c>
      <c r="F97" s="7">
        <v>1171.02</v>
      </c>
      <c r="G97" s="7">
        <v>6288.84</v>
      </c>
    </row>
    <row r="98" spans="1:7" x14ac:dyDescent="0.35">
      <c r="A98" s="4">
        <v>229994026</v>
      </c>
      <c r="B98" s="5" t="s">
        <v>57</v>
      </c>
      <c r="C98" s="5" t="s">
        <v>23</v>
      </c>
      <c r="D98" s="4">
        <v>4</v>
      </c>
      <c r="E98" s="5" t="s">
        <v>10</v>
      </c>
      <c r="F98" s="8">
        <v>868.5</v>
      </c>
      <c r="G98" s="8">
        <v>4664.16</v>
      </c>
    </row>
    <row r="99" spans="1:7" x14ac:dyDescent="0.35">
      <c r="A99" s="2">
        <v>240914923</v>
      </c>
      <c r="B99" s="3" t="s">
        <v>58</v>
      </c>
      <c r="C99" s="3" t="s">
        <v>23</v>
      </c>
      <c r="D99" s="2">
        <v>24</v>
      </c>
      <c r="E99" s="3" t="s">
        <v>5</v>
      </c>
      <c r="F99" s="7">
        <v>496.49</v>
      </c>
      <c r="G99" s="7">
        <v>496.49</v>
      </c>
    </row>
    <row r="100" spans="1:7" x14ac:dyDescent="0.35">
      <c r="A100" s="4">
        <v>240916082</v>
      </c>
      <c r="B100" s="5" t="s">
        <v>60</v>
      </c>
      <c r="C100" s="5" t="s">
        <v>23</v>
      </c>
      <c r="D100" s="4">
        <v>9</v>
      </c>
      <c r="E100" s="5" t="s">
        <v>59</v>
      </c>
      <c r="F100" s="8">
        <v>5940</v>
      </c>
      <c r="G100" s="8">
        <v>28140.21</v>
      </c>
    </row>
    <row r="101" spans="1:7" x14ac:dyDescent="0.35">
      <c r="A101" s="2">
        <v>240916082</v>
      </c>
      <c r="B101" s="3" t="s">
        <v>60</v>
      </c>
      <c r="C101" s="3" t="s">
        <v>23</v>
      </c>
      <c r="D101" s="2">
        <v>9</v>
      </c>
      <c r="E101" s="3" t="s">
        <v>59</v>
      </c>
      <c r="F101" s="7">
        <v>1405</v>
      </c>
      <c r="G101" s="7">
        <v>6656.07</v>
      </c>
    </row>
    <row r="102" spans="1:7" x14ac:dyDescent="0.35">
      <c r="A102" s="4">
        <v>240916082</v>
      </c>
      <c r="B102" s="5" t="s">
        <v>60</v>
      </c>
      <c r="C102" s="5" t="s">
        <v>23</v>
      </c>
      <c r="D102" s="4">
        <v>9</v>
      </c>
      <c r="E102" s="5" t="s">
        <v>59</v>
      </c>
      <c r="F102" s="8">
        <v>31</v>
      </c>
      <c r="G102" s="8">
        <v>146.86000000000001</v>
      </c>
    </row>
    <row r="103" spans="1:7" x14ac:dyDescent="0.35">
      <c r="A103" s="2">
        <v>230325690</v>
      </c>
      <c r="B103" s="3" t="s">
        <v>61</v>
      </c>
      <c r="C103" s="3" t="s">
        <v>23</v>
      </c>
      <c r="D103" s="2">
        <v>4</v>
      </c>
      <c r="E103" s="3" t="s">
        <v>10</v>
      </c>
      <c r="F103" s="7">
        <v>295</v>
      </c>
      <c r="G103" s="7">
        <v>1051.33</v>
      </c>
    </row>
    <row r="104" spans="1:7" x14ac:dyDescent="0.35">
      <c r="A104" s="4">
        <v>240888554</v>
      </c>
      <c r="B104" s="5" t="s">
        <v>62</v>
      </c>
      <c r="C104" s="5" t="s">
        <v>23</v>
      </c>
      <c r="D104" s="4">
        <v>4</v>
      </c>
      <c r="E104" s="5" t="s">
        <v>10</v>
      </c>
      <c r="F104" s="8">
        <v>3478.3</v>
      </c>
      <c r="G104" s="8">
        <v>16456.87</v>
      </c>
    </row>
    <row r="105" spans="1:7" x14ac:dyDescent="0.35">
      <c r="A105" s="2">
        <v>240888554</v>
      </c>
      <c r="B105" s="3" t="s">
        <v>62</v>
      </c>
      <c r="C105" s="3" t="s">
        <v>23</v>
      </c>
      <c r="D105" s="2">
        <v>4</v>
      </c>
      <c r="E105" s="3" t="s">
        <v>10</v>
      </c>
      <c r="F105" s="7">
        <v>283.23</v>
      </c>
      <c r="G105" s="7">
        <v>1340.05</v>
      </c>
    </row>
    <row r="106" spans="1:7" x14ac:dyDescent="0.35">
      <c r="A106" s="2">
        <v>230902051</v>
      </c>
      <c r="B106" s="3" t="s">
        <v>63</v>
      </c>
      <c r="C106" s="3" t="s">
        <v>23</v>
      </c>
      <c r="D106" s="2">
        <v>4</v>
      </c>
      <c r="E106" s="3" t="s">
        <v>10</v>
      </c>
      <c r="F106" s="7">
        <v>2061.13</v>
      </c>
      <c r="G106" s="7">
        <v>9783.74</v>
      </c>
    </row>
    <row r="107" spans="1:7" x14ac:dyDescent="0.35">
      <c r="A107" s="4">
        <v>230902051</v>
      </c>
      <c r="B107" s="5" t="s">
        <v>63</v>
      </c>
      <c r="C107" s="5" t="s">
        <v>23</v>
      </c>
      <c r="D107" s="4">
        <v>4</v>
      </c>
      <c r="E107" s="5" t="s">
        <v>10</v>
      </c>
      <c r="F107" s="8">
        <v>261.08</v>
      </c>
      <c r="G107" s="8">
        <v>1239.29</v>
      </c>
    </row>
    <row r="108" spans="1:7" x14ac:dyDescent="0.35">
      <c r="A108" s="4">
        <v>230977557</v>
      </c>
      <c r="B108" s="5" t="s">
        <v>64</v>
      </c>
      <c r="C108" s="5" t="s">
        <v>23</v>
      </c>
      <c r="D108" s="4">
        <v>4</v>
      </c>
      <c r="E108" s="5" t="s">
        <v>10</v>
      </c>
      <c r="F108" s="8">
        <v>8267.67</v>
      </c>
      <c r="G108" s="8">
        <v>36527.58</v>
      </c>
    </row>
    <row r="109" spans="1:7" x14ac:dyDescent="0.35">
      <c r="A109" s="2">
        <v>230977557</v>
      </c>
      <c r="B109" s="3" t="s">
        <v>64</v>
      </c>
      <c r="C109" s="3" t="s">
        <v>23</v>
      </c>
      <c r="D109" s="2">
        <v>4</v>
      </c>
      <c r="E109" s="3" t="s">
        <v>10</v>
      </c>
      <c r="F109" s="7">
        <v>523.62</v>
      </c>
      <c r="G109" s="7">
        <v>2313.42</v>
      </c>
    </row>
    <row r="110" spans="1:7" x14ac:dyDescent="0.35">
      <c r="A110" s="2">
        <v>231077330</v>
      </c>
      <c r="B110" s="3" t="s">
        <v>65</v>
      </c>
      <c r="C110" s="3" t="s">
        <v>23</v>
      </c>
      <c r="D110" s="2">
        <v>4</v>
      </c>
      <c r="E110" s="3" t="s">
        <v>10</v>
      </c>
      <c r="F110" s="7">
        <v>113.21</v>
      </c>
      <c r="G110" s="7">
        <v>586.36</v>
      </c>
    </row>
    <row r="111" spans="1:7" x14ac:dyDescent="0.35">
      <c r="A111" s="4">
        <v>231077330</v>
      </c>
      <c r="B111" s="5" t="s">
        <v>65</v>
      </c>
      <c r="C111" s="5" t="s">
        <v>23</v>
      </c>
      <c r="D111" s="4">
        <v>4</v>
      </c>
      <c r="E111" s="5" t="s">
        <v>10</v>
      </c>
      <c r="F111" s="8">
        <v>45.42</v>
      </c>
      <c r="G111" s="8">
        <v>235.26</v>
      </c>
    </row>
    <row r="112" spans="1:7" x14ac:dyDescent="0.35">
      <c r="A112" s="2">
        <v>231119718</v>
      </c>
      <c r="B112" s="3" t="s">
        <v>66</v>
      </c>
      <c r="C112" s="3" t="s">
        <v>23</v>
      </c>
      <c r="D112" s="2">
        <v>4</v>
      </c>
      <c r="E112" s="3" t="s">
        <v>10</v>
      </c>
      <c r="F112" s="7">
        <v>7599.37</v>
      </c>
      <c r="G112" s="7">
        <v>41325.050000000003</v>
      </c>
    </row>
    <row r="113" spans="1:7" x14ac:dyDescent="0.35">
      <c r="A113" s="4">
        <v>231119718</v>
      </c>
      <c r="B113" s="5" t="s">
        <v>66</v>
      </c>
      <c r="C113" s="5" t="s">
        <v>23</v>
      </c>
      <c r="D113" s="4">
        <v>4</v>
      </c>
      <c r="E113" s="5" t="s">
        <v>10</v>
      </c>
      <c r="F113" s="8">
        <v>941.98</v>
      </c>
      <c r="G113" s="8">
        <v>941.98</v>
      </c>
    </row>
    <row r="114" spans="1:7" x14ac:dyDescent="0.35">
      <c r="A114" s="4">
        <v>231206619</v>
      </c>
      <c r="B114" s="5" t="s">
        <v>67</v>
      </c>
      <c r="C114" s="5" t="s">
        <v>23</v>
      </c>
      <c r="D114" s="4">
        <v>4</v>
      </c>
      <c r="E114" s="5" t="s">
        <v>10</v>
      </c>
      <c r="F114" s="8">
        <v>3134.38</v>
      </c>
      <c r="G114" s="8">
        <v>15114.86</v>
      </c>
    </row>
    <row r="115" spans="1:7" x14ac:dyDescent="0.35">
      <c r="A115" s="2">
        <v>231206619</v>
      </c>
      <c r="B115" s="3" t="s">
        <v>67</v>
      </c>
      <c r="C115" s="3" t="s">
        <v>23</v>
      </c>
      <c r="D115" s="2">
        <v>4</v>
      </c>
      <c r="E115" s="3" t="s">
        <v>10</v>
      </c>
      <c r="F115" s="7">
        <v>554.72</v>
      </c>
      <c r="G115" s="7">
        <v>2675.01</v>
      </c>
    </row>
    <row r="116" spans="1:7" x14ac:dyDescent="0.35">
      <c r="A116" s="4">
        <v>231456983</v>
      </c>
      <c r="B116" s="5" t="s">
        <v>68</v>
      </c>
      <c r="C116" s="5" t="s">
        <v>23</v>
      </c>
      <c r="D116" s="4">
        <v>4</v>
      </c>
      <c r="E116" s="5" t="s">
        <v>10</v>
      </c>
      <c r="F116" s="8">
        <v>212.1</v>
      </c>
      <c r="G116" s="8">
        <v>1002.29</v>
      </c>
    </row>
    <row r="117" spans="1:7" x14ac:dyDescent="0.35">
      <c r="A117" s="2">
        <v>231456983</v>
      </c>
      <c r="B117" s="3" t="s">
        <v>68</v>
      </c>
      <c r="C117" s="3" t="s">
        <v>23</v>
      </c>
      <c r="D117" s="2">
        <v>4</v>
      </c>
      <c r="E117" s="3" t="s">
        <v>10</v>
      </c>
      <c r="F117" s="7">
        <v>17.27</v>
      </c>
      <c r="G117" s="7">
        <v>81.61</v>
      </c>
    </row>
    <row r="118" spans="1:7" x14ac:dyDescent="0.35">
      <c r="A118" s="2">
        <v>231456848</v>
      </c>
      <c r="B118" s="3" t="s">
        <v>69</v>
      </c>
      <c r="C118" s="3" t="s">
        <v>23</v>
      </c>
      <c r="D118" s="2">
        <v>4</v>
      </c>
      <c r="E118" s="3" t="s">
        <v>10</v>
      </c>
      <c r="F118" s="7">
        <v>1038.7</v>
      </c>
      <c r="G118" s="7">
        <v>5029.57</v>
      </c>
    </row>
    <row r="119" spans="1:7" x14ac:dyDescent="0.35">
      <c r="A119" s="4">
        <v>231456848</v>
      </c>
      <c r="B119" s="5" t="s">
        <v>69</v>
      </c>
      <c r="C119" s="5" t="s">
        <v>23</v>
      </c>
      <c r="D119" s="4">
        <v>4</v>
      </c>
      <c r="E119" s="5" t="s">
        <v>10</v>
      </c>
      <c r="F119" s="8">
        <v>34.83</v>
      </c>
      <c r="G119" s="8">
        <v>168.65</v>
      </c>
    </row>
    <row r="120" spans="1:7" x14ac:dyDescent="0.35">
      <c r="A120" s="2">
        <v>231515360</v>
      </c>
      <c r="B120" s="3" t="s">
        <v>70</v>
      </c>
      <c r="C120" s="3" t="s">
        <v>23</v>
      </c>
      <c r="D120" s="2">
        <v>4</v>
      </c>
      <c r="E120" s="3" t="s">
        <v>10</v>
      </c>
      <c r="F120" s="7">
        <v>60</v>
      </c>
      <c r="G120" s="7">
        <v>320.55</v>
      </c>
    </row>
    <row r="121" spans="1:7" x14ac:dyDescent="0.35">
      <c r="A121" s="4">
        <v>240888252</v>
      </c>
      <c r="B121" s="5" t="s">
        <v>71</v>
      </c>
      <c r="C121" s="5" t="s">
        <v>23</v>
      </c>
      <c r="D121" s="4">
        <v>4</v>
      </c>
      <c r="E121" s="5" t="s">
        <v>10</v>
      </c>
      <c r="F121" s="8">
        <v>1933.24</v>
      </c>
      <c r="G121" s="8">
        <v>8750.4599999999991</v>
      </c>
    </row>
    <row r="122" spans="1:7" x14ac:dyDescent="0.35">
      <c r="A122" s="2">
        <v>240888252</v>
      </c>
      <c r="B122" s="3" t="s">
        <v>71</v>
      </c>
      <c r="C122" s="3" t="s">
        <v>23</v>
      </c>
      <c r="D122" s="2">
        <v>4</v>
      </c>
      <c r="E122" s="3" t="s">
        <v>10</v>
      </c>
      <c r="F122" s="7">
        <v>172.85</v>
      </c>
      <c r="G122" s="7">
        <v>782.38</v>
      </c>
    </row>
    <row r="123" spans="1:7" x14ac:dyDescent="0.35">
      <c r="A123" s="4">
        <v>231512906</v>
      </c>
      <c r="B123" s="5" t="s">
        <v>72</v>
      </c>
      <c r="C123" s="5" t="s">
        <v>23</v>
      </c>
      <c r="D123" s="4">
        <v>4</v>
      </c>
      <c r="E123" s="5" t="s">
        <v>10</v>
      </c>
      <c r="F123" s="8">
        <v>60</v>
      </c>
      <c r="G123" s="8">
        <v>320.55</v>
      </c>
    </row>
    <row r="124" spans="1:7" x14ac:dyDescent="0.35">
      <c r="A124" s="2">
        <v>231515468</v>
      </c>
      <c r="B124" s="3" t="s">
        <v>73</v>
      </c>
      <c r="C124" s="3" t="s">
        <v>23</v>
      </c>
      <c r="D124" s="2">
        <v>4</v>
      </c>
      <c r="E124" s="3" t="s">
        <v>10</v>
      </c>
      <c r="F124" s="7">
        <v>60</v>
      </c>
      <c r="G124" s="7">
        <v>320.55</v>
      </c>
    </row>
    <row r="125" spans="1:7" x14ac:dyDescent="0.35">
      <c r="A125" s="2">
        <v>231623811</v>
      </c>
      <c r="B125" s="3" t="s">
        <v>74</v>
      </c>
      <c r="C125" s="3" t="s">
        <v>23</v>
      </c>
      <c r="D125" s="2">
        <v>4</v>
      </c>
      <c r="E125" s="3" t="s">
        <v>10</v>
      </c>
      <c r="F125" s="7">
        <v>60</v>
      </c>
      <c r="G125" s="7">
        <v>320.55</v>
      </c>
    </row>
    <row r="126" spans="1:7" x14ac:dyDescent="0.35">
      <c r="A126" s="4">
        <v>239658378</v>
      </c>
      <c r="B126" s="5" t="s">
        <v>76</v>
      </c>
      <c r="C126" s="5" t="s">
        <v>23</v>
      </c>
      <c r="D126" s="4">
        <v>10</v>
      </c>
      <c r="E126" s="5" t="s">
        <v>75</v>
      </c>
      <c r="F126" s="8">
        <v>3000</v>
      </c>
      <c r="G126" s="8">
        <v>3000</v>
      </c>
    </row>
    <row r="127" spans="1:7" x14ac:dyDescent="0.35">
      <c r="A127" s="2">
        <v>231581369</v>
      </c>
      <c r="B127" s="3" t="s">
        <v>77</v>
      </c>
      <c r="C127" s="3" t="s">
        <v>23</v>
      </c>
      <c r="D127" s="2">
        <v>6</v>
      </c>
      <c r="E127" s="3" t="s">
        <v>8</v>
      </c>
      <c r="F127" s="7">
        <v>120</v>
      </c>
      <c r="G127" s="7">
        <v>623.30999999999995</v>
      </c>
    </row>
    <row r="128" spans="1:7" x14ac:dyDescent="0.35">
      <c r="A128" s="2">
        <v>231623708</v>
      </c>
      <c r="B128" s="3" t="s">
        <v>78</v>
      </c>
      <c r="C128" s="3" t="s">
        <v>23</v>
      </c>
      <c r="D128" s="2">
        <v>4</v>
      </c>
      <c r="E128" s="3" t="s">
        <v>10</v>
      </c>
      <c r="F128" s="7">
        <v>60</v>
      </c>
      <c r="G128" s="7">
        <v>320.55</v>
      </c>
    </row>
    <row r="129" spans="1:7" x14ac:dyDescent="0.35">
      <c r="A129" s="4">
        <v>231658015</v>
      </c>
      <c r="B129" s="5" t="s">
        <v>79</v>
      </c>
      <c r="C129" s="5" t="s">
        <v>23</v>
      </c>
      <c r="D129" s="4">
        <v>4</v>
      </c>
      <c r="E129" s="5" t="s">
        <v>10</v>
      </c>
      <c r="F129" s="8">
        <v>180</v>
      </c>
      <c r="G129" s="8">
        <v>961.61</v>
      </c>
    </row>
    <row r="130" spans="1:7" x14ac:dyDescent="0.35">
      <c r="A130" s="2">
        <v>240859611</v>
      </c>
      <c r="B130" s="3" t="s">
        <v>80</v>
      </c>
      <c r="C130" s="3" t="s">
        <v>23</v>
      </c>
      <c r="D130" s="2">
        <v>15</v>
      </c>
      <c r="E130" s="3" t="s">
        <v>43</v>
      </c>
      <c r="F130" s="7">
        <v>3000</v>
      </c>
      <c r="G130" s="7">
        <v>3000</v>
      </c>
    </row>
    <row r="131" spans="1:7" x14ac:dyDescent="0.35">
      <c r="A131" s="2">
        <v>231838256</v>
      </c>
      <c r="B131" s="3" t="s">
        <v>81</v>
      </c>
      <c r="C131" s="3" t="s">
        <v>23</v>
      </c>
      <c r="D131" s="2">
        <v>4</v>
      </c>
      <c r="E131" s="3" t="s">
        <v>10</v>
      </c>
      <c r="F131" s="7">
        <v>1978.2</v>
      </c>
      <c r="G131" s="7">
        <v>9348.15</v>
      </c>
    </row>
    <row r="132" spans="1:7" x14ac:dyDescent="0.35">
      <c r="A132" s="4">
        <v>231838256</v>
      </c>
      <c r="B132" s="5" t="s">
        <v>81</v>
      </c>
      <c r="C132" s="5" t="s">
        <v>23</v>
      </c>
      <c r="D132" s="4">
        <v>4</v>
      </c>
      <c r="E132" s="5" t="s">
        <v>10</v>
      </c>
      <c r="F132" s="8">
        <v>125.29</v>
      </c>
      <c r="G132" s="8">
        <v>592.08000000000004</v>
      </c>
    </row>
    <row r="133" spans="1:7" x14ac:dyDescent="0.35">
      <c r="A133" s="2">
        <v>240888588</v>
      </c>
      <c r="B133" s="3" t="s">
        <v>82</v>
      </c>
      <c r="C133" s="3" t="s">
        <v>23</v>
      </c>
      <c r="D133" s="2">
        <v>6</v>
      </c>
      <c r="E133" s="3" t="s">
        <v>8</v>
      </c>
      <c r="F133" s="7">
        <v>202.76</v>
      </c>
      <c r="G133" s="7">
        <v>1036.33</v>
      </c>
    </row>
    <row r="134" spans="1:7" x14ac:dyDescent="0.35">
      <c r="A134" s="4">
        <v>240888588</v>
      </c>
      <c r="B134" s="5" t="s">
        <v>82</v>
      </c>
      <c r="C134" s="5" t="s">
        <v>23</v>
      </c>
      <c r="D134" s="4">
        <v>6</v>
      </c>
      <c r="E134" s="5" t="s">
        <v>8</v>
      </c>
      <c r="F134" s="8">
        <v>60</v>
      </c>
      <c r="G134" s="8">
        <v>320.55</v>
      </c>
    </row>
    <row r="135" spans="1:7" x14ac:dyDescent="0.35">
      <c r="A135" s="2">
        <v>231995734</v>
      </c>
      <c r="B135" s="3" t="s">
        <v>83</v>
      </c>
      <c r="C135" s="3" t="s">
        <v>23</v>
      </c>
      <c r="D135" s="2">
        <v>4</v>
      </c>
      <c r="E135" s="3" t="s">
        <v>10</v>
      </c>
      <c r="F135" s="7">
        <v>60</v>
      </c>
      <c r="G135" s="7">
        <v>320.55</v>
      </c>
    </row>
    <row r="136" spans="1:7" x14ac:dyDescent="0.35">
      <c r="A136" s="2">
        <v>232740141</v>
      </c>
      <c r="B136" s="3" t="s">
        <v>84</v>
      </c>
      <c r="C136" s="3" t="s">
        <v>23</v>
      </c>
      <c r="D136" s="2">
        <v>8</v>
      </c>
      <c r="E136" s="3" t="s">
        <v>36</v>
      </c>
      <c r="F136" s="7">
        <v>13778</v>
      </c>
      <c r="G136" s="7">
        <v>13778</v>
      </c>
    </row>
    <row r="137" spans="1:7" x14ac:dyDescent="0.35">
      <c r="A137" s="4">
        <v>232740141</v>
      </c>
      <c r="B137" s="5" t="s">
        <v>84</v>
      </c>
      <c r="C137" s="5" t="s">
        <v>23</v>
      </c>
      <c r="D137" s="4">
        <v>8</v>
      </c>
      <c r="E137" s="5" t="s">
        <v>36</v>
      </c>
      <c r="F137" s="8">
        <v>53470</v>
      </c>
      <c r="G137" s="8">
        <v>53470</v>
      </c>
    </row>
    <row r="138" spans="1:7" x14ac:dyDescent="0.35">
      <c r="A138" s="2">
        <v>232740141</v>
      </c>
      <c r="B138" s="3" t="s">
        <v>84</v>
      </c>
      <c r="C138" s="3" t="s">
        <v>23</v>
      </c>
      <c r="D138" s="2">
        <v>8</v>
      </c>
      <c r="E138" s="3" t="s">
        <v>36</v>
      </c>
      <c r="F138" s="7">
        <v>1354.51</v>
      </c>
      <c r="G138" s="7">
        <v>1354.51</v>
      </c>
    </row>
    <row r="139" spans="1:7" x14ac:dyDescent="0.35">
      <c r="A139" s="4">
        <v>232740141</v>
      </c>
      <c r="B139" s="5" t="s">
        <v>84</v>
      </c>
      <c r="C139" s="5" t="s">
        <v>23</v>
      </c>
      <c r="D139" s="4">
        <v>8</v>
      </c>
      <c r="E139" s="5" t="s">
        <v>36</v>
      </c>
      <c r="F139" s="8">
        <v>1025.78</v>
      </c>
      <c r="G139" s="8">
        <v>1025.78</v>
      </c>
    </row>
    <row r="140" spans="1:7" x14ac:dyDescent="0.35">
      <c r="A140" s="2">
        <v>232740141</v>
      </c>
      <c r="B140" s="3" t="s">
        <v>84</v>
      </c>
      <c r="C140" s="3" t="s">
        <v>23</v>
      </c>
      <c r="D140" s="2">
        <v>8</v>
      </c>
      <c r="E140" s="3" t="s">
        <v>36</v>
      </c>
      <c r="F140" s="7">
        <v>870</v>
      </c>
      <c r="G140" s="7">
        <v>870</v>
      </c>
    </row>
    <row r="141" spans="1:7" x14ac:dyDescent="0.35">
      <c r="A141" s="4">
        <v>232740141</v>
      </c>
      <c r="B141" s="5" t="s">
        <v>84</v>
      </c>
      <c r="C141" s="5" t="s">
        <v>23</v>
      </c>
      <c r="D141" s="4">
        <v>8</v>
      </c>
      <c r="E141" s="5" t="s">
        <v>36</v>
      </c>
      <c r="F141" s="8">
        <v>374.61</v>
      </c>
      <c r="G141" s="8">
        <v>374.61</v>
      </c>
    </row>
    <row r="142" spans="1:7" x14ac:dyDescent="0.35">
      <c r="A142" s="2">
        <v>232740141</v>
      </c>
      <c r="B142" s="3" t="s">
        <v>84</v>
      </c>
      <c r="C142" s="3" t="s">
        <v>23</v>
      </c>
      <c r="D142" s="2">
        <v>8</v>
      </c>
      <c r="E142" s="3" t="s">
        <v>36</v>
      </c>
      <c r="F142" s="7">
        <v>164.6</v>
      </c>
      <c r="G142" s="7">
        <v>845.54</v>
      </c>
    </row>
    <row r="143" spans="1:7" x14ac:dyDescent="0.35">
      <c r="A143" s="4">
        <v>240915891</v>
      </c>
      <c r="B143" s="5" t="s">
        <v>85</v>
      </c>
      <c r="C143" s="5" t="s">
        <v>23</v>
      </c>
      <c r="D143" s="4">
        <v>4</v>
      </c>
      <c r="E143" s="5" t="s">
        <v>10</v>
      </c>
      <c r="F143" s="8">
        <v>3816.77</v>
      </c>
      <c r="G143" s="8">
        <v>3816.77</v>
      </c>
    </row>
    <row r="144" spans="1:7" x14ac:dyDescent="0.35">
      <c r="A144" s="4">
        <v>232089700</v>
      </c>
      <c r="B144" s="5" t="s">
        <v>86</v>
      </c>
      <c r="C144" s="5" t="s">
        <v>23</v>
      </c>
      <c r="D144" s="4">
        <v>4</v>
      </c>
      <c r="E144" s="5" t="s">
        <v>10</v>
      </c>
      <c r="F144" s="8">
        <v>60</v>
      </c>
      <c r="G144" s="8">
        <v>322.23</v>
      </c>
    </row>
    <row r="145" spans="1:7" x14ac:dyDescent="0.35">
      <c r="A145" s="4">
        <v>232097291</v>
      </c>
      <c r="B145" s="5" t="s">
        <v>87</v>
      </c>
      <c r="C145" s="5" t="s">
        <v>23</v>
      </c>
      <c r="D145" s="4">
        <v>4</v>
      </c>
      <c r="E145" s="5" t="s">
        <v>10</v>
      </c>
      <c r="F145" s="8">
        <v>60</v>
      </c>
      <c r="G145" s="8">
        <v>322.23</v>
      </c>
    </row>
    <row r="146" spans="1:7" x14ac:dyDescent="0.35">
      <c r="A146" s="4">
        <v>239642944</v>
      </c>
      <c r="B146" s="5" t="s">
        <v>88</v>
      </c>
      <c r="C146" s="5" t="s">
        <v>23</v>
      </c>
      <c r="D146" s="4">
        <v>4</v>
      </c>
      <c r="E146" s="5" t="s">
        <v>10</v>
      </c>
      <c r="F146" s="8">
        <v>60</v>
      </c>
      <c r="G146" s="8">
        <v>322.23</v>
      </c>
    </row>
    <row r="147" spans="1:7" x14ac:dyDescent="0.35">
      <c r="A147" s="2">
        <v>240859645</v>
      </c>
      <c r="B147" s="3" t="s">
        <v>89</v>
      </c>
      <c r="C147" s="3" t="s">
        <v>23</v>
      </c>
      <c r="D147" s="2">
        <v>4</v>
      </c>
      <c r="E147" s="3" t="s">
        <v>10</v>
      </c>
      <c r="F147" s="7">
        <v>9166.9</v>
      </c>
      <c r="G147" s="7">
        <v>9166.9</v>
      </c>
    </row>
    <row r="148" spans="1:7" x14ac:dyDescent="0.35">
      <c r="A148" s="4">
        <v>240915999</v>
      </c>
      <c r="B148" s="5" t="s">
        <v>90</v>
      </c>
      <c r="C148" s="5" t="s">
        <v>23</v>
      </c>
      <c r="D148" s="4">
        <v>4</v>
      </c>
      <c r="E148" s="5" t="s">
        <v>10</v>
      </c>
      <c r="F148" s="8">
        <v>734.3</v>
      </c>
      <c r="G148" s="8">
        <v>3904.76</v>
      </c>
    </row>
    <row r="149" spans="1:7" x14ac:dyDescent="0.35">
      <c r="A149" s="2">
        <v>240915999</v>
      </c>
      <c r="B149" s="3" t="s">
        <v>90</v>
      </c>
      <c r="C149" s="3" t="s">
        <v>23</v>
      </c>
      <c r="D149" s="2">
        <v>4</v>
      </c>
      <c r="E149" s="3" t="s">
        <v>10</v>
      </c>
      <c r="F149" s="7">
        <v>3296.7</v>
      </c>
      <c r="G149" s="7">
        <v>17530.8</v>
      </c>
    </row>
    <row r="150" spans="1:7" x14ac:dyDescent="0.35">
      <c r="A150" s="2">
        <v>232196210</v>
      </c>
      <c r="B150" s="3" t="s">
        <v>91</v>
      </c>
      <c r="C150" s="3" t="s">
        <v>23</v>
      </c>
      <c r="D150" s="2">
        <v>4</v>
      </c>
      <c r="E150" s="3" t="s">
        <v>10</v>
      </c>
      <c r="F150" s="7">
        <v>60</v>
      </c>
      <c r="G150" s="7">
        <v>319.07</v>
      </c>
    </row>
    <row r="151" spans="1:7" x14ac:dyDescent="0.35">
      <c r="A151" s="4">
        <v>240888628</v>
      </c>
      <c r="B151" s="5" t="s">
        <v>92</v>
      </c>
      <c r="C151" s="5" t="s">
        <v>23</v>
      </c>
      <c r="D151" s="4">
        <v>24</v>
      </c>
      <c r="E151" s="5" t="s">
        <v>5</v>
      </c>
      <c r="F151" s="8">
        <v>815.95</v>
      </c>
      <c r="G151" s="8">
        <v>815.95</v>
      </c>
    </row>
    <row r="152" spans="1:7" x14ac:dyDescent="0.35">
      <c r="A152" s="4">
        <v>232402168</v>
      </c>
      <c r="B152" s="5" t="s">
        <v>93</v>
      </c>
      <c r="C152" s="5" t="s">
        <v>23</v>
      </c>
      <c r="D152" s="4">
        <v>4</v>
      </c>
      <c r="E152" s="5" t="s">
        <v>10</v>
      </c>
      <c r="F152" s="8">
        <v>60</v>
      </c>
      <c r="G152" s="8">
        <v>319.07</v>
      </c>
    </row>
    <row r="153" spans="1:7" x14ac:dyDescent="0.35">
      <c r="A153" s="2">
        <v>232487992</v>
      </c>
      <c r="B153" s="3" t="s">
        <v>94</v>
      </c>
      <c r="C153" s="3" t="s">
        <v>23</v>
      </c>
      <c r="D153" s="2">
        <v>4</v>
      </c>
      <c r="E153" s="3" t="s">
        <v>10</v>
      </c>
      <c r="F153" s="7">
        <v>530</v>
      </c>
      <c r="G153" s="7">
        <v>1888.82</v>
      </c>
    </row>
    <row r="154" spans="1:7" x14ac:dyDescent="0.35">
      <c r="A154" s="2">
        <v>235003525</v>
      </c>
      <c r="B154" s="3" t="s">
        <v>95</v>
      </c>
      <c r="C154" s="3" t="s">
        <v>23</v>
      </c>
      <c r="D154" s="2">
        <v>4</v>
      </c>
      <c r="E154" s="3" t="s">
        <v>10</v>
      </c>
      <c r="F154" s="7">
        <v>20833.2</v>
      </c>
      <c r="G154" s="7">
        <v>20833.2</v>
      </c>
    </row>
    <row r="155" spans="1:7" x14ac:dyDescent="0.35">
      <c r="A155" s="4">
        <v>232653314</v>
      </c>
      <c r="B155" s="5" t="s">
        <v>96</v>
      </c>
      <c r="C155" s="5" t="s">
        <v>23</v>
      </c>
      <c r="D155" s="4">
        <v>6</v>
      </c>
      <c r="E155" s="5" t="s">
        <v>8</v>
      </c>
      <c r="F155" s="8">
        <v>282</v>
      </c>
      <c r="G155" s="8">
        <v>1506.1</v>
      </c>
    </row>
    <row r="156" spans="1:7" x14ac:dyDescent="0.35">
      <c r="A156" s="2">
        <v>232653314</v>
      </c>
      <c r="B156" s="3" t="s">
        <v>96</v>
      </c>
      <c r="C156" s="3" t="s">
        <v>23</v>
      </c>
      <c r="D156" s="2">
        <v>6</v>
      </c>
      <c r="E156" s="3" t="s">
        <v>8</v>
      </c>
      <c r="F156" s="7">
        <v>180</v>
      </c>
      <c r="G156" s="7">
        <v>961.34</v>
      </c>
    </row>
    <row r="157" spans="1:7" x14ac:dyDescent="0.35">
      <c r="A157" s="4">
        <v>232662555</v>
      </c>
      <c r="B157" s="5" t="s">
        <v>97</v>
      </c>
      <c r="C157" s="5" t="s">
        <v>23</v>
      </c>
      <c r="D157" s="4">
        <v>4</v>
      </c>
      <c r="E157" s="5" t="s">
        <v>10</v>
      </c>
      <c r="F157" s="8">
        <v>60</v>
      </c>
      <c r="G157" s="8">
        <v>319.07</v>
      </c>
    </row>
    <row r="158" spans="1:7" x14ac:dyDescent="0.35">
      <c r="A158" s="2">
        <v>232662561</v>
      </c>
      <c r="B158" s="3" t="s">
        <v>98</v>
      </c>
      <c r="C158" s="3" t="s">
        <v>23</v>
      </c>
      <c r="D158" s="2">
        <v>4</v>
      </c>
      <c r="E158" s="3" t="s">
        <v>10</v>
      </c>
      <c r="F158" s="7">
        <v>60</v>
      </c>
      <c r="G158" s="7">
        <v>319.07</v>
      </c>
    </row>
    <row r="159" spans="1:7" x14ac:dyDescent="0.35">
      <c r="A159" s="2">
        <v>240887677</v>
      </c>
      <c r="B159" s="3" t="s">
        <v>99</v>
      </c>
      <c r="C159" s="3" t="s">
        <v>23</v>
      </c>
      <c r="D159" s="2">
        <v>24</v>
      </c>
      <c r="E159" s="3" t="s">
        <v>5</v>
      </c>
      <c r="F159" s="7">
        <v>520.62</v>
      </c>
      <c r="G159" s="7">
        <v>520.62</v>
      </c>
    </row>
    <row r="160" spans="1:7" x14ac:dyDescent="0.35">
      <c r="A160" s="2">
        <v>232832800</v>
      </c>
      <c r="B160" s="3" t="s">
        <v>100</v>
      </c>
      <c r="C160" s="3" t="s">
        <v>23</v>
      </c>
      <c r="D160" s="2">
        <v>4</v>
      </c>
      <c r="E160" s="3" t="s">
        <v>10</v>
      </c>
      <c r="F160" s="7">
        <v>60</v>
      </c>
      <c r="G160" s="7">
        <v>325.93</v>
      </c>
    </row>
    <row r="161" spans="1:7" x14ac:dyDescent="0.35">
      <c r="A161" s="4">
        <v>233052209</v>
      </c>
      <c r="B161" s="5" t="s">
        <v>101</v>
      </c>
      <c r="C161" s="5" t="s">
        <v>23</v>
      </c>
      <c r="D161" s="4">
        <v>4</v>
      </c>
      <c r="E161" s="5" t="s">
        <v>10</v>
      </c>
      <c r="F161" s="8">
        <v>60</v>
      </c>
      <c r="G161" s="8">
        <v>325.93</v>
      </c>
    </row>
    <row r="162" spans="1:7" x14ac:dyDescent="0.35">
      <c r="A162" s="4">
        <v>233052116</v>
      </c>
      <c r="B162" s="5" t="s">
        <v>102</v>
      </c>
      <c r="C162" s="5" t="s">
        <v>23</v>
      </c>
      <c r="D162" s="4">
        <v>4</v>
      </c>
      <c r="E162" s="5" t="s">
        <v>10</v>
      </c>
      <c r="F162" s="8">
        <v>4616.3500000000004</v>
      </c>
      <c r="G162" s="8">
        <v>20395.599999999999</v>
      </c>
    </row>
    <row r="163" spans="1:7" x14ac:dyDescent="0.35">
      <c r="A163" s="2">
        <v>233052116</v>
      </c>
      <c r="B163" s="3" t="s">
        <v>102</v>
      </c>
      <c r="C163" s="3" t="s">
        <v>23</v>
      </c>
      <c r="D163" s="2">
        <v>4</v>
      </c>
      <c r="E163" s="3" t="s">
        <v>10</v>
      </c>
      <c r="F163" s="7">
        <v>219.28</v>
      </c>
      <c r="G163" s="7">
        <v>968.81</v>
      </c>
    </row>
    <row r="164" spans="1:7" x14ac:dyDescent="0.35">
      <c r="A164" s="4">
        <v>239655339</v>
      </c>
      <c r="B164" s="5" t="s">
        <v>104</v>
      </c>
      <c r="C164" s="5" t="s">
        <v>23</v>
      </c>
      <c r="D164" s="4">
        <v>19</v>
      </c>
      <c r="E164" s="5" t="s">
        <v>103</v>
      </c>
      <c r="F164" s="8">
        <v>6300</v>
      </c>
      <c r="G164" s="8">
        <v>6300</v>
      </c>
    </row>
    <row r="165" spans="1:7" x14ac:dyDescent="0.35">
      <c r="A165" s="2">
        <v>233061074</v>
      </c>
      <c r="B165" s="3" t="s">
        <v>104</v>
      </c>
      <c r="C165" s="3" t="s">
        <v>23</v>
      </c>
      <c r="D165" s="2">
        <v>4</v>
      </c>
      <c r="E165" s="3" t="s">
        <v>10</v>
      </c>
      <c r="F165" s="7">
        <v>60</v>
      </c>
      <c r="G165" s="7">
        <v>325.93</v>
      </c>
    </row>
    <row r="166" spans="1:7" x14ac:dyDescent="0.35">
      <c r="A166" s="4">
        <v>233060980</v>
      </c>
      <c r="B166" s="5" t="s">
        <v>105</v>
      </c>
      <c r="C166" s="5" t="s">
        <v>23</v>
      </c>
      <c r="D166" s="4">
        <v>4</v>
      </c>
      <c r="E166" s="5" t="s">
        <v>10</v>
      </c>
      <c r="F166" s="8">
        <v>60</v>
      </c>
      <c r="G166" s="8">
        <v>325.93</v>
      </c>
    </row>
    <row r="167" spans="1:7" x14ac:dyDescent="0.35">
      <c r="A167" s="2">
        <v>233101551</v>
      </c>
      <c r="B167" s="3" t="s">
        <v>106</v>
      </c>
      <c r="C167" s="3" t="s">
        <v>23</v>
      </c>
      <c r="D167" s="2">
        <v>4</v>
      </c>
      <c r="E167" s="3" t="s">
        <v>10</v>
      </c>
      <c r="F167" s="7">
        <v>60</v>
      </c>
      <c r="G167" s="7">
        <v>325.93</v>
      </c>
    </row>
    <row r="168" spans="1:7" x14ac:dyDescent="0.35">
      <c r="A168" s="4">
        <v>233148763</v>
      </c>
      <c r="B168" s="5" t="s">
        <v>107</v>
      </c>
      <c r="C168" s="5" t="s">
        <v>23</v>
      </c>
      <c r="D168" s="4">
        <v>4</v>
      </c>
      <c r="E168" s="5" t="s">
        <v>10</v>
      </c>
      <c r="F168" s="8">
        <v>60</v>
      </c>
      <c r="G168" s="8">
        <v>325.93</v>
      </c>
    </row>
    <row r="169" spans="1:7" x14ac:dyDescent="0.35">
      <c r="A169" s="4">
        <v>233423690</v>
      </c>
      <c r="B169" s="5" t="s">
        <v>108</v>
      </c>
      <c r="C169" s="5" t="s">
        <v>23</v>
      </c>
      <c r="D169" s="4">
        <v>4</v>
      </c>
      <c r="E169" s="5" t="s">
        <v>10</v>
      </c>
      <c r="F169" s="8">
        <v>160.19</v>
      </c>
      <c r="G169" s="8">
        <v>771.7</v>
      </c>
    </row>
    <row r="170" spans="1:7" x14ac:dyDescent="0.35">
      <c r="A170" s="2">
        <v>233423690</v>
      </c>
      <c r="B170" s="3" t="s">
        <v>108</v>
      </c>
      <c r="C170" s="3" t="s">
        <v>23</v>
      </c>
      <c r="D170" s="2">
        <v>4</v>
      </c>
      <c r="E170" s="3" t="s">
        <v>10</v>
      </c>
      <c r="F170" s="7">
        <v>170.2</v>
      </c>
      <c r="G170" s="7">
        <v>819.92</v>
      </c>
    </row>
    <row r="171" spans="1:7" x14ac:dyDescent="0.35">
      <c r="A171" s="4">
        <v>240915420</v>
      </c>
      <c r="B171" s="5" t="s">
        <v>109</v>
      </c>
      <c r="C171" s="5" t="s">
        <v>23</v>
      </c>
      <c r="D171" s="4">
        <v>4</v>
      </c>
      <c r="E171" s="5" t="s">
        <v>10</v>
      </c>
      <c r="F171" s="8">
        <v>1871.1</v>
      </c>
      <c r="G171" s="8">
        <v>6482.54</v>
      </c>
    </row>
    <row r="172" spans="1:7" x14ac:dyDescent="0.35">
      <c r="A172" s="2">
        <v>240915420</v>
      </c>
      <c r="B172" s="3" t="s">
        <v>109</v>
      </c>
      <c r="C172" s="3" t="s">
        <v>23</v>
      </c>
      <c r="D172" s="2">
        <v>4</v>
      </c>
      <c r="E172" s="3" t="s">
        <v>10</v>
      </c>
      <c r="F172" s="7">
        <v>3339.2</v>
      </c>
      <c r="G172" s="7">
        <v>3339.2</v>
      </c>
    </row>
    <row r="173" spans="1:7" x14ac:dyDescent="0.35">
      <c r="A173" s="4">
        <v>240888383</v>
      </c>
      <c r="B173" s="5" t="s">
        <v>110</v>
      </c>
      <c r="C173" s="5" t="s">
        <v>23</v>
      </c>
      <c r="D173" s="4">
        <v>24</v>
      </c>
      <c r="E173" s="5" t="s">
        <v>5</v>
      </c>
      <c r="F173" s="8">
        <v>679.96</v>
      </c>
      <c r="G173" s="8">
        <v>679.96</v>
      </c>
    </row>
    <row r="174" spans="1:7" x14ac:dyDescent="0.35">
      <c r="A174" s="4">
        <v>233641762</v>
      </c>
      <c r="B174" s="5" t="s">
        <v>111</v>
      </c>
      <c r="C174" s="5" t="s">
        <v>23</v>
      </c>
      <c r="D174" s="4">
        <v>6</v>
      </c>
      <c r="E174" s="5" t="s">
        <v>8</v>
      </c>
      <c r="F174" s="8">
        <v>2584.54</v>
      </c>
      <c r="G174" s="8">
        <v>2584.54</v>
      </c>
    </row>
    <row r="175" spans="1:7" x14ac:dyDescent="0.35">
      <c r="A175" s="2">
        <v>239646476</v>
      </c>
      <c r="B175" s="3" t="s">
        <v>112</v>
      </c>
      <c r="C175" s="3" t="s">
        <v>23</v>
      </c>
      <c r="D175" s="2">
        <v>4</v>
      </c>
      <c r="E175" s="3" t="s">
        <v>10</v>
      </c>
      <c r="F175" s="7">
        <v>5449.34</v>
      </c>
      <c r="G175" s="7">
        <v>29181.67</v>
      </c>
    </row>
    <row r="176" spans="1:7" x14ac:dyDescent="0.35">
      <c r="A176" s="2">
        <v>239642638</v>
      </c>
      <c r="B176" s="3" t="s">
        <v>113</v>
      </c>
      <c r="C176" s="3" t="s">
        <v>23</v>
      </c>
      <c r="D176" s="2">
        <v>4</v>
      </c>
      <c r="E176" s="3" t="s">
        <v>10</v>
      </c>
      <c r="F176" s="7">
        <v>559.35</v>
      </c>
      <c r="G176" s="7">
        <v>2655.12</v>
      </c>
    </row>
    <row r="177" spans="1:7" x14ac:dyDescent="0.35">
      <c r="A177" s="4">
        <v>239642638</v>
      </c>
      <c r="B177" s="5" t="s">
        <v>113</v>
      </c>
      <c r="C177" s="5" t="s">
        <v>23</v>
      </c>
      <c r="D177" s="4">
        <v>4</v>
      </c>
      <c r="E177" s="5" t="s">
        <v>10</v>
      </c>
      <c r="F177" s="8">
        <v>73.5</v>
      </c>
      <c r="G177" s="8">
        <v>348.89</v>
      </c>
    </row>
    <row r="178" spans="1:7" x14ac:dyDescent="0.35">
      <c r="A178" s="2">
        <v>239642638</v>
      </c>
      <c r="B178" s="3" t="s">
        <v>113</v>
      </c>
      <c r="C178" s="3" t="s">
        <v>23</v>
      </c>
      <c r="D178" s="2">
        <v>4</v>
      </c>
      <c r="E178" s="3" t="s">
        <v>10</v>
      </c>
      <c r="F178" s="7">
        <v>89.47</v>
      </c>
      <c r="G178" s="7">
        <v>424.69</v>
      </c>
    </row>
    <row r="179" spans="1:7" x14ac:dyDescent="0.35">
      <c r="A179" s="4">
        <v>239642638</v>
      </c>
      <c r="B179" s="5" t="s">
        <v>113</v>
      </c>
      <c r="C179" s="5" t="s">
        <v>23</v>
      </c>
      <c r="D179" s="4">
        <v>4</v>
      </c>
      <c r="E179" s="5" t="s">
        <v>10</v>
      </c>
      <c r="F179" s="8">
        <v>39.049999999999997</v>
      </c>
      <c r="G179" s="8">
        <v>185.37</v>
      </c>
    </row>
    <row r="180" spans="1:7" x14ac:dyDescent="0.35">
      <c r="A180" s="2">
        <v>239655493</v>
      </c>
      <c r="B180" s="3" t="s">
        <v>114</v>
      </c>
      <c r="C180" s="3" t="s">
        <v>23</v>
      </c>
      <c r="D180" s="2">
        <v>10</v>
      </c>
      <c r="E180" s="3" t="s">
        <v>75</v>
      </c>
      <c r="F180" s="7">
        <v>1500</v>
      </c>
      <c r="G180" s="7">
        <v>1500</v>
      </c>
    </row>
    <row r="181" spans="1:7" x14ac:dyDescent="0.35">
      <c r="A181" s="4">
        <v>234185560</v>
      </c>
      <c r="B181" s="5" t="s">
        <v>115</v>
      </c>
      <c r="C181" s="5" t="s">
        <v>23</v>
      </c>
      <c r="D181" s="4">
        <v>4</v>
      </c>
      <c r="E181" s="5" t="s">
        <v>10</v>
      </c>
      <c r="F181" s="8">
        <v>5570.5</v>
      </c>
      <c r="G181" s="8">
        <v>24667.97</v>
      </c>
    </row>
    <row r="182" spans="1:7" x14ac:dyDescent="0.35">
      <c r="A182" s="2">
        <v>234185560</v>
      </c>
      <c r="B182" s="3" t="s">
        <v>115</v>
      </c>
      <c r="C182" s="3" t="s">
        <v>23</v>
      </c>
      <c r="D182" s="2">
        <v>4</v>
      </c>
      <c r="E182" s="3" t="s">
        <v>10</v>
      </c>
      <c r="F182" s="7">
        <v>4018.41</v>
      </c>
      <c r="G182" s="7">
        <v>17794.82</v>
      </c>
    </row>
    <row r="183" spans="1:7" x14ac:dyDescent="0.35">
      <c r="A183" s="4">
        <v>234185560</v>
      </c>
      <c r="B183" s="5" t="s">
        <v>115</v>
      </c>
      <c r="C183" s="5" t="s">
        <v>23</v>
      </c>
      <c r="D183" s="4">
        <v>4</v>
      </c>
      <c r="E183" s="5" t="s">
        <v>10</v>
      </c>
      <c r="F183" s="8">
        <v>143.75</v>
      </c>
      <c r="G183" s="8">
        <v>696.08</v>
      </c>
    </row>
    <row r="184" spans="1:7" x14ac:dyDescent="0.35">
      <c r="A184" s="2">
        <v>234185560</v>
      </c>
      <c r="B184" s="3" t="s">
        <v>115</v>
      </c>
      <c r="C184" s="3" t="s">
        <v>23</v>
      </c>
      <c r="D184" s="2">
        <v>4</v>
      </c>
      <c r="E184" s="3" t="s">
        <v>10</v>
      </c>
      <c r="F184" s="7">
        <v>20.38</v>
      </c>
      <c r="G184" s="7">
        <v>98.68</v>
      </c>
    </row>
    <row r="185" spans="1:7" x14ac:dyDescent="0.35">
      <c r="A185" s="4">
        <v>234185560</v>
      </c>
      <c r="B185" s="5" t="s">
        <v>115</v>
      </c>
      <c r="C185" s="5" t="s">
        <v>23</v>
      </c>
      <c r="D185" s="4">
        <v>4</v>
      </c>
      <c r="E185" s="5" t="s">
        <v>10</v>
      </c>
      <c r="F185" s="8">
        <v>78.319999999999993</v>
      </c>
      <c r="G185" s="8">
        <v>379.25</v>
      </c>
    </row>
    <row r="186" spans="1:7" x14ac:dyDescent="0.35">
      <c r="A186" s="2">
        <v>234185560</v>
      </c>
      <c r="B186" s="3" t="s">
        <v>115</v>
      </c>
      <c r="C186" s="3" t="s">
        <v>23</v>
      </c>
      <c r="D186" s="2">
        <v>4</v>
      </c>
      <c r="E186" s="3" t="s">
        <v>10</v>
      </c>
      <c r="F186" s="7">
        <v>4.6900000000000004</v>
      </c>
      <c r="G186" s="7">
        <v>22.71</v>
      </c>
    </row>
    <row r="187" spans="1:7" x14ac:dyDescent="0.35">
      <c r="A187" s="4">
        <v>234185560</v>
      </c>
      <c r="B187" s="5" t="s">
        <v>115</v>
      </c>
      <c r="C187" s="5" t="s">
        <v>23</v>
      </c>
      <c r="D187" s="4">
        <v>4</v>
      </c>
      <c r="E187" s="5" t="s">
        <v>10</v>
      </c>
      <c r="F187" s="8">
        <v>13</v>
      </c>
      <c r="G187" s="8">
        <v>63.09</v>
      </c>
    </row>
    <row r="188" spans="1:7" x14ac:dyDescent="0.35">
      <c r="A188" s="2">
        <v>234185560</v>
      </c>
      <c r="B188" s="3" t="s">
        <v>115</v>
      </c>
      <c r="C188" s="3" t="s">
        <v>23</v>
      </c>
      <c r="D188" s="2">
        <v>4</v>
      </c>
      <c r="E188" s="3" t="s">
        <v>10</v>
      </c>
      <c r="F188" s="7">
        <v>2.4700000000000002</v>
      </c>
      <c r="G188" s="7">
        <v>11.98</v>
      </c>
    </row>
    <row r="189" spans="1:7" x14ac:dyDescent="0.35">
      <c r="A189" s="4">
        <v>234185560</v>
      </c>
      <c r="B189" s="5" t="s">
        <v>115</v>
      </c>
      <c r="C189" s="5" t="s">
        <v>23</v>
      </c>
      <c r="D189" s="4">
        <v>4</v>
      </c>
      <c r="E189" s="5" t="s">
        <v>10</v>
      </c>
      <c r="F189" s="8">
        <v>1038.7</v>
      </c>
      <c r="G189" s="8">
        <v>5040.16</v>
      </c>
    </row>
    <row r="190" spans="1:7" x14ac:dyDescent="0.35">
      <c r="A190" s="2">
        <v>234185560</v>
      </c>
      <c r="B190" s="3" t="s">
        <v>115</v>
      </c>
      <c r="C190" s="3" t="s">
        <v>23</v>
      </c>
      <c r="D190" s="2">
        <v>4</v>
      </c>
      <c r="E190" s="3" t="s">
        <v>10</v>
      </c>
      <c r="F190" s="7">
        <v>34.83</v>
      </c>
      <c r="G190" s="7">
        <v>169.01</v>
      </c>
    </row>
    <row r="191" spans="1:7" x14ac:dyDescent="0.35">
      <c r="A191" s="4">
        <v>234185560</v>
      </c>
      <c r="B191" s="5" t="s">
        <v>115</v>
      </c>
      <c r="C191" s="5" t="s">
        <v>23</v>
      </c>
      <c r="D191" s="4">
        <v>4</v>
      </c>
      <c r="E191" s="5" t="s">
        <v>10</v>
      </c>
      <c r="F191" s="8">
        <v>247.55</v>
      </c>
      <c r="G191" s="8">
        <v>1201.21</v>
      </c>
    </row>
    <row r="192" spans="1:7" x14ac:dyDescent="0.35">
      <c r="A192" s="2">
        <v>234185560</v>
      </c>
      <c r="B192" s="3" t="s">
        <v>115</v>
      </c>
      <c r="C192" s="3" t="s">
        <v>23</v>
      </c>
      <c r="D192" s="2">
        <v>4</v>
      </c>
      <c r="E192" s="3" t="s">
        <v>10</v>
      </c>
      <c r="F192" s="7">
        <v>60.89</v>
      </c>
      <c r="G192" s="7">
        <v>295.45999999999998</v>
      </c>
    </row>
    <row r="193" spans="1:7" x14ac:dyDescent="0.35">
      <c r="A193" s="4">
        <v>234185560</v>
      </c>
      <c r="B193" s="5" t="s">
        <v>115</v>
      </c>
      <c r="C193" s="5" t="s">
        <v>23</v>
      </c>
      <c r="D193" s="4">
        <v>4</v>
      </c>
      <c r="E193" s="5" t="s">
        <v>10</v>
      </c>
      <c r="F193" s="8">
        <v>139.28</v>
      </c>
      <c r="G193" s="8">
        <v>675.84</v>
      </c>
    </row>
    <row r="194" spans="1:7" x14ac:dyDescent="0.35">
      <c r="A194" s="2">
        <v>234185560</v>
      </c>
      <c r="B194" s="3" t="s">
        <v>115</v>
      </c>
      <c r="C194" s="3" t="s">
        <v>23</v>
      </c>
      <c r="D194" s="2">
        <v>4</v>
      </c>
      <c r="E194" s="3" t="s">
        <v>10</v>
      </c>
      <c r="F194" s="7">
        <v>34.53</v>
      </c>
      <c r="G194" s="7">
        <v>167.55</v>
      </c>
    </row>
    <row r="195" spans="1:7" x14ac:dyDescent="0.35">
      <c r="A195" s="4">
        <v>234185560</v>
      </c>
      <c r="B195" s="5" t="s">
        <v>115</v>
      </c>
      <c r="C195" s="5" t="s">
        <v>23</v>
      </c>
      <c r="D195" s="4">
        <v>4</v>
      </c>
      <c r="E195" s="5" t="s">
        <v>10</v>
      </c>
      <c r="F195" s="8">
        <v>96.81</v>
      </c>
      <c r="G195" s="8">
        <v>469.76</v>
      </c>
    </row>
    <row r="196" spans="1:7" x14ac:dyDescent="0.35">
      <c r="A196" s="2">
        <v>234185560</v>
      </c>
      <c r="B196" s="3" t="s">
        <v>115</v>
      </c>
      <c r="C196" s="3" t="s">
        <v>23</v>
      </c>
      <c r="D196" s="2">
        <v>4</v>
      </c>
      <c r="E196" s="3" t="s">
        <v>10</v>
      </c>
      <c r="F196" s="7">
        <v>23.79</v>
      </c>
      <c r="G196" s="7">
        <v>115.44</v>
      </c>
    </row>
    <row r="197" spans="1:7" x14ac:dyDescent="0.35">
      <c r="A197" s="4">
        <v>234515595</v>
      </c>
      <c r="B197" s="5" t="s">
        <v>116</v>
      </c>
      <c r="C197" s="5" t="s">
        <v>23</v>
      </c>
      <c r="D197" s="4">
        <v>4</v>
      </c>
      <c r="E197" s="5" t="s">
        <v>10</v>
      </c>
      <c r="F197" s="8">
        <v>55.5</v>
      </c>
      <c r="G197" s="8">
        <v>263.45999999999998</v>
      </c>
    </row>
    <row r="198" spans="1:7" x14ac:dyDescent="0.35">
      <c r="A198" s="2">
        <v>234515595</v>
      </c>
      <c r="B198" s="3" t="s">
        <v>116</v>
      </c>
      <c r="C198" s="3" t="s">
        <v>23</v>
      </c>
      <c r="D198" s="2">
        <v>4</v>
      </c>
      <c r="E198" s="3" t="s">
        <v>10</v>
      </c>
      <c r="F198" s="7">
        <v>10.55</v>
      </c>
      <c r="G198" s="7">
        <v>50.07</v>
      </c>
    </row>
    <row r="199" spans="1:7" x14ac:dyDescent="0.35">
      <c r="A199" s="2">
        <v>240859757</v>
      </c>
      <c r="B199" s="3" t="s">
        <v>117</v>
      </c>
      <c r="C199" s="3" t="s">
        <v>23</v>
      </c>
      <c r="D199" s="2">
        <v>24</v>
      </c>
      <c r="E199" s="3" t="s">
        <v>5</v>
      </c>
      <c r="F199" s="7">
        <v>370.35</v>
      </c>
      <c r="G199" s="7">
        <v>370.35</v>
      </c>
    </row>
    <row r="200" spans="1:7" x14ac:dyDescent="0.35">
      <c r="A200" s="4">
        <v>234395925</v>
      </c>
      <c r="B200" s="5" t="s">
        <v>118</v>
      </c>
      <c r="C200" s="5" t="s">
        <v>23</v>
      </c>
      <c r="D200" s="4">
        <v>4</v>
      </c>
      <c r="E200" s="5" t="s">
        <v>10</v>
      </c>
      <c r="F200" s="8">
        <v>375</v>
      </c>
      <c r="G200" s="8">
        <v>1749.07</v>
      </c>
    </row>
    <row r="201" spans="1:7" x14ac:dyDescent="0.35">
      <c r="A201" s="4">
        <v>234404472</v>
      </c>
      <c r="B201" s="5" t="s">
        <v>119</v>
      </c>
      <c r="C201" s="5" t="s">
        <v>23</v>
      </c>
      <c r="D201" s="4">
        <v>4</v>
      </c>
      <c r="E201" s="5" t="s">
        <v>10</v>
      </c>
      <c r="F201" s="8">
        <v>5506.2</v>
      </c>
      <c r="G201" s="8">
        <v>26756.71</v>
      </c>
    </row>
    <row r="202" spans="1:7" x14ac:dyDescent="0.35">
      <c r="A202" s="2">
        <v>234404472</v>
      </c>
      <c r="B202" s="3" t="s">
        <v>119</v>
      </c>
      <c r="C202" s="3" t="s">
        <v>23</v>
      </c>
      <c r="D202" s="2">
        <v>4</v>
      </c>
      <c r="E202" s="3" t="s">
        <v>10</v>
      </c>
      <c r="F202" s="7">
        <v>448.36</v>
      </c>
      <c r="G202" s="7">
        <v>2178.7600000000002</v>
      </c>
    </row>
    <row r="203" spans="1:7" x14ac:dyDescent="0.35">
      <c r="A203" s="4">
        <v>234404468</v>
      </c>
      <c r="B203" s="5" t="s">
        <v>120</v>
      </c>
      <c r="C203" s="5" t="s">
        <v>23</v>
      </c>
      <c r="D203" s="4">
        <v>4</v>
      </c>
      <c r="E203" s="5" t="s">
        <v>10</v>
      </c>
      <c r="F203" s="8">
        <v>102.7</v>
      </c>
      <c r="G203" s="8">
        <v>487.51</v>
      </c>
    </row>
    <row r="204" spans="1:7" x14ac:dyDescent="0.35">
      <c r="A204" s="2">
        <v>234404468</v>
      </c>
      <c r="B204" s="3" t="s">
        <v>120</v>
      </c>
      <c r="C204" s="3" t="s">
        <v>23</v>
      </c>
      <c r="D204" s="2">
        <v>4</v>
      </c>
      <c r="E204" s="3" t="s">
        <v>10</v>
      </c>
      <c r="F204" s="7">
        <v>10.51</v>
      </c>
      <c r="G204" s="7">
        <v>49.88</v>
      </c>
    </row>
    <row r="205" spans="1:7" x14ac:dyDescent="0.35">
      <c r="A205" s="4">
        <v>234482898</v>
      </c>
      <c r="B205" s="5" t="s">
        <v>121</v>
      </c>
      <c r="C205" s="5" t="s">
        <v>23</v>
      </c>
      <c r="D205" s="4">
        <v>4</v>
      </c>
      <c r="E205" s="5" t="s">
        <v>10</v>
      </c>
      <c r="F205" s="8">
        <v>2228.4</v>
      </c>
      <c r="G205" s="8">
        <v>10530.48</v>
      </c>
    </row>
    <row r="206" spans="1:7" x14ac:dyDescent="0.35">
      <c r="A206" s="2">
        <v>234482898</v>
      </c>
      <c r="B206" s="3" t="s">
        <v>121</v>
      </c>
      <c r="C206" s="3" t="s">
        <v>23</v>
      </c>
      <c r="D206" s="2">
        <v>4</v>
      </c>
      <c r="E206" s="3" t="s">
        <v>10</v>
      </c>
      <c r="F206" s="7">
        <v>282.26</v>
      </c>
      <c r="G206" s="7">
        <v>1333.84</v>
      </c>
    </row>
    <row r="207" spans="1:7" x14ac:dyDescent="0.35">
      <c r="A207" s="4">
        <v>239652395</v>
      </c>
      <c r="B207" s="5" t="s">
        <v>122</v>
      </c>
      <c r="C207" s="5" t="s">
        <v>23</v>
      </c>
      <c r="D207" s="4">
        <v>10</v>
      </c>
      <c r="E207" s="5" t="s">
        <v>75</v>
      </c>
      <c r="F207" s="8">
        <v>5000</v>
      </c>
      <c r="G207" s="8">
        <v>5000</v>
      </c>
    </row>
    <row r="208" spans="1:7" x14ac:dyDescent="0.35">
      <c r="A208" s="2">
        <v>234574651</v>
      </c>
      <c r="B208" s="3" t="s">
        <v>123</v>
      </c>
      <c r="C208" s="3" t="s">
        <v>23</v>
      </c>
      <c r="D208" s="2">
        <v>4</v>
      </c>
      <c r="E208" s="3" t="s">
        <v>10</v>
      </c>
      <c r="F208" s="7">
        <v>413.69</v>
      </c>
      <c r="G208" s="7">
        <v>2148.8200000000002</v>
      </c>
    </row>
    <row r="209" spans="1:7" x14ac:dyDescent="0.35">
      <c r="A209" s="4">
        <v>234574651</v>
      </c>
      <c r="B209" s="5" t="s">
        <v>123</v>
      </c>
      <c r="C209" s="5" t="s">
        <v>23</v>
      </c>
      <c r="D209" s="4">
        <v>4</v>
      </c>
      <c r="E209" s="5" t="s">
        <v>10</v>
      </c>
      <c r="F209" s="8">
        <v>363.92</v>
      </c>
      <c r="G209" s="8">
        <v>1890.29</v>
      </c>
    </row>
    <row r="210" spans="1:7" x14ac:dyDescent="0.35">
      <c r="A210" s="2">
        <v>234574651</v>
      </c>
      <c r="B210" s="3" t="s">
        <v>123</v>
      </c>
      <c r="C210" s="3" t="s">
        <v>23</v>
      </c>
      <c r="D210" s="2">
        <v>4</v>
      </c>
      <c r="E210" s="3" t="s">
        <v>10</v>
      </c>
      <c r="F210" s="7">
        <v>137.22</v>
      </c>
      <c r="G210" s="7">
        <v>712.76</v>
      </c>
    </row>
    <row r="211" spans="1:7" x14ac:dyDescent="0.35">
      <c r="A211" s="4">
        <v>234574651</v>
      </c>
      <c r="B211" s="5" t="s">
        <v>123</v>
      </c>
      <c r="C211" s="5" t="s">
        <v>23</v>
      </c>
      <c r="D211" s="4">
        <v>4</v>
      </c>
      <c r="E211" s="5" t="s">
        <v>10</v>
      </c>
      <c r="F211" s="8">
        <v>86.27</v>
      </c>
      <c r="G211" s="8">
        <v>461.99</v>
      </c>
    </row>
    <row r="212" spans="1:7" x14ac:dyDescent="0.35">
      <c r="A212" s="2">
        <v>240915760</v>
      </c>
      <c r="B212" s="3" t="s">
        <v>124</v>
      </c>
      <c r="C212" s="3" t="s">
        <v>23</v>
      </c>
      <c r="D212" s="2">
        <v>4</v>
      </c>
      <c r="E212" s="3" t="s">
        <v>10</v>
      </c>
      <c r="F212" s="7">
        <v>7466.75</v>
      </c>
      <c r="G212" s="7">
        <v>7466.75</v>
      </c>
    </row>
    <row r="213" spans="1:7" x14ac:dyDescent="0.35">
      <c r="A213" s="4">
        <v>240915815</v>
      </c>
      <c r="B213" s="5" t="s">
        <v>124</v>
      </c>
      <c r="C213" s="5" t="s">
        <v>23</v>
      </c>
      <c r="D213" s="4">
        <v>24</v>
      </c>
      <c r="E213" s="5" t="s">
        <v>5</v>
      </c>
      <c r="F213" s="8">
        <v>349.84</v>
      </c>
      <c r="G213" s="8">
        <v>349.84</v>
      </c>
    </row>
    <row r="214" spans="1:7" x14ac:dyDescent="0.35">
      <c r="A214" s="2">
        <v>234658273</v>
      </c>
      <c r="B214" s="3" t="s">
        <v>125</v>
      </c>
      <c r="C214" s="3" t="s">
        <v>23</v>
      </c>
      <c r="D214" s="2">
        <v>4</v>
      </c>
      <c r="E214" s="3" t="s">
        <v>10</v>
      </c>
      <c r="F214" s="7">
        <v>1207.2</v>
      </c>
      <c r="G214" s="7">
        <v>5711.63</v>
      </c>
    </row>
    <row r="215" spans="1:7" x14ac:dyDescent="0.35">
      <c r="A215" s="4">
        <v>234658273</v>
      </c>
      <c r="B215" s="5" t="s">
        <v>125</v>
      </c>
      <c r="C215" s="5" t="s">
        <v>23</v>
      </c>
      <c r="D215" s="4">
        <v>4</v>
      </c>
      <c r="E215" s="5" t="s">
        <v>10</v>
      </c>
      <c r="F215" s="8">
        <v>152.91</v>
      </c>
      <c r="G215" s="8">
        <v>723.47</v>
      </c>
    </row>
    <row r="216" spans="1:7" x14ac:dyDescent="0.35">
      <c r="A216" s="4">
        <v>234771880</v>
      </c>
      <c r="B216" s="5" t="s">
        <v>126</v>
      </c>
      <c r="C216" s="5" t="s">
        <v>23</v>
      </c>
      <c r="D216" s="4">
        <v>4</v>
      </c>
      <c r="E216" s="5" t="s">
        <v>10</v>
      </c>
      <c r="F216" s="8">
        <v>4103</v>
      </c>
      <c r="G216" s="8">
        <v>21884.41</v>
      </c>
    </row>
    <row r="217" spans="1:7" x14ac:dyDescent="0.35">
      <c r="A217" s="4">
        <v>234728148</v>
      </c>
      <c r="B217" s="5" t="s">
        <v>127</v>
      </c>
      <c r="C217" s="5" t="s">
        <v>23</v>
      </c>
      <c r="D217" s="4">
        <v>4</v>
      </c>
      <c r="E217" s="5" t="s">
        <v>10</v>
      </c>
      <c r="F217" s="8">
        <v>1124.93</v>
      </c>
      <c r="G217" s="8">
        <v>5458.59</v>
      </c>
    </row>
    <row r="218" spans="1:7" x14ac:dyDescent="0.35">
      <c r="A218" s="2">
        <v>234728148</v>
      </c>
      <c r="B218" s="3" t="s">
        <v>127</v>
      </c>
      <c r="C218" s="3" t="s">
        <v>23</v>
      </c>
      <c r="D218" s="2">
        <v>4</v>
      </c>
      <c r="E218" s="3" t="s">
        <v>10</v>
      </c>
      <c r="F218" s="7">
        <v>79.05</v>
      </c>
      <c r="G218" s="7">
        <v>383.58</v>
      </c>
    </row>
    <row r="219" spans="1:7" x14ac:dyDescent="0.35">
      <c r="A219" s="4">
        <v>234728148</v>
      </c>
      <c r="B219" s="5" t="s">
        <v>127</v>
      </c>
      <c r="C219" s="5" t="s">
        <v>23</v>
      </c>
      <c r="D219" s="4">
        <v>4</v>
      </c>
      <c r="E219" s="5" t="s">
        <v>10</v>
      </c>
      <c r="F219" s="8">
        <v>1543.42</v>
      </c>
      <c r="G219" s="8">
        <v>7435.24</v>
      </c>
    </row>
    <row r="220" spans="1:7" x14ac:dyDescent="0.35">
      <c r="A220" s="2">
        <v>234728148</v>
      </c>
      <c r="B220" s="3" t="s">
        <v>127</v>
      </c>
      <c r="C220" s="3" t="s">
        <v>23</v>
      </c>
      <c r="D220" s="2">
        <v>4</v>
      </c>
      <c r="E220" s="3" t="s">
        <v>10</v>
      </c>
      <c r="F220" s="7">
        <v>132.29</v>
      </c>
      <c r="G220" s="7">
        <v>637.29999999999995</v>
      </c>
    </row>
    <row r="221" spans="1:7" x14ac:dyDescent="0.35">
      <c r="A221" s="2">
        <v>234759736</v>
      </c>
      <c r="B221" s="3" t="s">
        <v>128</v>
      </c>
      <c r="C221" s="3" t="s">
        <v>23</v>
      </c>
      <c r="D221" s="2">
        <v>4</v>
      </c>
      <c r="E221" s="3" t="s">
        <v>10</v>
      </c>
      <c r="F221" s="7">
        <v>843.36</v>
      </c>
      <c r="G221" s="7">
        <v>4003.25</v>
      </c>
    </row>
    <row r="222" spans="1:7" x14ac:dyDescent="0.35">
      <c r="A222" s="4">
        <v>234759736</v>
      </c>
      <c r="B222" s="5" t="s">
        <v>128</v>
      </c>
      <c r="C222" s="5" t="s">
        <v>23</v>
      </c>
      <c r="D222" s="4">
        <v>4</v>
      </c>
      <c r="E222" s="5" t="s">
        <v>10</v>
      </c>
      <c r="F222" s="8">
        <v>490.32</v>
      </c>
      <c r="G222" s="8">
        <v>2327.4499999999998</v>
      </c>
    </row>
    <row r="223" spans="1:7" x14ac:dyDescent="0.35">
      <c r="A223" s="2">
        <v>234759736</v>
      </c>
      <c r="B223" s="3" t="s">
        <v>128</v>
      </c>
      <c r="C223" s="3" t="s">
        <v>23</v>
      </c>
      <c r="D223" s="2">
        <v>4</v>
      </c>
      <c r="E223" s="3" t="s">
        <v>10</v>
      </c>
      <c r="F223" s="7">
        <v>1130.5</v>
      </c>
      <c r="G223" s="7">
        <v>5366.24</v>
      </c>
    </row>
    <row r="224" spans="1:7" x14ac:dyDescent="0.35">
      <c r="A224" s="4">
        <v>234759736</v>
      </c>
      <c r="B224" s="5" t="s">
        <v>128</v>
      </c>
      <c r="C224" s="5" t="s">
        <v>23</v>
      </c>
      <c r="D224" s="4">
        <v>4</v>
      </c>
      <c r="E224" s="5" t="s">
        <v>10</v>
      </c>
      <c r="F224" s="8">
        <v>37.909999999999997</v>
      </c>
      <c r="G224" s="8">
        <v>179.94</v>
      </c>
    </row>
    <row r="225" spans="1:7" x14ac:dyDescent="0.35">
      <c r="A225" s="2">
        <v>234759624</v>
      </c>
      <c r="B225" s="3" t="s">
        <v>129</v>
      </c>
      <c r="C225" s="3" t="s">
        <v>23</v>
      </c>
      <c r="D225" s="2">
        <v>4</v>
      </c>
      <c r="E225" s="3" t="s">
        <v>10</v>
      </c>
      <c r="F225" s="7">
        <v>2391.4</v>
      </c>
      <c r="G225" s="7">
        <v>11604</v>
      </c>
    </row>
    <row r="226" spans="1:7" x14ac:dyDescent="0.35">
      <c r="A226" s="4">
        <v>234759624</v>
      </c>
      <c r="B226" s="5" t="s">
        <v>129</v>
      </c>
      <c r="C226" s="5" t="s">
        <v>23</v>
      </c>
      <c r="D226" s="4">
        <v>4</v>
      </c>
      <c r="E226" s="5" t="s">
        <v>10</v>
      </c>
      <c r="F226" s="8">
        <v>302.91000000000003</v>
      </c>
      <c r="G226" s="8">
        <v>1469.84</v>
      </c>
    </row>
    <row r="227" spans="1:7" x14ac:dyDescent="0.35">
      <c r="A227" s="2">
        <v>234759624</v>
      </c>
      <c r="B227" s="3" t="s">
        <v>129</v>
      </c>
      <c r="C227" s="3" t="s">
        <v>23</v>
      </c>
      <c r="D227" s="2">
        <v>4</v>
      </c>
      <c r="E227" s="3" t="s">
        <v>10</v>
      </c>
      <c r="F227" s="7">
        <v>75.34</v>
      </c>
      <c r="G227" s="7">
        <v>365.57</v>
      </c>
    </row>
    <row r="228" spans="1:7" x14ac:dyDescent="0.35">
      <c r="A228" s="4">
        <v>234759624</v>
      </c>
      <c r="B228" s="5" t="s">
        <v>129</v>
      </c>
      <c r="C228" s="5" t="s">
        <v>23</v>
      </c>
      <c r="D228" s="4">
        <v>4</v>
      </c>
      <c r="E228" s="5" t="s">
        <v>10</v>
      </c>
      <c r="F228" s="8">
        <v>6.14</v>
      </c>
      <c r="G228" s="8">
        <v>29.79</v>
      </c>
    </row>
    <row r="229" spans="1:7" x14ac:dyDescent="0.35">
      <c r="A229" s="2">
        <v>234880271</v>
      </c>
      <c r="B229" s="3" t="s">
        <v>130</v>
      </c>
      <c r="C229" s="3" t="s">
        <v>23</v>
      </c>
      <c r="D229" s="2">
        <v>4</v>
      </c>
      <c r="E229" s="3" t="s">
        <v>10</v>
      </c>
      <c r="F229" s="7">
        <v>839.23</v>
      </c>
      <c r="G229" s="7">
        <v>4367.53</v>
      </c>
    </row>
    <row r="230" spans="1:7" x14ac:dyDescent="0.35">
      <c r="A230" s="2">
        <v>239652245</v>
      </c>
      <c r="B230" s="3" t="s">
        <v>131</v>
      </c>
      <c r="C230" s="3" t="s">
        <v>23</v>
      </c>
      <c r="D230" s="2">
        <v>10</v>
      </c>
      <c r="E230" s="3" t="s">
        <v>75</v>
      </c>
      <c r="F230" s="7">
        <v>5000</v>
      </c>
      <c r="G230" s="7">
        <v>5000</v>
      </c>
    </row>
    <row r="231" spans="1:7" x14ac:dyDescent="0.35">
      <c r="A231" s="4">
        <v>239652207</v>
      </c>
      <c r="B231" s="5" t="s">
        <v>132</v>
      </c>
      <c r="C231" s="5" t="s">
        <v>23</v>
      </c>
      <c r="D231" s="4">
        <v>4</v>
      </c>
      <c r="E231" s="5" t="s">
        <v>10</v>
      </c>
      <c r="F231" s="8">
        <v>506.46</v>
      </c>
      <c r="G231" s="8">
        <v>2404.0700000000002</v>
      </c>
    </row>
    <row r="232" spans="1:7" x14ac:dyDescent="0.35">
      <c r="A232" s="2">
        <v>239652207</v>
      </c>
      <c r="B232" s="3" t="s">
        <v>132</v>
      </c>
      <c r="C232" s="3" t="s">
        <v>23</v>
      </c>
      <c r="D232" s="2">
        <v>4</v>
      </c>
      <c r="E232" s="3" t="s">
        <v>10</v>
      </c>
      <c r="F232" s="7">
        <v>43.23</v>
      </c>
      <c r="G232" s="7">
        <v>205.2</v>
      </c>
    </row>
    <row r="233" spans="1:7" x14ac:dyDescent="0.35">
      <c r="A233" s="4">
        <v>239652207</v>
      </c>
      <c r="B233" s="5" t="s">
        <v>132</v>
      </c>
      <c r="C233" s="5" t="s">
        <v>23</v>
      </c>
      <c r="D233" s="4">
        <v>4</v>
      </c>
      <c r="E233" s="5" t="s">
        <v>10</v>
      </c>
      <c r="F233" s="8">
        <v>195.01</v>
      </c>
      <c r="G233" s="8">
        <v>925.67</v>
      </c>
    </row>
    <row r="234" spans="1:7" x14ac:dyDescent="0.35">
      <c r="A234" s="2">
        <v>239652207</v>
      </c>
      <c r="B234" s="3" t="s">
        <v>132</v>
      </c>
      <c r="C234" s="3" t="s">
        <v>23</v>
      </c>
      <c r="D234" s="2">
        <v>4</v>
      </c>
      <c r="E234" s="3" t="s">
        <v>10</v>
      </c>
      <c r="F234" s="7">
        <v>74.62</v>
      </c>
      <c r="G234" s="7">
        <v>354.21</v>
      </c>
    </row>
    <row r="235" spans="1:7" x14ac:dyDescent="0.35">
      <c r="A235" s="4">
        <v>239652207</v>
      </c>
      <c r="B235" s="5" t="s">
        <v>132</v>
      </c>
      <c r="C235" s="5" t="s">
        <v>23</v>
      </c>
      <c r="D235" s="4">
        <v>4</v>
      </c>
      <c r="E235" s="5" t="s">
        <v>10</v>
      </c>
      <c r="F235" s="8">
        <v>6832.33</v>
      </c>
      <c r="G235" s="8">
        <v>30255.77</v>
      </c>
    </row>
    <row r="236" spans="1:7" x14ac:dyDescent="0.35">
      <c r="A236" s="2">
        <v>239652207</v>
      </c>
      <c r="B236" s="3" t="s">
        <v>132</v>
      </c>
      <c r="C236" s="3" t="s">
        <v>23</v>
      </c>
      <c r="D236" s="2">
        <v>4</v>
      </c>
      <c r="E236" s="3" t="s">
        <v>10</v>
      </c>
      <c r="F236" s="7">
        <v>189.35</v>
      </c>
      <c r="G236" s="7">
        <v>838.5</v>
      </c>
    </row>
    <row r="237" spans="1:7" x14ac:dyDescent="0.35">
      <c r="A237" s="2">
        <v>235073800</v>
      </c>
      <c r="B237" s="3" t="s">
        <v>133</v>
      </c>
      <c r="C237" s="3" t="s">
        <v>23</v>
      </c>
      <c r="D237" s="2">
        <v>4</v>
      </c>
      <c r="E237" s="3" t="s">
        <v>10</v>
      </c>
      <c r="F237" s="7">
        <v>9434.7800000000007</v>
      </c>
      <c r="G237" s="7">
        <v>44638.73</v>
      </c>
    </row>
    <row r="238" spans="1:7" x14ac:dyDescent="0.35">
      <c r="A238" s="4">
        <v>235073800</v>
      </c>
      <c r="B238" s="5" t="s">
        <v>133</v>
      </c>
      <c r="C238" s="5" t="s">
        <v>23</v>
      </c>
      <c r="D238" s="4">
        <v>4</v>
      </c>
      <c r="E238" s="5" t="s">
        <v>10</v>
      </c>
      <c r="F238" s="8">
        <v>448.15</v>
      </c>
      <c r="G238" s="8">
        <v>2120.33</v>
      </c>
    </row>
    <row r="239" spans="1:7" x14ac:dyDescent="0.35">
      <c r="A239" s="2">
        <v>235073800</v>
      </c>
      <c r="B239" s="3" t="s">
        <v>133</v>
      </c>
      <c r="C239" s="3" t="s">
        <v>23</v>
      </c>
      <c r="D239" s="2">
        <v>4</v>
      </c>
      <c r="E239" s="3" t="s">
        <v>10</v>
      </c>
      <c r="F239" s="7">
        <v>24</v>
      </c>
      <c r="G239" s="7">
        <v>113.55</v>
      </c>
    </row>
    <row r="240" spans="1:7" x14ac:dyDescent="0.35">
      <c r="A240" s="4">
        <v>235100622</v>
      </c>
      <c r="B240" s="5" t="s">
        <v>134</v>
      </c>
      <c r="C240" s="5" t="s">
        <v>23</v>
      </c>
      <c r="D240" s="4">
        <v>4</v>
      </c>
      <c r="E240" s="5" t="s">
        <v>10</v>
      </c>
      <c r="F240" s="8">
        <v>2886.22</v>
      </c>
      <c r="G240" s="8">
        <v>14775.22</v>
      </c>
    </row>
    <row r="241" spans="1:7" x14ac:dyDescent="0.35">
      <c r="A241" s="2">
        <v>240834210</v>
      </c>
      <c r="B241" s="3" t="s">
        <v>135</v>
      </c>
      <c r="C241" s="3" t="s">
        <v>23</v>
      </c>
      <c r="D241" s="2">
        <v>15</v>
      </c>
      <c r="E241" s="3" t="s">
        <v>43</v>
      </c>
      <c r="F241" s="7">
        <v>3000</v>
      </c>
      <c r="G241" s="7">
        <v>3000</v>
      </c>
    </row>
    <row r="242" spans="1:7" x14ac:dyDescent="0.35">
      <c r="A242" s="2">
        <v>235128435</v>
      </c>
      <c r="B242" s="3" t="s">
        <v>136</v>
      </c>
      <c r="C242" s="3" t="s">
        <v>23</v>
      </c>
      <c r="D242" s="2">
        <v>4</v>
      </c>
      <c r="E242" s="3" t="s">
        <v>10</v>
      </c>
      <c r="F242" s="7">
        <v>60</v>
      </c>
      <c r="G242" s="7">
        <v>321.47000000000003</v>
      </c>
    </row>
    <row r="243" spans="1:7" x14ac:dyDescent="0.35">
      <c r="A243" s="4">
        <v>235128435</v>
      </c>
      <c r="B243" s="5" t="s">
        <v>136</v>
      </c>
      <c r="C243" s="5" t="s">
        <v>23</v>
      </c>
      <c r="D243" s="4">
        <v>4</v>
      </c>
      <c r="E243" s="5" t="s">
        <v>10</v>
      </c>
      <c r="F243" s="8">
        <v>1328.8</v>
      </c>
      <c r="G243" s="8">
        <v>6791.59</v>
      </c>
    </row>
    <row r="244" spans="1:7" x14ac:dyDescent="0.35">
      <c r="A244" s="2">
        <v>235130423</v>
      </c>
      <c r="B244" s="3" t="s">
        <v>137</v>
      </c>
      <c r="C244" s="3" t="s">
        <v>23</v>
      </c>
      <c r="D244" s="2">
        <v>4</v>
      </c>
      <c r="E244" s="3" t="s">
        <v>10</v>
      </c>
      <c r="F244" s="7">
        <v>75.599999999999994</v>
      </c>
      <c r="G244" s="7">
        <v>364.19</v>
      </c>
    </row>
    <row r="245" spans="1:7" x14ac:dyDescent="0.35">
      <c r="A245" s="4">
        <v>235130423</v>
      </c>
      <c r="B245" s="5" t="s">
        <v>137</v>
      </c>
      <c r="C245" s="5" t="s">
        <v>23</v>
      </c>
      <c r="D245" s="4">
        <v>4</v>
      </c>
      <c r="E245" s="5" t="s">
        <v>10</v>
      </c>
      <c r="F245" s="8">
        <v>9.58</v>
      </c>
      <c r="G245" s="8">
        <v>46.15</v>
      </c>
    </row>
    <row r="246" spans="1:7" x14ac:dyDescent="0.35">
      <c r="A246" s="2">
        <v>235130423</v>
      </c>
      <c r="B246" s="3" t="s">
        <v>137</v>
      </c>
      <c r="C246" s="3" t="s">
        <v>23</v>
      </c>
      <c r="D246" s="2">
        <v>4</v>
      </c>
      <c r="E246" s="3" t="s">
        <v>10</v>
      </c>
      <c r="F246" s="7">
        <v>157.18</v>
      </c>
      <c r="G246" s="7">
        <v>757.2</v>
      </c>
    </row>
    <row r="247" spans="1:7" x14ac:dyDescent="0.35">
      <c r="A247" s="4">
        <v>235130423</v>
      </c>
      <c r="B247" s="5" t="s">
        <v>137</v>
      </c>
      <c r="C247" s="5" t="s">
        <v>23</v>
      </c>
      <c r="D247" s="4">
        <v>4</v>
      </c>
      <c r="E247" s="5" t="s">
        <v>10</v>
      </c>
      <c r="F247" s="8">
        <v>8.52</v>
      </c>
      <c r="G247" s="8">
        <v>41.04</v>
      </c>
    </row>
    <row r="248" spans="1:7" x14ac:dyDescent="0.35">
      <c r="A248" s="2">
        <v>235130423</v>
      </c>
      <c r="B248" s="3" t="s">
        <v>137</v>
      </c>
      <c r="C248" s="3" t="s">
        <v>23</v>
      </c>
      <c r="D248" s="2">
        <v>4</v>
      </c>
      <c r="E248" s="3" t="s">
        <v>10</v>
      </c>
      <c r="F248" s="7">
        <v>77.400000000000006</v>
      </c>
      <c r="G248" s="7">
        <v>372.86</v>
      </c>
    </row>
    <row r="249" spans="1:7" x14ac:dyDescent="0.35">
      <c r="A249" s="4">
        <v>235130423</v>
      </c>
      <c r="B249" s="5" t="s">
        <v>137</v>
      </c>
      <c r="C249" s="5" t="s">
        <v>23</v>
      </c>
      <c r="D249" s="4">
        <v>4</v>
      </c>
      <c r="E249" s="5" t="s">
        <v>10</v>
      </c>
      <c r="F249" s="8">
        <v>9.8000000000000007</v>
      </c>
      <c r="G249" s="8">
        <v>47.21</v>
      </c>
    </row>
    <row r="250" spans="1:7" x14ac:dyDescent="0.35">
      <c r="A250" s="2">
        <v>235130423</v>
      </c>
      <c r="B250" s="3" t="s">
        <v>137</v>
      </c>
      <c r="C250" s="3" t="s">
        <v>23</v>
      </c>
      <c r="D250" s="2">
        <v>4</v>
      </c>
      <c r="E250" s="3" t="s">
        <v>10</v>
      </c>
      <c r="F250" s="7">
        <v>214.8</v>
      </c>
      <c r="G250" s="7">
        <v>1019.6</v>
      </c>
    </row>
    <row r="251" spans="1:7" x14ac:dyDescent="0.35">
      <c r="A251" s="4">
        <v>235130423</v>
      </c>
      <c r="B251" s="5" t="s">
        <v>137</v>
      </c>
      <c r="C251" s="5" t="s">
        <v>23</v>
      </c>
      <c r="D251" s="4">
        <v>4</v>
      </c>
      <c r="E251" s="5" t="s">
        <v>10</v>
      </c>
      <c r="F251" s="8">
        <v>27.21</v>
      </c>
      <c r="G251" s="8">
        <v>129.16</v>
      </c>
    </row>
    <row r="252" spans="1:7" x14ac:dyDescent="0.35">
      <c r="A252" s="2">
        <v>235130423</v>
      </c>
      <c r="B252" s="3" t="s">
        <v>137</v>
      </c>
      <c r="C252" s="3" t="s">
        <v>23</v>
      </c>
      <c r="D252" s="2">
        <v>4</v>
      </c>
      <c r="E252" s="3" t="s">
        <v>10</v>
      </c>
      <c r="F252" s="7">
        <v>190.8</v>
      </c>
      <c r="G252" s="7">
        <v>905.7</v>
      </c>
    </row>
    <row r="253" spans="1:7" x14ac:dyDescent="0.35">
      <c r="A253" s="4">
        <v>235130423</v>
      </c>
      <c r="B253" s="5" t="s">
        <v>137</v>
      </c>
      <c r="C253" s="5" t="s">
        <v>23</v>
      </c>
      <c r="D253" s="4">
        <v>4</v>
      </c>
      <c r="E253" s="5" t="s">
        <v>10</v>
      </c>
      <c r="F253" s="8">
        <v>24.17</v>
      </c>
      <c r="G253" s="8">
        <v>114.73</v>
      </c>
    </row>
    <row r="254" spans="1:7" x14ac:dyDescent="0.35">
      <c r="A254" s="2">
        <v>235130423</v>
      </c>
      <c r="B254" s="3" t="s">
        <v>137</v>
      </c>
      <c r="C254" s="3" t="s">
        <v>23</v>
      </c>
      <c r="D254" s="2">
        <v>4</v>
      </c>
      <c r="E254" s="3" t="s">
        <v>10</v>
      </c>
      <c r="F254" s="7">
        <v>235.2</v>
      </c>
      <c r="G254" s="7">
        <v>1116.44</v>
      </c>
    </row>
    <row r="255" spans="1:7" x14ac:dyDescent="0.35">
      <c r="A255" s="4">
        <v>235130423</v>
      </c>
      <c r="B255" s="5" t="s">
        <v>137</v>
      </c>
      <c r="C255" s="5" t="s">
        <v>23</v>
      </c>
      <c r="D255" s="4">
        <v>4</v>
      </c>
      <c r="E255" s="5" t="s">
        <v>10</v>
      </c>
      <c r="F255" s="8">
        <v>29.79</v>
      </c>
      <c r="G255" s="8">
        <v>141.4</v>
      </c>
    </row>
    <row r="256" spans="1:7" x14ac:dyDescent="0.35">
      <c r="A256" s="2">
        <v>235130423</v>
      </c>
      <c r="B256" s="3" t="s">
        <v>137</v>
      </c>
      <c r="C256" s="3" t="s">
        <v>23</v>
      </c>
      <c r="D256" s="2">
        <v>4</v>
      </c>
      <c r="E256" s="3" t="s">
        <v>10</v>
      </c>
      <c r="F256" s="7">
        <v>120.6</v>
      </c>
      <c r="G256" s="7">
        <v>572.46</v>
      </c>
    </row>
    <row r="257" spans="1:7" x14ac:dyDescent="0.35">
      <c r="A257" s="4">
        <v>235130423</v>
      </c>
      <c r="B257" s="5" t="s">
        <v>137</v>
      </c>
      <c r="C257" s="5" t="s">
        <v>23</v>
      </c>
      <c r="D257" s="4">
        <v>4</v>
      </c>
      <c r="E257" s="5" t="s">
        <v>10</v>
      </c>
      <c r="F257" s="8">
        <v>15.28</v>
      </c>
      <c r="G257" s="8">
        <v>72.53</v>
      </c>
    </row>
    <row r="258" spans="1:7" x14ac:dyDescent="0.35">
      <c r="A258" s="2">
        <v>235130423</v>
      </c>
      <c r="B258" s="3" t="s">
        <v>137</v>
      </c>
      <c r="C258" s="3" t="s">
        <v>23</v>
      </c>
      <c r="D258" s="2">
        <v>4</v>
      </c>
      <c r="E258" s="3" t="s">
        <v>10</v>
      </c>
      <c r="F258" s="7">
        <v>184.8</v>
      </c>
      <c r="G258" s="7">
        <v>877.2</v>
      </c>
    </row>
    <row r="259" spans="1:7" x14ac:dyDescent="0.35">
      <c r="A259" s="4">
        <v>235130423</v>
      </c>
      <c r="B259" s="5" t="s">
        <v>137</v>
      </c>
      <c r="C259" s="5" t="s">
        <v>23</v>
      </c>
      <c r="D259" s="4">
        <v>4</v>
      </c>
      <c r="E259" s="5" t="s">
        <v>10</v>
      </c>
      <c r="F259" s="8">
        <v>23.41</v>
      </c>
      <c r="G259" s="8">
        <v>111.12</v>
      </c>
    </row>
    <row r="260" spans="1:7" x14ac:dyDescent="0.35">
      <c r="A260" s="2">
        <v>235130423</v>
      </c>
      <c r="B260" s="3" t="s">
        <v>137</v>
      </c>
      <c r="C260" s="3" t="s">
        <v>23</v>
      </c>
      <c r="D260" s="2">
        <v>4</v>
      </c>
      <c r="E260" s="3" t="s">
        <v>10</v>
      </c>
      <c r="F260" s="7">
        <v>124.2</v>
      </c>
      <c r="G260" s="7">
        <v>589.54</v>
      </c>
    </row>
    <row r="261" spans="1:7" x14ac:dyDescent="0.35">
      <c r="A261" s="4">
        <v>235130423</v>
      </c>
      <c r="B261" s="5" t="s">
        <v>137</v>
      </c>
      <c r="C261" s="5" t="s">
        <v>23</v>
      </c>
      <c r="D261" s="4">
        <v>4</v>
      </c>
      <c r="E261" s="5" t="s">
        <v>10</v>
      </c>
      <c r="F261" s="8">
        <v>15.73</v>
      </c>
      <c r="G261" s="8">
        <v>74.67</v>
      </c>
    </row>
    <row r="262" spans="1:7" x14ac:dyDescent="0.35">
      <c r="A262" s="2">
        <v>235130423</v>
      </c>
      <c r="B262" s="3" t="s">
        <v>137</v>
      </c>
      <c r="C262" s="3" t="s">
        <v>23</v>
      </c>
      <c r="D262" s="2">
        <v>4</v>
      </c>
      <c r="E262" s="3" t="s">
        <v>10</v>
      </c>
      <c r="F262" s="7">
        <v>24.6</v>
      </c>
      <c r="G262" s="7">
        <v>116.77</v>
      </c>
    </row>
    <row r="263" spans="1:7" x14ac:dyDescent="0.35">
      <c r="A263" s="4">
        <v>235130423</v>
      </c>
      <c r="B263" s="5" t="s">
        <v>137</v>
      </c>
      <c r="C263" s="5" t="s">
        <v>23</v>
      </c>
      <c r="D263" s="4">
        <v>4</v>
      </c>
      <c r="E263" s="5" t="s">
        <v>10</v>
      </c>
      <c r="F263" s="8">
        <v>3.12</v>
      </c>
      <c r="G263" s="8">
        <v>14.81</v>
      </c>
    </row>
    <row r="264" spans="1:7" x14ac:dyDescent="0.35">
      <c r="A264" s="2">
        <v>235130423</v>
      </c>
      <c r="B264" s="3" t="s">
        <v>137</v>
      </c>
      <c r="C264" s="3" t="s">
        <v>23</v>
      </c>
      <c r="D264" s="2">
        <v>4</v>
      </c>
      <c r="E264" s="3" t="s">
        <v>10</v>
      </c>
      <c r="F264" s="7">
        <v>53.4</v>
      </c>
      <c r="G264" s="7">
        <v>253.48</v>
      </c>
    </row>
    <row r="265" spans="1:7" x14ac:dyDescent="0.35">
      <c r="A265" s="4">
        <v>235130423</v>
      </c>
      <c r="B265" s="5" t="s">
        <v>137</v>
      </c>
      <c r="C265" s="5" t="s">
        <v>23</v>
      </c>
      <c r="D265" s="4">
        <v>4</v>
      </c>
      <c r="E265" s="5" t="s">
        <v>10</v>
      </c>
      <c r="F265" s="8">
        <v>6.76</v>
      </c>
      <c r="G265" s="8">
        <v>32.090000000000003</v>
      </c>
    </row>
    <row r="266" spans="1:7" x14ac:dyDescent="0.35">
      <c r="A266" s="2">
        <v>235130423</v>
      </c>
      <c r="B266" s="3" t="s">
        <v>137</v>
      </c>
      <c r="C266" s="3" t="s">
        <v>23</v>
      </c>
      <c r="D266" s="2">
        <v>4</v>
      </c>
      <c r="E266" s="3" t="s">
        <v>10</v>
      </c>
      <c r="F266" s="7">
        <v>154.19999999999999</v>
      </c>
      <c r="G266" s="7">
        <v>731.95</v>
      </c>
    </row>
    <row r="267" spans="1:7" x14ac:dyDescent="0.35">
      <c r="A267" s="4">
        <v>235130423</v>
      </c>
      <c r="B267" s="5" t="s">
        <v>137</v>
      </c>
      <c r="C267" s="5" t="s">
        <v>23</v>
      </c>
      <c r="D267" s="4">
        <v>4</v>
      </c>
      <c r="E267" s="5" t="s">
        <v>10</v>
      </c>
      <c r="F267" s="8">
        <v>19.53</v>
      </c>
      <c r="G267" s="8">
        <v>92.71</v>
      </c>
    </row>
    <row r="268" spans="1:7" x14ac:dyDescent="0.35">
      <c r="A268" s="2">
        <v>235130423</v>
      </c>
      <c r="B268" s="3" t="s">
        <v>137</v>
      </c>
      <c r="C268" s="3" t="s">
        <v>23</v>
      </c>
      <c r="D268" s="2">
        <v>4</v>
      </c>
      <c r="E268" s="3" t="s">
        <v>10</v>
      </c>
      <c r="F268" s="7">
        <v>177.65</v>
      </c>
      <c r="G268" s="7">
        <v>843.26</v>
      </c>
    </row>
    <row r="269" spans="1:7" x14ac:dyDescent="0.35">
      <c r="A269" s="4">
        <v>235130423</v>
      </c>
      <c r="B269" s="5" t="s">
        <v>137</v>
      </c>
      <c r="C269" s="5" t="s">
        <v>23</v>
      </c>
      <c r="D269" s="4">
        <v>4</v>
      </c>
      <c r="E269" s="5" t="s">
        <v>10</v>
      </c>
      <c r="F269" s="8">
        <v>5.96</v>
      </c>
      <c r="G269" s="8">
        <v>28.29</v>
      </c>
    </row>
    <row r="270" spans="1:7" x14ac:dyDescent="0.35">
      <c r="A270" s="2">
        <v>235130423</v>
      </c>
      <c r="B270" s="3" t="s">
        <v>137</v>
      </c>
      <c r="C270" s="3" t="s">
        <v>23</v>
      </c>
      <c r="D270" s="2">
        <v>4</v>
      </c>
      <c r="E270" s="3" t="s">
        <v>10</v>
      </c>
      <c r="F270" s="7">
        <v>135.25</v>
      </c>
      <c r="G270" s="7">
        <v>642</v>
      </c>
    </row>
    <row r="271" spans="1:7" x14ac:dyDescent="0.35">
      <c r="A271" s="4">
        <v>235130423</v>
      </c>
      <c r="B271" s="5" t="s">
        <v>137</v>
      </c>
      <c r="C271" s="5" t="s">
        <v>23</v>
      </c>
      <c r="D271" s="4">
        <v>4</v>
      </c>
      <c r="E271" s="5" t="s">
        <v>10</v>
      </c>
      <c r="F271" s="8">
        <v>21.02</v>
      </c>
      <c r="G271" s="8">
        <v>99.78</v>
      </c>
    </row>
    <row r="272" spans="1:7" x14ac:dyDescent="0.35">
      <c r="A272" s="2">
        <v>235130457</v>
      </c>
      <c r="B272" s="3" t="s">
        <v>138</v>
      </c>
      <c r="C272" s="3" t="s">
        <v>23</v>
      </c>
      <c r="D272" s="2">
        <v>4</v>
      </c>
      <c r="E272" s="3" t="s">
        <v>10</v>
      </c>
      <c r="F272" s="7">
        <v>984</v>
      </c>
      <c r="G272" s="7">
        <v>4670.84</v>
      </c>
    </row>
    <row r="273" spans="1:7" x14ac:dyDescent="0.35">
      <c r="A273" s="4">
        <v>235130457</v>
      </c>
      <c r="B273" s="5" t="s">
        <v>138</v>
      </c>
      <c r="C273" s="5" t="s">
        <v>23</v>
      </c>
      <c r="D273" s="4">
        <v>4</v>
      </c>
      <c r="E273" s="5" t="s">
        <v>10</v>
      </c>
      <c r="F273" s="8">
        <v>58.14</v>
      </c>
      <c r="G273" s="8">
        <v>275.98</v>
      </c>
    </row>
    <row r="274" spans="1:7" x14ac:dyDescent="0.35">
      <c r="A274" s="4">
        <v>235160486</v>
      </c>
      <c r="B274" s="5" t="s">
        <v>139</v>
      </c>
      <c r="C274" s="5" t="s">
        <v>23</v>
      </c>
      <c r="D274" s="4">
        <v>4</v>
      </c>
      <c r="E274" s="5" t="s">
        <v>10</v>
      </c>
      <c r="F274" s="8">
        <v>1861.41</v>
      </c>
      <c r="G274" s="8">
        <v>8967.1299999999992</v>
      </c>
    </row>
    <row r="275" spans="1:7" x14ac:dyDescent="0.35">
      <c r="A275" s="2">
        <v>235160486</v>
      </c>
      <c r="B275" s="3" t="s">
        <v>139</v>
      </c>
      <c r="C275" s="3" t="s">
        <v>23</v>
      </c>
      <c r="D275" s="2">
        <v>4</v>
      </c>
      <c r="E275" s="3" t="s">
        <v>10</v>
      </c>
      <c r="F275" s="7">
        <v>409.75</v>
      </c>
      <c r="G275" s="7">
        <v>1973.92</v>
      </c>
    </row>
    <row r="276" spans="1:7" x14ac:dyDescent="0.35">
      <c r="A276" s="4">
        <v>235160433</v>
      </c>
      <c r="B276" s="5" t="s">
        <v>140</v>
      </c>
      <c r="C276" s="5" t="s">
        <v>23</v>
      </c>
      <c r="D276" s="4">
        <v>4</v>
      </c>
      <c r="E276" s="5" t="s">
        <v>10</v>
      </c>
      <c r="F276" s="8">
        <v>1551.71</v>
      </c>
      <c r="G276" s="8">
        <v>7081.1</v>
      </c>
    </row>
    <row r="277" spans="1:7" x14ac:dyDescent="0.35">
      <c r="A277" s="2">
        <v>235160433</v>
      </c>
      <c r="B277" s="3" t="s">
        <v>140</v>
      </c>
      <c r="C277" s="3" t="s">
        <v>23</v>
      </c>
      <c r="D277" s="2">
        <v>4</v>
      </c>
      <c r="E277" s="3" t="s">
        <v>10</v>
      </c>
      <c r="F277" s="7">
        <v>73.7</v>
      </c>
      <c r="G277" s="7">
        <v>336.33</v>
      </c>
    </row>
    <row r="278" spans="1:7" x14ac:dyDescent="0.35">
      <c r="A278" s="2">
        <v>240032463</v>
      </c>
      <c r="B278" s="3" t="s">
        <v>141</v>
      </c>
      <c r="C278" s="3" t="s">
        <v>23</v>
      </c>
      <c r="D278" s="2">
        <v>4</v>
      </c>
      <c r="E278" s="3" t="s">
        <v>10</v>
      </c>
      <c r="F278" s="7">
        <v>27301.77</v>
      </c>
      <c r="G278" s="7">
        <v>27301.77</v>
      </c>
    </row>
    <row r="279" spans="1:7" x14ac:dyDescent="0.35">
      <c r="A279" s="4">
        <v>235237132</v>
      </c>
      <c r="B279" s="5" t="s">
        <v>142</v>
      </c>
      <c r="C279" s="5" t="s">
        <v>23</v>
      </c>
      <c r="D279" s="4">
        <v>4</v>
      </c>
      <c r="E279" s="5" t="s">
        <v>10</v>
      </c>
      <c r="F279" s="8">
        <v>60</v>
      </c>
      <c r="G279" s="8">
        <v>320.55</v>
      </c>
    </row>
    <row r="280" spans="1:7" x14ac:dyDescent="0.35">
      <c r="A280" s="2">
        <v>235237132</v>
      </c>
      <c r="B280" s="3" t="s">
        <v>142</v>
      </c>
      <c r="C280" s="3" t="s">
        <v>23</v>
      </c>
      <c r="D280" s="2">
        <v>4</v>
      </c>
      <c r="E280" s="3" t="s">
        <v>10</v>
      </c>
      <c r="F280" s="7">
        <v>1397.72</v>
      </c>
      <c r="G280" s="7">
        <v>7143.85</v>
      </c>
    </row>
    <row r="281" spans="1:7" x14ac:dyDescent="0.35">
      <c r="A281" s="4">
        <v>235270168</v>
      </c>
      <c r="B281" s="5" t="s">
        <v>143</v>
      </c>
      <c r="C281" s="5" t="s">
        <v>23</v>
      </c>
      <c r="D281" s="4">
        <v>4</v>
      </c>
      <c r="E281" s="5" t="s">
        <v>10</v>
      </c>
      <c r="F281" s="8">
        <v>225</v>
      </c>
      <c r="G281" s="8">
        <v>1191.6099999999999</v>
      </c>
    </row>
    <row r="282" spans="1:7" x14ac:dyDescent="0.35">
      <c r="A282" s="2">
        <v>235270168</v>
      </c>
      <c r="B282" s="3" t="s">
        <v>143</v>
      </c>
      <c r="C282" s="3" t="s">
        <v>23</v>
      </c>
      <c r="D282" s="2">
        <v>4</v>
      </c>
      <c r="E282" s="3" t="s">
        <v>10</v>
      </c>
      <c r="F282" s="7">
        <v>1876.45</v>
      </c>
      <c r="G282" s="7">
        <v>9937.82</v>
      </c>
    </row>
    <row r="283" spans="1:7" x14ac:dyDescent="0.35">
      <c r="A283" s="4">
        <v>235270168</v>
      </c>
      <c r="B283" s="5" t="s">
        <v>143</v>
      </c>
      <c r="C283" s="5" t="s">
        <v>23</v>
      </c>
      <c r="D283" s="4">
        <v>4</v>
      </c>
      <c r="E283" s="5" t="s">
        <v>10</v>
      </c>
      <c r="F283" s="8">
        <v>47.25</v>
      </c>
      <c r="G283" s="8">
        <v>250.24</v>
      </c>
    </row>
    <row r="284" spans="1:7" x14ac:dyDescent="0.35">
      <c r="A284" s="4">
        <v>235305808</v>
      </c>
      <c r="B284" s="5" t="s">
        <v>144</v>
      </c>
      <c r="C284" s="5" t="s">
        <v>23</v>
      </c>
      <c r="D284" s="4">
        <v>6</v>
      </c>
      <c r="E284" s="5" t="s">
        <v>8</v>
      </c>
      <c r="F284" s="8">
        <v>352</v>
      </c>
      <c r="G284" s="8">
        <v>1608.41</v>
      </c>
    </row>
    <row r="285" spans="1:7" x14ac:dyDescent="0.35">
      <c r="A285" s="4">
        <v>236144366</v>
      </c>
      <c r="B285" s="5" t="s">
        <v>145</v>
      </c>
      <c r="C285" s="5" t="s">
        <v>23</v>
      </c>
      <c r="D285" s="4">
        <v>4</v>
      </c>
      <c r="E285" s="5" t="s">
        <v>10</v>
      </c>
      <c r="F285" s="8">
        <v>1481.35</v>
      </c>
      <c r="G285" s="8">
        <v>7955.41</v>
      </c>
    </row>
    <row r="286" spans="1:7" x14ac:dyDescent="0.35">
      <c r="A286" s="4">
        <v>235449435</v>
      </c>
      <c r="B286" s="5" t="s">
        <v>146</v>
      </c>
      <c r="C286" s="5" t="s">
        <v>23</v>
      </c>
      <c r="D286" s="4">
        <v>4</v>
      </c>
      <c r="E286" s="5" t="s">
        <v>10</v>
      </c>
      <c r="F286" s="8">
        <v>139.47</v>
      </c>
      <c r="G286" s="8">
        <v>139.47</v>
      </c>
    </row>
    <row r="287" spans="1:7" x14ac:dyDescent="0.35">
      <c r="A287" s="2">
        <v>239657258</v>
      </c>
      <c r="B287" s="3" t="s">
        <v>146</v>
      </c>
      <c r="C287" s="3" t="s">
        <v>23</v>
      </c>
      <c r="D287" s="2">
        <v>24</v>
      </c>
      <c r="E287" s="3" t="s">
        <v>5</v>
      </c>
      <c r="F287" s="7">
        <v>545.28</v>
      </c>
      <c r="G287" s="7">
        <v>545.28</v>
      </c>
    </row>
    <row r="288" spans="1:7" x14ac:dyDescent="0.35">
      <c r="A288" s="2">
        <v>236034515</v>
      </c>
      <c r="B288" s="3" t="s">
        <v>147</v>
      </c>
      <c r="C288" s="3" t="s">
        <v>23</v>
      </c>
      <c r="D288" s="2">
        <v>4</v>
      </c>
      <c r="E288" s="3" t="s">
        <v>10</v>
      </c>
      <c r="F288" s="7">
        <v>6906.9</v>
      </c>
      <c r="G288" s="7">
        <v>33563.25</v>
      </c>
    </row>
    <row r="289" spans="1:7" x14ac:dyDescent="0.35">
      <c r="A289" s="4">
        <v>236034515</v>
      </c>
      <c r="B289" s="5" t="s">
        <v>147</v>
      </c>
      <c r="C289" s="5" t="s">
        <v>23</v>
      </c>
      <c r="D289" s="4">
        <v>4</v>
      </c>
      <c r="E289" s="5" t="s">
        <v>10</v>
      </c>
      <c r="F289" s="8">
        <v>562.41999999999996</v>
      </c>
      <c r="G289" s="8">
        <v>2733.02</v>
      </c>
    </row>
    <row r="290" spans="1:7" x14ac:dyDescent="0.35">
      <c r="A290" s="2">
        <v>235475738</v>
      </c>
      <c r="B290" s="3" t="s">
        <v>148</v>
      </c>
      <c r="C290" s="3" t="s">
        <v>23</v>
      </c>
      <c r="D290" s="2">
        <v>4</v>
      </c>
      <c r="E290" s="3" t="s">
        <v>10</v>
      </c>
      <c r="F290" s="7">
        <v>15</v>
      </c>
      <c r="G290" s="7">
        <v>72.42</v>
      </c>
    </row>
    <row r="291" spans="1:7" x14ac:dyDescent="0.35">
      <c r="A291" s="4">
        <v>235475738</v>
      </c>
      <c r="B291" s="5" t="s">
        <v>148</v>
      </c>
      <c r="C291" s="5" t="s">
        <v>23</v>
      </c>
      <c r="D291" s="4">
        <v>4</v>
      </c>
      <c r="E291" s="5" t="s">
        <v>10</v>
      </c>
      <c r="F291" s="8">
        <v>25.69</v>
      </c>
      <c r="G291" s="8">
        <v>124.03</v>
      </c>
    </row>
    <row r="292" spans="1:7" x14ac:dyDescent="0.35">
      <c r="A292" s="2">
        <v>235475651</v>
      </c>
      <c r="B292" s="3" t="s">
        <v>149</v>
      </c>
      <c r="C292" s="3" t="s">
        <v>23</v>
      </c>
      <c r="D292" s="2">
        <v>4</v>
      </c>
      <c r="E292" s="3" t="s">
        <v>10</v>
      </c>
      <c r="F292" s="7">
        <v>361.59</v>
      </c>
      <c r="G292" s="7">
        <v>1881.78</v>
      </c>
    </row>
    <row r="293" spans="1:7" x14ac:dyDescent="0.35">
      <c r="A293" s="4">
        <v>235475651</v>
      </c>
      <c r="B293" s="5" t="s">
        <v>149</v>
      </c>
      <c r="C293" s="5" t="s">
        <v>23</v>
      </c>
      <c r="D293" s="4">
        <v>4</v>
      </c>
      <c r="E293" s="5" t="s">
        <v>10</v>
      </c>
      <c r="F293" s="8">
        <v>268.33999999999997</v>
      </c>
      <c r="G293" s="8">
        <v>1396.49</v>
      </c>
    </row>
    <row r="294" spans="1:7" x14ac:dyDescent="0.35">
      <c r="A294" s="2">
        <v>235485461</v>
      </c>
      <c r="B294" s="3" t="s">
        <v>150</v>
      </c>
      <c r="C294" s="3" t="s">
        <v>23</v>
      </c>
      <c r="D294" s="2">
        <v>4</v>
      </c>
      <c r="E294" s="3" t="s">
        <v>10</v>
      </c>
      <c r="F294" s="7">
        <v>1995.4</v>
      </c>
      <c r="G294" s="7">
        <v>12103.14</v>
      </c>
    </row>
    <row r="295" spans="1:7" x14ac:dyDescent="0.35">
      <c r="A295" s="4">
        <v>235485461</v>
      </c>
      <c r="B295" s="5" t="s">
        <v>150</v>
      </c>
      <c r="C295" s="5" t="s">
        <v>23</v>
      </c>
      <c r="D295" s="4">
        <v>4</v>
      </c>
      <c r="E295" s="5" t="s">
        <v>10</v>
      </c>
      <c r="F295" s="8">
        <v>1200</v>
      </c>
      <c r="G295" s="8">
        <v>7383.22</v>
      </c>
    </row>
    <row r="296" spans="1:7" x14ac:dyDescent="0.35">
      <c r="A296" s="2">
        <v>239649006</v>
      </c>
      <c r="B296" s="3" t="s">
        <v>151</v>
      </c>
      <c r="C296" s="3" t="s">
        <v>23</v>
      </c>
      <c r="D296" s="2">
        <v>4</v>
      </c>
      <c r="E296" s="3" t="s">
        <v>10</v>
      </c>
      <c r="F296" s="7">
        <v>3148.43</v>
      </c>
      <c r="G296" s="7">
        <v>15245.29</v>
      </c>
    </row>
    <row r="297" spans="1:7" x14ac:dyDescent="0.35">
      <c r="A297" s="4">
        <v>239649006</v>
      </c>
      <c r="B297" s="5" t="s">
        <v>151</v>
      </c>
      <c r="C297" s="5" t="s">
        <v>23</v>
      </c>
      <c r="D297" s="4">
        <v>4</v>
      </c>
      <c r="E297" s="5" t="s">
        <v>10</v>
      </c>
      <c r="F297" s="8">
        <v>398.8</v>
      </c>
      <c r="G297" s="8">
        <v>1931.07</v>
      </c>
    </row>
    <row r="298" spans="1:7" x14ac:dyDescent="0.35">
      <c r="A298" s="2">
        <v>235615684</v>
      </c>
      <c r="B298" s="3" t="s">
        <v>152</v>
      </c>
      <c r="C298" s="3" t="s">
        <v>23</v>
      </c>
      <c r="D298" s="2">
        <v>4</v>
      </c>
      <c r="E298" s="3" t="s">
        <v>10</v>
      </c>
      <c r="F298" s="7">
        <v>125</v>
      </c>
      <c r="G298" s="7">
        <v>662.01</v>
      </c>
    </row>
    <row r="299" spans="1:7" x14ac:dyDescent="0.35">
      <c r="A299" s="4">
        <v>235615684</v>
      </c>
      <c r="B299" s="5" t="s">
        <v>152</v>
      </c>
      <c r="C299" s="5" t="s">
        <v>23</v>
      </c>
      <c r="D299" s="4">
        <v>4</v>
      </c>
      <c r="E299" s="5" t="s">
        <v>10</v>
      </c>
      <c r="F299" s="8">
        <v>26.25</v>
      </c>
      <c r="G299" s="8">
        <v>139.03</v>
      </c>
    </row>
    <row r="300" spans="1:7" x14ac:dyDescent="0.35">
      <c r="A300" s="2">
        <v>235615612</v>
      </c>
      <c r="B300" s="3" t="s">
        <v>153</v>
      </c>
      <c r="C300" s="3" t="s">
        <v>23</v>
      </c>
      <c r="D300" s="2">
        <v>4</v>
      </c>
      <c r="E300" s="3" t="s">
        <v>10</v>
      </c>
      <c r="F300" s="7">
        <v>662.9</v>
      </c>
      <c r="G300" s="7">
        <v>3209.88</v>
      </c>
    </row>
    <row r="301" spans="1:7" x14ac:dyDescent="0.35">
      <c r="A301" s="4">
        <v>235615612</v>
      </c>
      <c r="B301" s="5" t="s">
        <v>153</v>
      </c>
      <c r="C301" s="5" t="s">
        <v>23</v>
      </c>
      <c r="D301" s="4">
        <v>4</v>
      </c>
      <c r="E301" s="5" t="s">
        <v>10</v>
      </c>
      <c r="F301" s="8">
        <v>53.98</v>
      </c>
      <c r="G301" s="8">
        <v>261.39</v>
      </c>
    </row>
    <row r="302" spans="1:7" x14ac:dyDescent="0.35">
      <c r="A302" s="2">
        <v>235615612</v>
      </c>
      <c r="B302" s="3" t="s">
        <v>153</v>
      </c>
      <c r="C302" s="3" t="s">
        <v>23</v>
      </c>
      <c r="D302" s="2">
        <v>4</v>
      </c>
      <c r="E302" s="3" t="s">
        <v>10</v>
      </c>
      <c r="F302" s="7">
        <v>175.7</v>
      </c>
      <c r="G302" s="7">
        <v>850.77</v>
      </c>
    </row>
    <row r="303" spans="1:7" x14ac:dyDescent="0.35">
      <c r="A303" s="4">
        <v>235615612</v>
      </c>
      <c r="B303" s="5" t="s">
        <v>153</v>
      </c>
      <c r="C303" s="5" t="s">
        <v>23</v>
      </c>
      <c r="D303" s="4">
        <v>4</v>
      </c>
      <c r="E303" s="5" t="s">
        <v>10</v>
      </c>
      <c r="F303" s="8">
        <v>14.31</v>
      </c>
      <c r="G303" s="8">
        <v>69.290000000000006</v>
      </c>
    </row>
    <row r="304" spans="1:7" x14ac:dyDescent="0.35">
      <c r="A304" s="2">
        <v>235615612</v>
      </c>
      <c r="B304" s="3" t="s">
        <v>153</v>
      </c>
      <c r="C304" s="3" t="s">
        <v>23</v>
      </c>
      <c r="D304" s="2">
        <v>4</v>
      </c>
      <c r="E304" s="3" t="s">
        <v>10</v>
      </c>
      <c r="F304" s="7">
        <v>51.8</v>
      </c>
      <c r="G304" s="7">
        <v>250.83</v>
      </c>
    </row>
    <row r="305" spans="1:7" x14ac:dyDescent="0.35">
      <c r="A305" s="4">
        <v>235615612</v>
      </c>
      <c r="B305" s="5" t="s">
        <v>153</v>
      </c>
      <c r="C305" s="5" t="s">
        <v>23</v>
      </c>
      <c r="D305" s="4">
        <v>4</v>
      </c>
      <c r="E305" s="5" t="s">
        <v>10</v>
      </c>
      <c r="F305" s="8">
        <v>4.22</v>
      </c>
      <c r="G305" s="8">
        <v>20.43</v>
      </c>
    </row>
    <row r="306" spans="1:7" x14ac:dyDescent="0.35">
      <c r="A306" s="2">
        <v>235615612</v>
      </c>
      <c r="B306" s="3" t="s">
        <v>153</v>
      </c>
      <c r="C306" s="3" t="s">
        <v>23</v>
      </c>
      <c r="D306" s="2">
        <v>4</v>
      </c>
      <c r="E306" s="3" t="s">
        <v>10</v>
      </c>
      <c r="F306" s="7">
        <v>14</v>
      </c>
      <c r="G306" s="7">
        <v>67.790000000000006</v>
      </c>
    </row>
    <row r="307" spans="1:7" x14ac:dyDescent="0.35">
      <c r="A307" s="4">
        <v>235615612</v>
      </c>
      <c r="B307" s="5" t="s">
        <v>153</v>
      </c>
      <c r="C307" s="5" t="s">
        <v>23</v>
      </c>
      <c r="D307" s="4">
        <v>4</v>
      </c>
      <c r="E307" s="5" t="s">
        <v>10</v>
      </c>
      <c r="F307" s="8">
        <v>1.1399999999999999</v>
      </c>
      <c r="G307" s="8">
        <v>5.52</v>
      </c>
    </row>
    <row r="308" spans="1:7" x14ac:dyDescent="0.35">
      <c r="A308" s="2">
        <v>235615612</v>
      </c>
      <c r="B308" s="3" t="s">
        <v>153</v>
      </c>
      <c r="C308" s="3" t="s">
        <v>23</v>
      </c>
      <c r="D308" s="2">
        <v>4</v>
      </c>
      <c r="E308" s="3" t="s">
        <v>10</v>
      </c>
      <c r="F308" s="7">
        <v>764.62</v>
      </c>
      <c r="G308" s="7">
        <v>3702.42</v>
      </c>
    </row>
    <row r="309" spans="1:7" x14ac:dyDescent="0.35">
      <c r="A309" s="4">
        <v>235615612</v>
      </c>
      <c r="B309" s="5" t="s">
        <v>153</v>
      </c>
      <c r="C309" s="5" t="s">
        <v>23</v>
      </c>
      <c r="D309" s="4">
        <v>4</v>
      </c>
      <c r="E309" s="5" t="s">
        <v>10</v>
      </c>
      <c r="F309" s="8">
        <v>96.85</v>
      </c>
      <c r="G309" s="8">
        <v>468.97</v>
      </c>
    </row>
    <row r="310" spans="1:7" x14ac:dyDescent="0.35">
      <c r="A310" s="2">
        <v>235615612</v>
      </c>
      <c r="B310" s="3" t="s">
        <v>153</v>
      </c>
      <c r="C310" s="3" t="s">
        <v>23</v>
      </c>
      <c r="D310" s="2">
        <v>4</v>
      </c>
      <c r="E310" s="3" t="s">
        <v>10</v>
      </c>
      <c r="F310" s="7">
        <v>632.79999999999995</v>
      </c>
      <c r="G310" s="7">
        <v>3064.14</v>
      </c>
    </row>
    <row r="311" spans="1:7" x14ac:dyDescent="0.35">
      <c r="A311" s="4">
        <v>235615612</v>
      </c>
      <c r="B311" s="5" t="s">
        <v>153</v>
      </c>
      <c r="C311" s="5" t="s">
        <v>23</v>
      </c>
      <c r="D311" s="4">
        <v>4</v>
      </c>
      <c r="E311" s="5" t="s">
        <v>10</v>
      </c>
      <c r="F311" s="8">
        <v>51.53</v>
      </c>
      <c r="G311" s="8">
        <v>249.52</v>
      </c>
    </row>
    <row r="312" spans="1:7" x14ac:dyDescent="0.35">
      <c r="A312" s="2">
        <v>235615612</v>
      </c>
      <c r="B312" s="3" t="s">
        <v>153</v>
      </c>
      <c r="C312" s="3" t="s">
        <v>23</v>
      </c>
      <c r="D312" s="2">
        <v>4</v>
      </c>
      <c r="E312" s="3" t="s">
        <v>10</v>
      </c>
      <c r="F312" s="7">
        <v>376.6</v>
      </c>
      <c r="G312" s="7">
        <v>1823.57</v>
      </c>
    </row>
    <row r="313" spans="1:7" x14ac:dyDescent="0.35">
      <c r="A313" s="4">
        <v>235615612</v>
      </c>
      <c r="B313" s="5" t="s">
        <v>153</v>
      </c>
      <c r="C313" s="5" t="s">
        <v>23</v>
      </c>
      <c r="D313" s="4">
        <v>4</v>
      </c>
      <c r="E313" s="5" t="s">
        <v>10</v>
      </c>
      <c r="F313" s="8">
        <v>30.67</v>
      </c>
      <c r="G313" s="8">
        <v>148.51</v>
      </c>
    </row>
    <row r="314" spans="1:7" x14ac:dyDescent="0.35">
      <c r="A314" s="2">
        <v>235615612</v>
      </c>
      <c r="B314" s="3" t="s">
        <v>153</v>
      </c>
      <c r="C314" s="3" t="s">
        <v>23</v>
      </c>
      <c r="D314" s="2">
        <v>4</v>
      </c>
      <c r="E314" s="3" t="s">
        <v>10</v>
      </c>
      <c r="F314" s="7">
        <v>759</v>
      </c>
      <c r="G314" s="7">
        <v>3675.22</v>
      </c>
    </row>
    <row r="315" spans="1:7" x14ac:dyDescent="0.35">
      <c r="A315" s="4">
        <v>235615612</v>
      </c>
      <c r="B315" s="5" t="s">
        <v>153</v>
      </c>
      <c r="C315" s="5" t="s">
        <v>23</v>
      </c>
      <c r="D315" s="4">
        <v>4</v>
      </c>
      <c r="E315" s="5" t="s">
        <v>10</v>
      </c>
      <c r="F315" s="8">
        <v>48.07</v>
      </c>
      <c r="G315" s="8">
        <v>232.77</v>
      </c>
    </row>
    <row r="316" spans="1:7" x14ac:dyDescent="0.35">
      <c r="A316" s="2">
        <v>235615612</v>
      </c>
      <c r="B316" s="3" t="s">
        <v>153</v>
      </c>
      <c r="C316" s="3" t="s">
        <v>23</v>
      </c>
      <c r="D316" s="2">
        <v>4</v>
      </c>
      <c r="E316" s="3" t="s">
        <v>10</v>
      </c>
      <c r="F316" s="7">
        <v>5784.8</v>
      </c>
      <c r="G316" s="7">
        <v>25616.97</v>
      </c>
    </row>
    <row r="317" spans="1:7" x14ac:dyDescent="0.35">
      <c r="A317" s="4">
        <v>235615612</v>
      </c>
      <c r="B317" s="5" t="s">
        <v>153</v>
      </c>
      <c r="C317" s="5" t="s">
        <v>23</v>
      </c>
      <c r="D317" s="4">
        <v>4</v>
      </c>
      <c r="E317" s="5" t="s">
        <v>10</v>
      </c>
      <c r="F317" s="8">
        <v>471.05</v>
      </c>
      <c r="G317" s="8">
        <v>2085.96</v>
      </c>
    </row>
    <row r="318" spans="1:7" x14ac:dyDescent="0.35">
      <c r="A318" s="4">
        <v>235691460</v>
      </c>
      <c r="B318" s="5" t="s">
        <v>154</v>
      </c>
      <c r="C318" s="5" t="s">
        <v>23</v>
      </c>
      <c r="D318" s="4">
        <v>4</v>
      </c>
      <c r="E318" s="5" t="s">
        <v>10</v>
      </c>
      <c r="F318" s="8">
        <v>573.53</v>
      </c>
      <c r="G318" s="8">
        <v>3063.09</v>
      </c>
    </row>
    <row r="319" spans="1:7" x14ac:dyDescent="0.35">
      <c r="A319" s="2">
        <v>235691460</v>
      </c>
      <c r="B319" s="3" t="s">
        <v>154</v>
      </c>
      <c r="C319" s="3" t="s">
        <v>23</v>
      </c>
      <c r="D319" s="2">
        <v>4</v>
      </c>
      <c r="E319" s="3" t="s">
        <v>10</v>
      </c>
      <c r="F319" s="7">
        <v>421.97</v>
      </c>
      <c r="G319" s="7">
        <v>2253.64</v>
      </c>
    </row>
    <row r="320" spans="1:7" x14ac:dyDescent="0.35">
      <c r="A320" s="4">
        <v>235648277</v>
      </c>
      <c r="B320" s="5" t="s">
        <v>155</v>
      </c>
      <c r="C320" s="5" t="s">
        <v>23</v>
      </c>
      <c r="D320" s="4">
        <v>4</v>
      </c>
      <c r="E320" s="5" t="s">
        <v>10</v>
      </c>
      <c r="F320" s="8">
        <v>433.5</v>
      </c>
      <c r="G320" s="8">
        <v>2048.54</v>
      </c>
    </row>
    <row r="321" spans="1:7" x14ac:dyDescent="0.35">
      <c r="A321" s="2">
        <v>235648277</v>
      </c>
      <c r="B321" s="3" t="s">
        <v>155</v>
      </c>
      <c r="C321" s="3" t="s">
        <v>23</v>
      </c>
      <c r="D321" s="2">
        <v>4</v>
      </c>
      <c r="E321" s="3" t="s">
        <v>10</v>
      </c>
      <c r="F321" s="7">
        <v>27.46</v>
      </c>
      <c r="G321" s="7">
        <v>129.77000000000001</v>
      </c>
    </row>
    <row r="322" spans="1:7" x14ac:dyDescent="0.35">
      <c r="A322" s="4">
        <v>235648277</v>
      </c>
      <c r="B322" s="5" t="s">
        <v>155</v>
      </c>
      <c r="C322" s="5" t="s">
        <v>23</v>
      </c>
      <c r="D322" s="4">
        <v>4</v>
      </c>
      <c r="E322" s="5" t="s">
        <v>10</v>
      </c>
      <c r="F322" s="8">
        <v>105</v>
      </c>
      <c r="G322" s="8">
        <v>496.18</v>
      </c>
    </row>
    <row r="323" spans="1:7" x14ac:dyDescent="0.35">
      <c r="A323" s="2">
        <v>235648277</v>
      </c>
      <c r="B323" s="3" t="s">
        <v>155</v>
      </c>
      <c r="C323" s="3" t="s">
        <v>23</v>
      </c>
      <c r="D323" s="2">
        <v>4</v>
      </c>
      <c r="E323" s="3" t="s">
        <v>10</v>
      </c>
      <c r="F323" s="7">
        <v>8.5500000000000007</v>
      </c>
      <c r="G323" s="7">
        <v>40.4</v>
      </c>
    </row>
    <row r="324" spans="1:7" x14ac:dyDescent="0.35">
      <c r="A324" s="4">
        <v>235648277</v>
      </c>
      <c r="B324" s="5" t="s">
        <v>155</v>
      </c>
      <c r="C324" s="5" t="s">
        <v>23</v>
      </c>
      <c r="D324" s="4">
        <v>4</v>
      </c>
      <c r="E324" s="5" t="s">
        <v>10</v>
      </c>
      <c r="F324" s="8">
        <v>1183.5</v>
      </c>
      <c r="G324" s="8">
        <v>5592.74</v>
      </c>
    </row>
    <row r="325" spans="1:7" x14ac:dyDescent="0.35">
      <c r="A325" s="2">
        <v>235648277</v>
      </c>
      <c r="B325" s="3" t="s">
        <v>155</v>
      </c>
      <c r="C325" s="3" t="s">
        <v>23</v>
      </c>
      <c r="D325" s="2">
        <v>4</v>
      </c>
      <c r="E325" s="3" t="s">
        <v>10</v>
      </c>
      <c r="F325" s="7">
        <v>74.959999999999994</v>
      </c>
      <c r="G325" s="7">
        <v>354.23</v>
      </c>
    </row>
    <row r="326" spans="1:7" x14ac:dyDescent="0.35">
      <c r="A326" s="2">
        <v>235823623</v>
      </c>
      <c r="B326" s="3" t="s">
        <v>156</v>
      </c>
      <c r="C326" s="3" t="s">
        <v>23</v>
      </c>
      <c r="D326" s="2">
        <v>4</v>
      </c>
      <c r="E326" s="3" t="s">
        <v>10</v>
      </c>
      <c r="F326" s="7">
        <v>1432.35</v>
      </c>
      <c r="G326" s="7">
        <v>7418.84</v>
      </c>
    </row>
    <row r="327" spans="1:7" x14ac:dyDescent="0.35">
      <c r="A327" s="4">
        <v>235823623</v>
      </c>
      <c r="B327" s="5" t="s">
        <v>156</v>
      </c>
      <c r="C327" s="5" t="s">
        <v>23</v>
      </c>
      <c r="D327" s="4">
        <v>4</v>
      </c>
      <c r="E327" s="5" t="s">
        <v>10</v>
      </c>
      <c r="F327" s="8">
        <v>180</v>
      </c>
      <c r="G327" s="8">
        <v>977.81</v>
      </c>
    </row>
    <row r="328" spans="1:7" x14ac:dyDescent="0.35">
      <c r="A328" s="4">
        <v>235823661</v>
      </c>
      <c r="B328" s="5" t="s">
        <v>157</v>
      </c>
      <c r="C328" s="5" t="s">
        <v>23</v>
      </c>
      <c r="D328" s="4">
        <v>4</v>
      </c>
      <c r="E328" s="5" t="s">
        <v>10</v>
      </c>
      <c r="F328" s="8">
        <v>2156.25</v>
      </c>
      <c r="G328" s="8">
        <v>10235.27</v>
      </c>
    </row>
    <row r="329" spans="1:7" x14ac:dyDescent="0.35">
      <c r="A329" s="2">
        <v>235823661</v>
      </c>
      <c r="B329" s="3" t="s">
        <v>157</v>
      </c>
      <c r="C329" s="3" t="s">
        <v>23</v>
      </c>
      <c r="D329" s="2">
        <v>4</v>
      </c>
      <c r="E329" s="3" t="s">
        <v>10</v>
      </c>
      <c r="F329" s="7">
        <v>193.75</v>
      </c>
      <c r="G329" s="7">
        <v>919.68</v>
      </c>
    </row>
    <row r="330" spans="1:7" x14ac:dyDescent="0.35">
      <c r="A330" s="2">
        <v>235823676</v>
      </c>
      <c r="B330" s="3" t="s">
        <v>158</v>
      </c>
      <c r="C330" s="3" t="s">
        <v>23</v>
      </c>
      <c r="D330" s="2">
        <v>4</v>
      </c>
      <c r="E330" s="3" t="s">
        <v>10</v>
      </c>
      <c r="F330" s="7">
        <v>10003</v>
      </c>
      <c r="G330" s="7">
        <v>44296.52</v>
      </c>
    </row>
    <row r="331" spans="1:7" x14ac:dyDescent="0.35">
      <c r="A331" s="4">
        <v>235823676</v>
      </c>
      <c r="B331" s="5" t="s">
        <v>158</v>
      </c>
      <c r="C331" s="5" t="s">
        <v>23</v>
      </c>
      <c r="D331" s="4">
        <v>4</v>
      </c>
      <c r="E331" s="5" t="s">
        <v>10</v>
      </c>
      <c r="F331" s="8">
        <v>814.53</v>
      </c>
      <c r="G331" s="8">
        <v>3607.01</v>
      </c>
    </row>
    <row r="332" spans="1:7" x14ac:dyDescent="0.35">
      <c r="A332" s="2">
        <v>235823676</v>
      </c>
      <c r="B332" s="3" t="s">
        <v>158</v>
      </c>
      <c r="C332" s="3" t="s">
        <v>23</v>
      </c>
      <c r="D332" s="2">
        <v>4</v>
      </c>
      <c r="E332" s="3" t="s">
        <v>10</v>
      </c>
      <c r="F332" s="7">
        <v>169.77</v>
      </c>
      <c r="G332" s="7">
        <v>822.05</v>
      </c>
    </row>
    <row r="333" spans="1:7" x14ac:dyDescent="0.35">
      <c r="A333" s="4">
        <v>235823676</v>
      </c>
      <c r="B333" s="5" t="s">
        <v>158</v>
      </c>
      <c r="C333" s="5" t="s">
        <v>23</v>
      </c>
      <c r="D333" s="4">
        <v>4</v>
      </c>
      <c r="E333" s="5" t="s">
        <v>10</v>
      </c>
      <c r="F333" s="8">
        <v>28.54</v>
      </c>
      <c r="G333" s="8">
        <v>138.19</v>
      </c>
    </row>
    <row r="334" spans="1:7" x14ac:dyDescent="0.35">
      <c r="A334" s="2">
        <v>235823676</v>
      </c>
      <c r="B334" s="3" t="s">
        <v>158</v>
      </c>
      <c r="C334" s="3" t="s">
        <v>23</v>
      </c>
      <c r="D334" s="2">
        <v>4</v>
      </c>
      <c r="E334" s="3" t="s">
        <v>10</v>
      </c>
      <c r="F334" s="7">
        <v>1130.5</v>
      </c>
      <c r="G334" s="7">
        <v>5383.77</v>
      </c>
    </row>
    <row r="335" spans="1:7" x14ac:dyDescent="0.35">
      <c r="A335" s="4">
        <v>235823676</v>
      </c>
      <c r="B335" s="5" t="s">
        <v>158</v>
      </c>
      <c r="C335" s="5" t="s">
        <v>23</v>
      </c>
      <c r="D335" s="4">
        <v>4</v>
      </c>
      <c r="E335" s="5" t="s">
        <v>10</v>
      </c>
      <c r="F335" s="8">
        <v>37.909999999999997</v>
      </c>
      <c r="G335" s="8">
        <v>180.54</v>
      </c>
    </row>
    <row r="336" spans="1:7" x14ac:dyDescent="0.35">
      <c r="A336" s="4">
        <v>235832577</v>
      </c>
      <c r="B336" s="5" t="s">
        <v>159</v>
      </c>
      <c r="C336" s="5" t="s">
        <v>23</v>
      </c>
      <c r="D336" s="4">
        <v>6</v>
      </c>
      <c r="E336" s="5" t="s">
        <v>8</v>
      </c>
      <c r="F336" s="8">
        <v>355</v>
      </c>
      <c r="G336" s="8">
        <v>1655.16</v>
      </c>
    </row>
    <row r="337" spans="1:7" x14ac:dyDescent="0.35">
      <c r="A337" s="2">
        <v>235832617</v>
      </c>
      <c r="B337" s="3" t="s">
        <v>160</v>
      </c>
      <c r="C337" s="3" t="s">
        <v>23</v>
      </c>
      <c r="D337" s="2">
        <v>4</v>
      </c>
      <c r="E337" s="3" t="s">
        <v>10</v>
      </c>
      <c r="F337" s="7">
        <v>1999.73</v>
      </c>
      <c r="G337" s="7">
        <v>10357.6</v>
      </c>
    </row>
    <row r="338" spans="1:7" x14ac:dyDescent="0.35">
      <c r="A338" s="4">
        <v>235832617</v>
      </c>
      <c r="B338" s="5" t="s">
        <v>160</v>
      </c>
      <c r="C338" s="5" t="s">
        <v>23</v>
      </c>
      <c r="D338" s="4">
        <v>4</v>
      </c>
      <c r="E338" s="5" t="s">
        <v>10</v>
      </c>
      <c r="F338" s="8">
        <v>60</v>
      </c>
      <c r="G338" s="8">
        <v>325.93</v>
      </c>
    </row>
    <row r="339" spans="1:7" x14ac:dyDescent="0.35">
      <c r="A339" s="2">
        <v>235832621</v>
      </c>
      <c r="B339" s="3" t="s">
        <v>161</v>
      </c>
      <c r="C339" s="3" t="s">
        <v>23</v>
      </c>
      <c r="D339" s="2">
        <v>4</v>
      </c>
      <c r="E339" s="3" t="s">
        <v>10</v>
      </c>
      <c r="F339" s="7">
        <v>60</v>
      </c>
      <c r="G339" s="7">
        <v>325.93</v>
      </c>
    </row>
    <row r="340" spans="1:7" x14ac:dyDescent="0.35">
      <c r="A340" s="2">
        <v>239645871</v>
      </c>
      <c r="B340" s="3" t="s">
        <v>156</v>
      </c>
      <c r="C340" s="3" t="s">
        <v>23</v>
      </c>
      <c r="D340" s="2">
        <v>15</v>
      </c>
      <c r="E340" s="3" t="s">
        <v>43</v>
      </c>
      <c r="F340" s="7">
        <v>821.71</v>
      </c>
      <c r="G340" s="7">
        <v>821.71</v>
      </c>
    </row>
    <row r="341" spans="1:7" x14ac:dyDescent="0.35">
      <c r="A341" s="4">
        <v>235995147</v>
      </c>
      <c r="B341" s="5" t="s">
        <v>162</v>
      </c>
      <c r="C341" s="5" t="s">
        <v>23</v>
      </c>
      <c r="D341" s="4">
        <v>4</v>
      </c>
      <c r="E341" s="5" t="s">
        <v>10</v>
      </c>
      <c r="F341" s="8">
        <v>1743.97</v>
      </c>
      <c r="G341" s="8">
        <v>8278.25</v>
      </c>
    </row>
    <row r="342" spans="1:7" x14ac:dyDescent="0.35">
      <c r="A342" s="2">
        <v>235995147</v>
      </c>
      <c r="B342" s="3" t="s">
        <v>162</v>
      </c>
      <c r="C342" s="3" t="s">
        <v>23</v>
      </c>
      <c r="D342" s="2">
        <v>4</v>
      </c>
      <c r="E342" s="3" t="s">
        <v>10</v>
      </c>
      <c r="F342" s="7">
        <v>122.56</v>
      </c>
      <c r="G342" s="7">
        <v>581.76</v>
      </c>
    </row>
    <row r="343" spans="1:7" x14ac:dyDescent="0.35">
      <c r="A343" s="2">
        <v>235995109</v>
      </c>
      <c r="B343" s="3" t="s">
        <v>163</v>
      </c>
      <c r="C343" s="3" t="s">
        <v>23</v>
      </c>
      <c r="D343" s="2">
        <v>4</v>
      </c>
      <c r="E343" s="3" t="s">
        <v>10</v>
      </c>
      <c r="F343" s="7">
        <v>864.53</v>
      </c>
      <c r="G343" s="7">
        <v>4642.8599999999997</v>
      </c>
    </row>
    <row r="344" spans="1:7" x14ac:dyDescent="0.35">
      <c r="A344" s="4">
        <v>235995109</v>
      </c>
      <c r="B344" s="5" t="s">
        <v>163</v>
      </c>
      <c r="C344" s="5" t="s">
        <v>23</v>
      </c>
      <c r="D344" s="4">
        <v>4</v>
      </c>
      <c r="E344" s="5" t="s">
        <v>10</v>
      </c>
      <c r="F344" s="8">
        <v>60</v>
      </c>
      <c r="G344" s="8">
        <v>325.93</v>
      </c>
    </row>
    <row r="345" spans="1:7" x14ac:dyDescent="0.35">
      <c r="A345" s="2">
        <v>239658135</v>
      </c>
      <c r="B345" s="3" t="s">
        <v>164</v>
      </c>
      <c r="C345" s="3" t="s">
        <v>23</v>
      </c>
      <c r="D345" s="2">
        <v>24</v>
      </c>
      <c r="E345" s="3" t="s">
        <v>5</v>
      </c>
      <c r="F345" s="7">
        <v>358.7</v>
      </c>
      <c r="G345" s="7">
        <v>358.7</v>
      </c>
    </row>
    <row r="346" spans="1:7" x14ac:dyDescent="0.35">
      <c r="A346" s="2">
        <v>239641560</v>
      </c>
      <c r="B346" s="3" t="s">
        <v>165</v>
      </c>
      <c r="C346" s="3" t="s">
        <v>23</v>
      </c>
      <c r="D346" s="2">
        <v>10</v>
      </c>
      <c r="E346" s="3" t="s">
        <v>75</v>
      </c>
      <c r="F346" s="7">
        <v>3000</v>
      </c>
      <c r="G346" s="7">
        <v>3000</v>
      </c>
    </row>
    <row r="347" spans="1:7" x14ac:dyDescent="0.35">
      <c r="A347" s="4">
        <v>236144351</v>
      </c>
      <c r="B347" s="5" t="s">
        <v>166</v>
      </c>
      <c r="C347" s="5" t="s">
        <v>23</v>
      </c>
      <c r="D347" s="4">
        <v>4</v>
      </c>
      <c r="E347" s="5" t="s">
        <v>10</v>
      </c>
      <c r="F347" s="8">
        <v>60</v>
      </c>
      <c r="G347" s="8">
        <v>325.93</v>
      </c>
    </row>
    <row r="348" spans="1:7" x14ac:dyDescent="0.35">
      <c r="A348" s="2">
        <v>236180850</v>
      </c>
      <c r="B348" s="3" t="s">
        <v>167</v>
      </c>
      <c r="C348" s="3" t="s">
        <v>23</v>
      </c>
      <c r="D348" s="2">
        <v>4</v>
      </c>
      <c r="E348" s="3" t="s">
        <v>10</v>
      </c>
      <c r="F348" s="7">
        <v>1091</v>
      </c>
      <c r="G348" s="7">
        <v>5293.95</v>
      </c>
    </row>
    <row r="349" spans="1:7" x14ac:dyDescent="0.35">
      <c r="A349" s="4">
        <v>236180850</v>
      </c>
      <c r="B349" s="5" t="s">
        <v>167</v>
      </c>
      <c r="C349" s="5" t="s">
        <v>23</v>
      </c>
      <c r="D349" s="4">
        <v>4</v>
      </c>
      <c r="E349" s="5" t="s">
        <v>10</v>
      </c>
      <c r="F349" s="8">
        <v>632.01</v>
      </c>
      <c r="G349" s="8">
        <v>3066.77</v>
      </c>
    </row>
    <row r="350" spans="1:7" x14ac:dyDescent="0.35">
      <c r="A350" s="2">
        <v>239658019</v>
      </c>
      <c r="B350" s="3" t="s">
        <v>169</v>
      </c>
      <c r="C350" s="3" t="s">
        <v>23</v>
      </c>
      <c r="D350" s="2">
        <v>28</v>
      </c>
      <c r="E350" s="3" t="s">
        <v>168</v>
      </c>
      <c r="F350" s="7">
        <v>392.12</v>
      </c>
      <c r="G350" s="7">
        <v>392.12</v>
      </c>
    </row>
    <row r="351" spans="1:7" x14ac:dyDescent="0.35">
      <c r="A351" s="4">
        <v>239661034</v>
      </c>
      <c r="B351" s="5" t="s">
        <v>169</v>
      </c>
      <c r="C351" s="5" t="s">
        <v>23</v>
      </c>
      <c r="D351" s="4">
        <v>24</v>
      </c>
      <c r="E351" s="5" t="s">
        <v>5</v>
      </c>
      <c r="F351" s="8">
        <v>175.23</v>
      </c>
      <c r="G351" s="8">
        <v>175.23</v>
      </c>
    </row>
    <row r="352" spans="1:7" x14ac:dyDescent="0.35">
      <c r="A352" s="2">
        <v>236379912</v>
      </c>
      <c r="B352" s="3" t="s">
        <v>170</v>
      </c>
      <c r="C352" s="3" t="s">
        <v>23</v>
      </c>
      <c r="D352" s="2">
        <v>4</v>
      </c>
      <c r="E352" s="3" t="s">
        <v>10</v>
      </c>
      <c r="F352" s="7">
        <v>746.63</v>
      </c>
      <c r="G352" s="7">
        <v>3885.61</v>
      </c>
    </row>
    <row r="353" spans="1:7" x14ac:dyDescent="0.35">
      <c r="A353" s="2">
        <v>236239076</v>
      </c>
      <c r="B353" s="3" t="s">
        <v>171</v>
      </c>
      <c r="C353" s="3" t="s">
        <v>23</v>
      </c>
      <c r="D353" s="2">
        <v>4</v>
      </c>
      <c r="E353" s="3" t="s">
        <v>10</v>
      </c>
      <c r="F353" s="7">
        <v>2543.4899999999998</v>
      </c>
      <c r="G353" s="7">
        <v>12316.09</v>
      </c>
    </row>
    <row r="354" spans="1:7" x14ac:dyDescent="0.35">
      <c r="A354" s="4">
        <v>236239076</v>
      </c>
      <c r="B354" s="5" t="s">
        <v>171</v>
      </c>
      <c r="C354" s="5" t="s">
        <v>23</v>
      </c>
      <c r="D354" s="4">
        <v>4</v>
      </c>
      <c r="E354" s="5" t="s">
        <v>10</v>
      </c>
      <c r="F354" s="8">
        <v>4300.9399999999996</v>
      </c>
      <c r="G354" s="8">
        <v>20826.03</v>
      </c>
    </row>
    <row r="355" spans="1:7" x14ac:dyDescent="0.35">
      <c r="A355" s="4">
        <v>240888155</v>
      </c>
      <c r="B355" s="5" t="s">
        <v>172</v>
      </c>
      <c r="C355" s="5" t="s">
        <v>23</v>
      </c>
      <c r="D355" s="4">
        <v>4</v>
      </c>
      <c r="E355" s="5" t="s">
        <v>10</v>
      </c>
      <c r="F355" s="8">
        <v>41.79</v>
      </c>
      <c r="G355" s="8">
        <v>201.52</v>
      </c>
    </row>
    <row r="356" spans="1:7" x14ac:dyDescent="0.35">
      <c r="A356" s="2">
        <v>240888155</v>
      </c>
      <c r="B356" s="3" t="s">
        <v>172</v>
      </c>
      <c r="C356" s="3" t="s">
        <v>23</v>
      </c>
      <c r="D356" s="2">
        <v>4</v>
      </c>
      <c r="E356" s="3" t="s">
        <v>10</v>
      </c>
      <c r="F356" s="7">
        <v>0.8</v>
      </c>
      <c r="G356" s="7">
        <v>3.86</v>
      </c>
    </row>
    <row r="357" spans="1:7" x14ac:dyDescent="0.35">
      <c r="A357" s="4">
        <v>240888155</v>
      </c>
      <c r="B357" s="5" t="s">
        <v>172</v>
      </c>
      <c r="C357" s="5" t="s">
        <v>23</v>
      </c>
      <c r="D357" s="4">
        <v>4</v>
      </c>
      <c r="E357" s="5" t="s">
        <v>10</v>
      </c>
      <c r="F357" s="8">
        <v>3034.8</v>
      </c>
      <c r="G357" s="8">
        <v>14634.66</v>
      </c>
    </row>
    <row r="358" spans="1:7" x14ac:dyDescent="0.35">
      <c r="A358" s="2">
        <v>240888155</v>
      </c>
      <c r="B358" s="3" t="s">
        <v>172</v>
      </c>
      <c r="C358" s="3" t="s">
        <v>23</v>
      </c>
      <c r="D358" s="2">
        <v>4</v>
      </c>
      <c r="E358" s="3" t="s">
        <v>10</v>
      </c>
      <c r="F358" s="7">
        <v>64.069999999999993</v>
      </c>
      <c r="G358" s="7">
        <v>308.95999999999998</v>
      </c>
    </row>
    <row r="359" spans="1:7" x14ac:dyDescent="0.35">
      <c r="A359" s="4">
        <v>240888155</v>
      </c>
      <c r="B359" s="5" t="s">
        <v>172</v>
      </c>
      <c r="C359" s="5" t="s">
        <v>23</v>
      </c>
      <c r="D359" s="4">
        <v>4</v>
      </c>
      <c r="E359" s="5" t="s">
        <v>10</v>
      </c>
      <c r="F359" s="8">
        <v>13.77</v>
      </c>
      <c r="G359" s="8">
        <v>66.400000000000006</v>
      </c>
    </row>
    <row r="360" spans="1:7" x14ac:dyDescent="0.35">
      <c r="A360" s="2">
        <v>240888155</v>
      </c>
      <c r="B360" s="3" t="s">
        <v>172</v>
      </c>
      <c r="C360" s="3" t="s">
        <v>23</v>
      </c>
      <c r="D360" s="2">
        <v>4</v>
      </c>
      <c r="E360" s="3" t="s">
        <v>10</v>
      </c>
      <c r="F360" s="7">
        <v>3.65</v>
      </c>
      <c r="G360" s="7">
        <v>17.600000000000001</v>
      </c>
    </row>
    <row r="361" spans="1:7" x14ac:dyDescent="0.35">
      <c r="A361" s="4">
        <v>236463238</v>
      </c>
      <c r="B361" s="5" t="s">
        <v>173</v>
      </c>
      <c r="C361" s="5" t="s">
        <v>23</v>
      </c>
      <c r="D361" s="4">
        <v>4</v>
      </c>
      <c r="E361" s="5" t="s">
        <v>10</v>
      </c>
      <c r="F361" s="8">
        <v>1762.91</v>
      </c>
      <c r="G361" s="8">
        <v>8368.16</v>
      </c>
    </row>
    <row r="362" spans="1:7" x14ac:dyDescent="0.35">
      <c r="A362" s="2">
        <v>236463238</v>
      </c>
      <c r="B362" s="3" t="s">
        <v>173</v>
      </c>
      <c r="C362" s="3" t="s">
        <v>23</v>
      </c>
      <c r="D362" s="2">
        <v>4</v>
      </c>
      <c r="E362" s="3" t="s">
        <v>10</v>
      </c>
      <c r="F362" s="7">
        <v>1526.48</v>
      </c>
      <c r="G362" s="7">
        <v>7245.88</v>
      </c>
    </row>
    <row r="363" spans="1:7" x14ac:dyDescent="0.35">
      <c r="A363" s="4">
        <v>236463238</v>
      </c>
      <c r="B363" s="5" t="s">
        <v>173</v>
      </c>
      <c r="C363" s="5" t="s">
        <v>23</v>
      </c>
      <c r="D363" s="4">
        <v>4</v>
      </c>
      <c r="E363" s="5" t="s">
        <v>10</v>
      </c>
      <c r="F363" s="8">
        <v>714</v>
      </c>
      <c r="G363" s="8">
        <v>3374.08</v>
      </c>
    </row>
    <row r="364" spans="1:7" x14ac:dyDescent="0.35">
      <c r="A364" s="2">
        <v>236463238</v>
      </c>
      <c r="B364" s="3" t="s">
        <v>173</v>
      </c>
      <c r="C364" s="3" t="s">
        <v>23</v>
      </c>
      <c r="D364" s="2">
        <v>4</v>
      </c>
      <c r="E364" s="3" t="s">
        <v>10</v>
      </c>
      <c r="F364" s="7">
        <v>23.94</v>
      </c>
      <c r="G364" s="7">
        <v>113.13</v>
      </c>
    </row>
    <row r="365" spans="1:7" x14ac:dyDescent="0.35">
      <c r="A365" s="4">
        <v>239639076</v>
      </c>
      <c r="B365" s="5" t="s">
        <v>174</v>
      </c>
      <c r="C365" s="5" t="s">
        <v>23</v>
      </c>
      <c r="D365" s="4">
        <v>19</v>
      </c>
      <c r="E365" s="5" t="s">
        <v>103</v>
      </c>
      <c r="F365" s="8">
        <v>4443.34</v>
      </c>
      <c r="G365" s="8">
        <v>4443.34</v>
      </c>
    </row>
    <row r="366" spans="1:7" x14ac:dyDescent="0.35">
      <c r="A366" s="4">
        <v>239659918</v>
      </c>
      <c r="B366" s="5" t="s">
        <v>175</v>
      </c>
      <c r="C366" s="5" t="s">
        <v>23</v>
      </c>
      <c r="D366" s="4">
        <v>19</v>
      </c>
      <c r="E366" s="5" t="s">
        <v>103</v>
      </c>
      <c r="F366" s="8">
        <v>4443.34</v>
      </c>
      <c r="G366" s="8">
        <v>4443.34</v>
      </c>
    </row>
    <row r="367" spans="1:7" x14ac:dyDescent="0.35">
      <c r="A367" s="2">
        <v>240888229</v>
      </c>
      <c r="B367" s="3" t="s">
        <v>176</v>
      </c>
      <c r="C367" s="3" t="s">
        <v>23</v>
      </c>
      <c r="D367" s="2">
        <v>4</v>
      </c>
      <c r="E367" s="3" t="s">
        <v>10</v>
      </c>
      <c r="F367" s="7">
        <v>60</v>
      </c>
      <c r="G367" s="7">
        <v>306.55</v>
      </c>
    </row>
    <row r="368" spans="1:7" x14ac:dyDescent="0.35">
      <c r="A368" s="4">
        <v>240888229</v>
      </c>
      <c r="B368" s="5" t="s">
        <v>176</v>
      </c>
      <c r="C368" s="5" t="s">
        <v>23</v>
      </c>
      <c r="D368" s="4">
        <v>4</v>
      </c>
      <c r="E368" s="5" t="s">
        <v>10</v>
      </c>
      <c r="F368" s="8">
        <v>841.19</v>
      </c>
      <c r="G368" s="8">
        <v>4504.6400000000003</v>
      </c>
    </row>
    <row r="369" spans="1:7" x14ac:dyDescent="0.35">
      <c r="A369" s="4">
        <v>236495040</v>
      </c>
      <c r="B369" s="5" t="s">
        <v>177</v>
      </c>
      <c r="C369" s="5" t="s">
        <v>23</v>
      </c>
      <c r="D369" s="4">
        <v>4</v>
      </c>
      <c r="E369" s="5" t="s">
        <v>10</v>
      </c>
      <c r="F369" s="8">
        <v>165.48</v>
      </c>
      <c r="G369" s="8">
        <v>785.51</v>
      </c>
    </row>
    <row r="370" spans="1:7" x14ac:dyDescent="0.35">
      <c r="A370" s="2">
        <v>236495040</v>
      </c>
      <c r="B370" s="3" t="s">
        <v>177</v>
      </c>
      <c r="C370" s="3" t="s">
        <v>23</v>
      </c>
      <c r="D370" s="2">
        <v>4</v>
      </c>
      <c r="E370" s="3" t="s">
        <v>10</v>
      </c>
      <c r="F370" s="7">
        <v>52.73</v>
      </c>
      <c r="G370" s="7">
        <v>250.29</v>
      </c>
    </row>
    <row r="371" spans="1:7" x14ac:dyDescent="0.35">
      <c r="A371" s="4">
        <v>236495040</v>
      </c>
      <c r="B371" s="5" t="s">
        <v>177</v>
      </c>
      <c r="C371" s="5" t="s">
        <v>23</v>
      </c>
      <c r="D371" s="4">
        <v>4</v>
      </c>
      <c r="E371" s="5" t="s">
        <v>10</v>
      </c>
      <c r="F371" s="8">
        <v>2417.9299999999998</v>
      </c>
      <c r="G371" s="8">
        <v>11477.39</v>
      </c>
    </row>
    <row r="372" spans="1:7" x14ac:dyDescent="0.35">
      <c r="A372" s="2">
        <v>236495040</v>
      </c>
      <c r="B372" s="3" t="s">
        <v>177</v>
      </c>
      <c r="C372" s="3" t="s">
        <v>23</v>
      </c>
      <c r="D372" s="2">
        <v>4</v>
      </c>
      <c r="E372" s="3" t="s">
        <v>10</v>
      </c>
      <c r="F372" s="7">
        <v>94.1</v>
      </c>
      <c r="G372" s="7">
        <v>446.67</v>
      </c>
    </row>
    <row r="373" spans="1:7" x14ac:dyDescent="0.35">
      <c r="A373" s="2">
        <v>236495101</v>
      </c>
      <c r="B373" s="3" t="s">
        <v>178</v>
      </c>
      <c r="C373" s="3" t="s">
        <v>23</v>
      </c>
      <c r="D373" s="2">
        <v>4</v>
      </c>
      <c r="E373" s="3" t="s">
        <v>10</v>
      </c>
      <c r="F373" s="7">
        <v>1161.77</v>
      </c>
      <c r="G373" s="7">
        <v>6239.14</v>
      </c>
    </row>
    <row r="374" spans="1:7" x14ac:dyDescent="0.35">
      <c r="A374" s="4">
        <v>236495101</v>
      </c>
      <c r="B374" s="5" t="s">
        <v>178</v>
      </c>
      <c r="C374" s="5" t="s">
        <v>23</v>
      </c>
      <c r="D374" s="4">
        <v>4</v>
      </c>
      <c r="E374" s="5" t="s">
        <v>10</v>
      </c>
      <c r="F374" s="8">
        <v>1976.78</v>
      </c>
      <c r="G374" s="8">
        <v>10616.05</v>
      </c>
    </row>
    <row r="375" spans="1:7" x14ac:dyDescent="0.35">
      <c r="A375" s="2">
        <v>239657302</v>
      </c>
      <c r="B375" s="3" t="s">
        <v>179</v>
      </c>
      <c r="C375" s="3" t="s">
        <v>23</v>
      </c>
      <c r="D375" s="2">
        <v>24</v>
      </c>
      <c r="E375" s="3" t="s">
        <v>5</v>
      </c>
      <c r="F375" s="7">
        <v>557.70000000000005</v>
      </c>
      <c r="G375" s="7">
        <v>557.70000000000005</v>
      </c>
    </row>
    <row r="376" spans="1:7" x14ac:dyDescent="0.35">
      <c r="A376" s="4">
        <v>236529290</v>
      </c>
      <c r="B376" s="5" t="s">
        <v>180</v>
      </c>
      <c r="C376" s="5" t="s">
        <v>23</v>
      </c>
      <c r="D376" s="4">
        <v>4</v>
      </c>
      <c r="E376" s="5" t="s">
        <v>10</v>
      </c>
      <c r="F376" s="8">
        <v>1381.1</v>
      </c>
      <c r="G376" s="8">
        <v>7395.9</v>
      </c>
    </row>
    <row r="377" spans="1:7" x14ac:dyDescent="0.35">
      <c r="A377" s="2">
        <v>236530418</v>
      </c>
      <c r="B377" s="3" t="s">
        <v>181</v>
      </c>
      <c r="C377" s="3" t="s">
        <v>23</v>
      </c>
      <c r="D377" s="2">
        <v>6</v>
      </c>
      <c r="E377" s="3" t="s">
        <v>8</v>
      </c>
      <c r="F377" s="7">
        <v>180</v>
      </c>
      <c r="G377" s="7">
        <v>963.92</v>
      </c>
    </row>
    <row r="378" spans="1:7" x14ac:dyDescent="0.35">
      <c r="A378" s="4">
        <v>236530418</v>
      </c>
      <c r="B378" s="5" t="s">
        <v>181</v>
      </c>
      <c r="C378" s="5" t="s">
        <v>23</v>
      </c>
      <c r="D378" s="4">
        <v>6</v>
      </c>
      <c r="E378" s="5" t="s">
        <v>8</v>
      </c>
      <c r="F378" s="8">
        <v>82</v>
      </c>
      <c r="G378" s="8">
        <v>439.12</v>
      </c>
    </row>
    <row r="379" spans="1:7" x14ac:dyDescent="0.35">
      <c r="A379" s="2">
        <v>236570755</v>
      </c>
      <c r="B379" s="3" t="s">
        <v>182</v>
      </c>
      <c r="C379" s="3" t="s">
        <v>23</v>
      </c>
      <c r="D379" s="2">
        <v>4</v>
      </c>
      <c r="E379" s="3" t="s">
        <v>10</v>
      </c>
      <c r="F379" s="7">
        <v>773.1</v>
      </c>
      <c r="G379" s="7">
        <v>3669.73</v>
      </c>
    </row>
    <row r="380" spans="1:7" x14ac:dyDescent="0.35">
      <c r="A380" s="4">
        <v>236570755</v>
      </c>
      <c r="B380" s="5" t="s">
        <v>182</v>
      </c>
      <c r="C380" s="5" t="s">
        <v>23</v>
      </c>
      <c r="D380" s="4">
        <v>4</v>
      </c>
      <c r="E380" s="5" t="s">
        <v>10</v>
      </c>
      <c r="F380" s="8">
        <v>48.96</v>
      </c>
      <c r="G380" s="8">
        <v>232.4</v>
      </c>
    </row>
    <row r="381" spans="1:7" x14ac:dyDescent="0.35">
      <c r="A381" s="4">
        <v>239660560</v>
      </c>
      <c r="B381" s="5" t="s">
        <v>183</v>
      </c>
      <c r="C381" s="5" t="s">
        <v>23</v>
      </c>
      <c r="D381" s="4">
        <v>6</v>
      </c>
      <c r="E381" s="5" t="s">
        <v>8</v>
      </c>
      <c r="F381" s="8">
        <v>311</v>
      </c>
      <c r="G381" s="8">
        <v>1393.85</v>
      </c>
    </row>
    <row r="382" spans="1:7" x14ac:dyDescent="0.35">
      <c r="A382" s="4">
        <v>239650457</v>
      </c>
      <c r="B382" s="5" t="s">
        <v>184</v>
      </c>
      <c r="C382" s="5" t="s">
        <v>23</v>
      </c>
      <c r="D382" s="4">
        <v>4</v>
      </c>
      <c r="E382" s="5" t="s">
        <v>10</v>
      </c>
      <c r="F382" s="8">
        <v>427</v>
      </c>
      <c r="G382" s="8">
        <v>1951.12</v>
      </c>
    </row>
    <row r="383" spans="1:7" x14ac:dyDescent="0.35">
      <c r="A383" s="4">
        <v>239645170</v>
      </c>
      <c r="B383" s="5" t="s">
        <v>186</v>
      </c>
      <c r="C383" s="5" t="s">
        <v>23</v>
      </c>
      <c r="D383" s="4">
        <v>7</v>
      </c>
      <c r="E383" s="5" t="s">
        <v>185</v>
      </c>
      <c r="F383" s="8">
        <v>7795</v>
      </c>
      <c r="G383" s="8">
        <v>34439.269999999997</v>
      </c>
    </row>
    <row r="384" spans="1:7" x14ac:dyDescent="0.35">
      <c r="A384" s="4">
        <v>239651980</v>
      </c>
      <c r="B384" s="5" t="s">
        <v>187</v>
      </c>
      <c r="C384" s="5" t="s">
        <v>23</v>
      </c>
      <c r="D384" s="4">
        <v>6</v>
      </c>
      <c r="E384" s="5" t="s">
        <v>8</v>
      </c>
      <c r="F384" s="8">
        <v>390</v>
      </c>
      <c r="G384" s="8">
        <v>1782.04</v>
      </c>
    </row>
    <row r="385" spans="1:7" x14ac:dyDescent="0.35">
      <c r="A385" s="2">
        <v>239658403</v>
      </c>
      <c r="B385" s="3" t="s">
        <v>188</v>
      </c>
      <c r="C385" s="3" t="s">
        <v>23</v>
      </c>
      <c r="D385" s="2">
        <v>4</v>
      </c>
      <c r="E385" s="3" t="s">
        <v>10</v>
      </c>
      <c r="F385" s="7">
        <v>466.51</v>
      </c>
      <c r="G385" s="7">
        <v>2128.88</v>
      </c>
    </row>
    <row r="386" spans="1:7" x14ac:dyDescent="0.35">
      <c r="A386" s="4">
        <v>239658403</v>
      </c>
      <c r="B386" s="5" t="s">
        <v>188</v>
      </c>
      <c r="C386" s="5" t="s">
        <v>23</v>
      </c>
      <c r="D386" s="4">
        <v>4</v>
      </c>
      <c r="E386" s="5" t="s">
        <v>10</v>
      </c>
      <c r="F386" s="8">
        <v>235.88</v>
      </c>
      <c r="G386" s="8">
        <v>1076.42</v>
      </c>
    </row>
    <row r="387" spans="1:7" x14ac:dyDescent="0.35">
      <c r="A387" s="2">
        <v>239658403</v>
      </c>
      <c r="B387" s="3" t="s">
        <v>188</v>
      </c>
      <c r="C387" s="3" t="s">
        <v>23</v>
      </c>
      <c r="D387" s="2">
        <v>4</v>
      </c>
      <c r="E387" s="3" t="s">
        <v>10</v>
      </c>
      <c r="F387" s="7">
        <v>11.49</v>
      </c>
      <c r="G387" s="7">
        <v>52.44</v>
      </c>
    </row>
    <row r="388" spans="1:7" x14ac:dyDescent="0.35">
      <c r="A388" s="4">
        <v>239658403</v>
      </c>
      <c r="B388" s="5" t="s">
        <v>188</v>
      </c>
      <c r="C388" s="5" t="s">
        <v>23</v>
      </c>
      <c r="D388" s="4">
        <v>4</v>
      </c>
      <c r="E388" s="5" t="s">
        <v>10</v>
      </c>
      <c r="F388" s="8">
        <v>5.99</v>
      </c>
      <c r="G388" s="8">
        <v>27.33</v>
      </c>
    </row>
    <row r="389" spans="1:7" x14ac:dyDescent="0.35">
      <c r="A389" s="2">
        <v>239658403</v>
      </c>
      <c r="B389" s="3" t="s">
        <v>188</v>
      </c>
      <c r="C389" s="3" t="s">
        <v>23</v>
      </c>
      <c r="D389" s="2">
        <v>4</v>
      </c>
      <c r="E389" s="3" t="s">
        <v>10</v>
      </c>
      <c r="F389" s="7">
        <v>9.69</v>
      </c>
      <c r="G389" s="7">
        <v>44.22</v>
      </c>
    </row>
    <row r="390" spans="1:7" x14ac:dyDescent="0.35">
      <c r="A390" s="4">
        <v>239658403</v>
      </c>
      <c r="B390" s="5" t="s">
        <v>188</v>
      </c>
      <c r="C390" s="5" t="s">
        <v>23</v>
      </c>
      <c r="D390" s="4">
        <v>4</v>
      </c>
      <c r="E390" s="5" t="s">
        <v>10</v>
      </c>
      <c r="F390" s="8">
        <v>5</v>
      </c>
      <c r="G390" s="8">
        <v>22.82</v>
      </c>
    </row>
    <row r="391" spans="1:7" x14ac:dyDescent="0.35">
      <c r="A391" s="2">
        <v>239643587</v>
      </c>
      <c r="B391" s="3" t="s">
        <v>189</v>
      </c>
      <c r="C391" s="3" t="s">
        <v>23</v>
      </c>
      <c r="D391" s="2">
        <v>4</v>
      </c>
      <c r="E391" s="3" t="s">
        <v>10</v>
      </c>
      <c r="F391" s="7">
        <v>7043.15</v>
      </c>
      <c r="G391" s="7">
        <v>36622.910000000003</v>
      </c>
    </row>
    <row r="392" spans="1:7" x14ac:dyDescent="0.35">
      <c r="A392" s="2">
        <v>239651237</v>
      </c>
      <c r="B392" s="3" t="s">
        <v>190</v>
      </c>
      <c r="C392" s="3" t="s">
        <v>23</v>
      </c>
      <c r="D392" s="2">
        <v>4</v>
      </c>
      <c r="E392" s="3" t="s">
        <v>10</v>
      </c>
      <c r="F392" s="7">
        <v>2566.02</v>
      </c>
      <c r="G392" s="7">
        <v>13780.51</v>
      </c>
    </row>
    <row r="393" spans="1:7" x14ac:dyDescent="0.35">
      <c r="A393" s="4">
        <v>239651237</v>
      </c>
      <c r="B393" s="5" t="s">
        <v>190</v>
      </c>
      <c r="C393" s="5" t="s">
        <v>23</v>
      </c>
      <c r="D393" s="4">
        <v>4</v>
      </c>
      <c r="E393" s="5" t="s">
        <v>10</v>
      </c>
      <c r="F393" s="8">
        <v>566.62</v>
      </c>
      <c r="G393" s="8">
        <v>3042.96</v>
      </c>
    </row>
    <row r="394" spans="1:7" x14ac:dyDescent="0.35">
      <c r="A394" s="2">
        <v>239652606</v>
      </c>
      <c r="B394" s="3" t="s">
        <v>192</v>
      </c>
      <c r="C394" s="3" t="s">
        <v>23</v>
      </c>
      <c r="D394" s="2">
        <v>21</v>
      </c>
      <c r="E394" s="3" t="s">
        <v>191</v>
      </c>
      <c r="F394" s="7">
        <v>6300</v>
      </c>
      <c r="G394" s="7">
        <v>6300</v>
      </c>
    </row>
    <row r="395" spans="1:7" x14ac:dyDescent="0.35">
      <c r="A395" s="2">
        <v>239645829</v>
      </c>
      <c r="B395" s="3" t="s">
        <v>193</v>
      </c>
      <c r="C395" s="3" t="s">
        <v>23</v>
      </c>
      <c r="D395" s="2">
        <v>24</v>
      </c>
      <c r="E395" s="3" t="s">
        <v>5</v>
      </c>
      <c r="F395" s="7">
        <v>444.51</v>
      </c>
      <c r="G395" s="7">
        <v>444.51</v>
      </c>
    </row>
    <row r="396" spans="1:7" x14ac:dyDescent="0.35">
      <c r="A396" s="2">
        <v>239656292</v>
      </c>
      <c r="B396" s="3" t="s">
        <v>194</v>
      </c>
      <c r="C396" s="3" t="s">
        <v>23</v>
      </c>
      <c r="D396" s="2">
        <v>4</v>
      </c>
      <c r="E396" s="3" t="s">
        <v>10</v>
      </c>
      <c r="F396" s="7">
        <v>1181.3800000000001</v>
      </c>
      <c r="G396" s="7">
        <v>5696.96</v>
      </c>
    </row>
    <row r="397" spans="1:7" x14ac:dyDescent="0.35">
      <c r="A397" s="4">
        <v>239656292</v>
      </c>
      <c r="B397" s="5" t="s">
        <v>194</v>
      </c>
      <c r="C397" s="5" t="s">
        <v>23</v>
      </c>
      <c r="D397" s="4">
        <v>4</v>
      </c>
      <c r="E397" s="5" t="s">
        <v>10</v>
      </c>
      <c r="F397" s="8">
        <v>224.46</v>
      </c>
      <c r="G397" s="8">
        <v>1082.4100000000001</v>
      </c>
    </row>
    <row r="398" spans="1:7" x14ac:dyDescent="0.35">
      <c r="A398" s="2">
        <v>239656292</v>
      </c>
      <c r="B398" s="3" t="s">
        <v>194</v>
      </c>
      <c r="C398" s="3" t="s">
        <v>23</v>
      </c>
      <c r="D398" s="2">
        <v>4</v>
      </c>
      <c r="E398" s="3" t="s">
        <v>10</v>
      </c>
      <c r="F398" s="7">
        <v>814.8</v>
      </c>
      <c r="G398" s="7">
        <v>3925.21</v>
      </c>
    </row>
    <row r="399" spans="1:7" x14ac:dyDescent="0.35">
      <c r="A399" s="4">
        <v>239656292</v>
      </c>
      <c r="B399" s="5" t="s">
        <v>194</v>
      </c>
      <c r="C399" s="5" t="s">
        <v>23</v>
      </c>
      <c r="D399" s="4">
        <v>4</v>
      </c>
      <c r="E399" s="5" t="s">
        <v>10</v>
      </c>
      <c r="F399" s="8">
        <v>103.21</v>
      </c>
      <c r="G399" s="8">
        <v>497.2</v>
      </c>
    </row>
    <row r="400" spans="1:7" x14ac:dyDescent="0.35">
      <c r="A400" s="2">
        <v>239657866</v>
      </c>
      <c r="B400" s="3" t="s">
        <v>195</v>
      </c>
      <c r="C400" s="3" t="s">
        <v>23</v>
      </c>
      <c r="D400" s="2">
        <v>4</v>
      </c>
      <c r="E400" s="3" t="s">
        <v>10</v>
      </c>
      <c r="F400" s="7">
        <v>252.38</v>
      </c>
      <c r="G400" s="7">
        <v>1192.6400000000001</v>
      </c>
    </row>
    <row r="401" spans="1:7" x14ac:dyDescent="0.35">
      <c r="A401" s="4">
        <v>239657866</v>
      </c>
      <c r="B401" s="5" t="s">
        <v>195</v>
      </c>
      <c r="C401" s="5" t="s">
        <v>23</v>
      </c>
      <c r="D401" s="4">
        <v>4</v>
      </c>
      <c r="E401" s="5" t="s">
        <v>10</v>
      </c>
      <c r="F401" s="8">
        <v>20.53</v>
      </c>
      <c r="G401" s="8">
        <v>97.02</v>
      </c>
    </row>
    <row r="402" spans="1:7" x14ac:dyDescent="0.35">
      <c r="A402" s="2">
        <v>239657866</v>
      </c>
      <c r="B402" s="3" t="s">
        <v>195</v>
      </c>
      <c r="C402" s="3" t="s">
        <v>23</v>
      </c>
      <c r="D402" s="2">
        <v>4</v>
      </c>
      <c r="E402" s="3" t="s">
        <v>10</v>
      </c>
      <c r="F402" s="7">
        <v>223.29</v>
      </c>
      <c r="G402" s="7">
        <v>1055.17</v>
      </c>
    </row>
    <row r="403" spans="1:7" x14ac:dyDescent="0.35">
      <c r="A403" s="4">
        <v>239657866</v>
      </c>
      <c r="B403" s="5" t="s">
        <v>195</v>
      </c>
      <c r="C403" s="5" t="s">
        <v>23</v>
      </c>
      <c r="D403" s="4">
        <v>4</v>
      </c>
      <c r="E403" s="5" t="s">
        <v>10</v>
      </c>
      <c r="F403" s="8">
        <v>37.369999999999997</v>
      </c>
      <c r="G403" s="8">
        <v>176.6</v>
      </c>
    </row>
    <row r="404" spans="1:7" x14ac:dyDescent="0.35">
      <c r="A404" s="2">
        <v>239657866</v>
      </c>
      <c r="B404" s="3" t="s">
        <v>195</v>
      </c>
      <c r="C404" s="3" t="s">
        <v>23</v>
      </c>
      <c r="D404" s="2">
        <v>4</v>
      </c>
      <c r="E404" s="3" t="s">
        <v>10</v>
      </c>
      <c r="F404" s="7">
        <v>114.8</v>
      </c>
      <c r="G404" s="7">
        <v>542.5</v>
      </c>
    </row>
    <row r="405" spans="1:7" x14ac:dyDescent="0.35">
      <c r="A405" s="4">
        <v>239657866</v>
      </c>
      <c r="B405" s="5" t="s">
        <v>195</v>
      </c>
      <c r="C405" s="5" t="s">
        <v>23</v>
      </c>
      <c r="D405" s="4">
        <v>4</v>
      </c>
      <c r="E405" s="5" t="s">
        <v>10</v>
      </c>
      <c r="F405" s="8">
        <v>9.35</v>
      </c>
      <c r="G405" s="8">
        <v>44.18</v>
      </c>
    </row>
    <row r="406" spans="1:7" x14ac:dyDescent="0.35">
      <c r="A406" s="2">
        <v>239657866</v>
      </c>
      <c r="B406" s="3" t="s">
        <v>195</v>
      </c>
      <c r="C406" s="3" t="s">
        <v>23</v>
      </c>
      <c r="D406" s="2">
        <v>4</v>
      </c>
      <c r="E406" s="3" t="s">
        <v>10</v>
      </c>
      <c r="F406" s="7">
        <v>133</v>
      </c>
      <c r="G406" s="7">
        <v>628.5</v>
      </c>
    </row>
    <row r="407" spans="1:7" x14ac:dyDescent="0.35">
      <c r="A407" s="4">
        <v>239657866</v>
      </c>
      <c r="B407" s="5" t="s">
        <v>195</v>
      </c>
      <c r="C407" s="5" t="s">
        <v>23</v>
      </c>
      <c r="D407" s="4">
        <v>4</v>
      </c>
      <c r="E407" s="5" t="s">
        <v>10</v>
      </c>
      <c r="F407" s="8">
        <v>10.83</v>
      </c>
      <c r="G407" s="8">
        <v>51.18</v>
      </c>
    </row>
    <row r="408" spans="1:7" x14ac:dyDescent="0.35">
      <c r="A408" s="2">
        <v>239657866</v>
      </c>
      <c r="B408" s="3" t="s">
        <v>195</v>
      </c>
      <c r="C408" s="3" t="s">
        <v>23</v>
      </c>
      <c r="D408" s="2">
        <v>4</v>
      </c>
      <c r="E408" s="3" t="s">
        <v>10</v>
      </c>
      <c r="F408" s="7">
        <v>1179.75</v>
      </c>
      <c r="G408" s="7">
        <v>5575.02</v>
      </c>
    </row>
    <row r="409" spans="1:7" x14ac:dyDescent="0.35">
      <c r="A409" s="4">
        <v>239657866</v>
      </c>
      <c r="B409" s="5" t="s">
        <v>195</v>
      </c>
      <c r="C409" s="5" t="s">
        <v>23</v>
      </c>
      <c r="D409" s="4">
        <v>4</v>
      </c>
      <c r="E409" s="5" t="s">
        <v>10</v>
      </c>
      <c r="F409" s="8">
        <v>74.72</v>
      </c>
      <c r="G409" s="8">
        <v>353.09</v>
      </c>
    </row>
    <row r="410" spans="1:7" x14ac:dyDescent="0.35">
      <c r="A410" s="2">
        <v>239657866</v>
      </c>
      <c r="B410" s="3" t="s">
        <v>195</v>
      </c>
      <c r="C410" s="3" t="s">
        <v>23</v>
      </c>
      <c r="D410" s="2">
        <v>4</v>
      </c>
      <c r="E410" s="3" t="s">
        <v>10</v>
      </c>
      <c r="F410" s="7">
        <v>12461.29</v>
      </c>
      <c r="G410" s="7">
        <v>55182.62</v>
      </c>
    </row>
    <row r="411" spans="1:7" x14ac:dyDescent="0.35">
      <c r="A411" s="4">
        <v>239657866</v>
      </c>
      <c r="B411" s="5" t="s">
        <v>195</v>
      </c>
      <c r="C411" s="5" t="s">
        <v>23</v>
      </c>
      <c r="D411" s="4">
        <v>4</v>
      </c>
      <c r="E411" s="5" t="s">
        <v>10</v>
      </c>
      <c r="F411" s="8">
        <v>1578.43</v>
      </c>
      <c r="G411" s="8">
        <v>6989.8</v>
      </c>
    </row>
    <row r="412" spans="1:7" x14ac:dyDescent="0.35">
      <c r="A412" s="2">
        <v>239643192</v>
      </c>
      <c r="B412" s="3" t="s">
        <v>196</v>
      </c>
      <c r="C412" s="3" t="s">
        <v>23</v>
      </c>
      <c r="D412" s="2">
        <v>4</v>
      </c>
      <c r="E412" s="3" t="s">
        <v>10</v>
      </c>
      <c r="F412" s="7">
        <v>714</v>
      </c>
      <c r="G412" s="7">
        <v>3374.08</v>
      </c>
    </row>
    <row r="413" spans="1:7" x14ac:dyDescent="0.35">
      <c r="A413" s="4">
        <v>239643192</v>
      </c>
      <c r="B413" s="5" t="s">
        <v>196</v>
      </c>
      <c r="C413" s="5" t="s">
        <v>23</v>
      </c>
      <c r="D413" s="4">
        <v>4</v>
      </c>
      <c r="E413" s="5" t="s">
        <v>10</v>
      </c>
      <c r="F413" s="8">
        <v>23.94</v>
      </c>
      <c r="G413" s="8">
        <v>113.13</v>
      </c>
    </row>
    <row r="414" spans="1:7" x14ac:dyDescent="0.35">
      <c r="A414" s="4">
        <v>239645421</v>
      </c>
      <c r="B414" s="5" t="s">
        <v>197</v>
      </c>
      <c r="C414" s="5" t="s">
        <v>23</v>
      </c>
      <c r="D414" s="4">
        <v>4</v>
      </c>
      <c r="E414" s="5" t="s">
        <v>10</v>
      </c>
      <c r="F414" s="8">
        <v>169.77</v>
      </c>
      <c r="G414" s="8">
        <v>805.85</v>
      </c>
    </row>
    <row r="415" spans="1:7" x14ac:dyDescent="0.35">
      <c r="A415" s="2">
        <v>239645421</v>
      </c>
      <c r="B415" s="3" t="s">
        <v>197</v>
      </c>
      <c r="C415" s="3" t="s">
        <v>23</v>
      </c>
      <c r="D415" s="2">
        <v>4</v>
      </c>
      <c r="E415" s="3" t="s">
        <v>10</v>
      </c>
      <c r="F415" s="7">
        <v>28.54</v>
      </c>
      <c r="G415" s="7">
        <v>135.47</v>
      </c>
    </row>
    <row r="416" spans="1:7" x14ac:dyDescent="0.35">
      <c r="A416" s="4">
        <v>239645421</v>
      </c>
      <c r="B416" s="5" t="s">
        <v>197</v>
      </c>
      <c r="C416" s="5" t="s">
        <v>23</v>
      </c>
      <c r="D416" s="4">
        <v>4</v>
      </c>
      <c r="E416" s="5" t="s">
        <v>10</v>
      </c>
      <c r="F416" s="8">
        <v>1038.7</v>
      </c>
      <c r="G416" s="8">
        <v>4930.47</v>
      </c>
    </row>
    <row r="417" spans="1:7" x14ac:dyDescent="0.35">
      <c r="A417" s="2">
        <v>239645421</v>
      </c>
      <c r="B417" s="3" t="s">
        <v>197</v>
      </c>
      <c r="C417" s="3" t="s">
        <v>23</v>
      </c>
      <c r="D417" s="2">
        <v>4</v>
      </c>
      <c r="E417" s="3" t="s">
        <v>10</v>
      </c>
      <c r="F417" s="7">
        <v>34.83</v>
      </c>
      <c r="G417" s="7">
        <v>165.33</v>
      </c>
    </row>
    <row r="418" spans="1:7" x14ac:dyDescent="0.35">
      <c r="A418" s="4">
        <v>239645421</v>
      </c>
      <c r="B418" s="5" t="s">
        <v>197</v>
      </c>
      <c r="C418" s="5" t="s">
        <v>23</v>
      </c>
      <c r="D418" s="4">
        <v>4</v>
      </c>
      <c r="E418" s="5" t="s">
        <v>10</v>
      </c>
      <c r="F418" s="8">
        <v>2558.11</v>
      </c>
      <c r="G418" s="8">
        <v>12386.84</v>
      </c>
    </row>
    <row r="419" spans="1:7" x14ac:dyDescent="0.35">
      <c r="A419" s="2">
        <v>239645421</v>
      </c>
      <c r="B419" s="3" t="s">
        <v>197</v>
      </c>
      <c r="C419" s="3" t="s">
        <v>23</v>
      </c>
      <c r="D419" s="2">
        <v>4</v>
      </c>
      <c r="E419" s="3" t="s">
        <v>10</v>
      </c>
      <c r="F419" s="7">
        <v>1457.09</v>
      </c>
      <c r="G419" s="7">
        <v>7055.5</v>
      </c>
    </row>
    <row r="420" spans="1:7" x14ac:dyDescent="0.35">
      <c r="A420" s="2">
        <v>239648872</v>
      </c>
      <c r="B420" s="3" t="s">
        <v>198</v>
      </c>
      <c r="C420" s="3" t="s">
        <v>23</v>
      </c>
      <c r="D420" s="2">
        <v>4</v>
      </c>
      <c r="E420" s="3" t="s">
        <v>10</v>
      </c>
      <c r="F420" s="7">
        <v>860.25</v>
      </c>
      <c r="G420" s="7">
        <v>4065.17</v>
      </c>
    </row>
    <row r="421" spans="1:7" x14ac:dyDescent="0.35">
      <c r="A421" s="4">
        <v>239648872</v>
      </c>
      <c r="B421" s="5" t="s">
        <v>198</v>
      </c>
      <c r="C421" s="5" t="s">
        <v>23</v>
      </c>
      <c r="D421" s="4">
        <v>4</v>
      </c>
      <c r="E421" s="5" t="s">
        <v>10</v>
      </c>
      <c r="F421" s="8">
        <v>54.48</v>
      </c>
      <c r="G421" s="8">
        <v>257.45</v>
      </c>
    </row>
    <row r="422" spans="1:7" x14ac:dyDescent="0.35">
      <c r="A422" s="2">
        <v>239656011</v>
      </c>
      <c r="B422" s="3" t="s">
        <v>199</v>
      </c>
      <c r="C422" s="3" t="s">
        <v>23</v>
      </c>
      <c r="D422" s="2">
        <v>6</v>
      </c>
      <c r="E422" s="3" t="s">
        <v>8</v>
      </c>
      <c r="F422" s="7">
        <v>581</v>
      </c>
      <c r="G422" s="7">
        <v>2603.9299999999998</v>
      </c>
    </row>
    <row r="423" spans="1:7" x14ac:dyDescent="0.35">
      <c r="A423" s="2">
        <v>239645322</v>
      </c>
      <c r="B423" s="3" t="s">
        <v>200</v>
      </c>
      <c r="C423" s="3" t="s">
        <v>23</v>
      </c>
      <c r="D423" s="2">
        <v>4</v>
      </c>
      <c r="E423" s="3" t="s">
        <v>10</v>
      </c>
      <c r="F423" s="7">
        <v>3343.41</v>
      </c>
      <c r="G423" s="7">
        <v>16189.42</v>
      </c>
    </row>
    <row r="424" spans="1:7" x14ac:dyDescent="0.35">
      <c r="A424" s="4">
        <v>239645322</v>
      </c>
      <c r="B424" s="5" t="s">
        <v>200</v>
      </c>
      <c r="C424" s="5" t="s">
        <v>23</v>
      </c>
      <c r="D424" s="4">
        <v>4</v>
      </c>
      <c r="E424" s="5" t="s">
        <v>10</v>
      </c>
      <c r="F424" s="8">
        <v>423.5</v>
      </c>
      <c r="G424" s="8">
        <v>2050.67</v>
      </c>
    </row>
    <row r="425" spans="1:7" x14ac:dyDescent="0.35">
      <c r="A425" s="4">
        <v>239642224</v>
      </c>
      <c r="B425" s="5" t="s">
        <v>201</v>
      </c>
      <c r="C425" s="5" t="s">
        <v>23</v>
      </c>
      <c r="D425" s="4">
        <v>6</v>
      </c>
      <c r="E425" s="5" t="s">
        <v>8</v>
      </c>
      <c r="F425" s="8">
        <v>385</v>
      </c>
      <c r="G425" s="8">
        <v>1759.19</v>
      </c>
    </row>
    <row r="426" spans="1:7" x14ac:dyDescent="0.35">
      <c r="A426" s="4">
        <v>239639460</v>
      </c>
      <c r="B426" s="5" t="s">
        <v>202</v>
      </c>
      <c r="C426" s="5" t="s">
        <v>23</v>
      </c>
      <c r="D426" s="4">
        <v>4</v>
      </c>
      <c r="E426" s="5" t="s">
        <v>10</v>
      </c>
      <c r="F426" s="8">
        <v>2748.08</v>
      </c>
      <c r="G426" s="8">
        <v>13252.01</v>
      </c>
    </row>
    <row r="427" spans="1:7" x14ac:dyDescent="0.35">
      <c r="A427" s="2">
        <v>239639460</v>
      </c>
      <c r="B427" s="3" t="s">
        <v>202</v>
      </c>
      <c r="C427" s="3" t="s">
        <v>23</v>
      </c>
      <c r="D427" s="2">
        <v>4</v>
      </c>
      <c r="E427" s="3" t="s">
        <v>10</v>
      </c>
      <c r="F427" s="7">
        <v>130.53</v>
      </c>
      <c r="G427" s="7">
        <v>629.45000000000005</v>
      </c>
    </row>
    <row r="428" spans="1:7" x14ac:dyDescent="0.35">
      <c r="A428" s="4">
        <v>239639460</v>
      </c>
      <c r="B428" s="5" t="s">
        <v>202</v>
      </c>
      <c r="C428" s="5" t="s">
        <v>23</v>
      </c>
      <c r="D428" s="4">
        <v>4</v>
      </c>
      <c r="E428" s="5" t="s">
        <v>10</v>
      </c>
      <c r="F428" s="8">
        <v>283.64999999999998</v>
      </c>
      <c r="G428" s="8">
        <v>1367.83</v>
      </c>
    </row>
    <row r="429" spans="1:7" x14ac:dyDescent="0.35">
      <c r="A429" s="2">
        <v>239639460</v>
      </c>
      <c r="B429" s="3" t="s">
        <v>202</v>
      </c>
      <c r="C429" s="3" t="s">
        <v>23</v>
      </c>
      <c r="D429" s="2">
        <v>4</v>
      </c>
      <c r="E429" s="3" t="s">
        <v>10</v>
      </c>
      <c r="F429" s="7">
        <v>52.37</v>
      </c>
      <c r="G429" s="7">
        <v>252.55</v>
      </c>
    </row>
    <row r="430" spans="1:7" x14ac:dyDescent="0.35">
      <c r="A430" s="4">
        <v>239647125</v>
      </c>
      <c r="B430" s="5" t="s">
        <v>203</v>
      </c>
      <c r="C430" s="5" t="s">
        <v>23</v>
      </c>
      <c r="D430" s="4">
        <v>24</v>
      </c>
      <c r="E430" s="5" t="s">
        <v>5</v>
      </c>
      <c r="F430" s="8">
        <v>380.84</v>
      </c>
      <c r="G430" s="8">
        <v>380.84</v>
      </c>
    </row>
    <row r="431" spans="1:7" x14ac:dyDescent="0.35">
      <c r="A431" s="2">
        <v>239651898</v>
      </c>
      <c r="B431" s="3" t="s">
        <v>204</v>
      </c>
      <c r="C431" s="3" t="s">
        <v>23</v>
      </c>
      <c r="D431" s="2">
        <v>4</v>
      </c>
      <c r="E431" s="3" t="s">
        <v>10</v>
      </c>
      <c r="F431" s="7">
        <v>1477.63</v>
      </c>
      <c r="G431" s="7">
        <v>7154.95</v>
      </c>
    </row>
    <row r="432" spans="1:7" x14ac:dyDescent="0.35">
      <c r="A432" s="4">
        <v>239651898</v>
      </c>
      <c r="B432" s="5" t="s">
        <v>204</v>
      </c>
      <c r="C432" s="5" t="s">
        <v>23</v>
      </c>
      <c r="D432" s="4">
        <v>4</v>
      </c>
      <c r="E432" s="5" t="s">
        <v>10</v>
      </c>
      <c r="F432" s="8">
        <v>280.75</v>
      </c>
      <c r="G432" s="8">
        <v>1359.45</v>
      </c>
    </row>
    <row r="433" spans="1:7" x14ac:dyDescent="0.35">
      <c r="A433" s="2">
        <v>239641123</v>
      </c>
      <c r="B433" s="3" t="s">
        <v>205</v>
      </c>
      <c r="C433" s="3" t="s">
        <v>23</v>
      </c>
      <c r="D433" s="2">
        <v>4</v>
      </c>
      <c r="E433" s="3" t="s">
        <v>10</v>
      </c>
      <c r="F433" s="7">
        <v>1409.5</v>
      </c>
      <c r="G433" s="7">
        <v>6790.11</v>
      </c>
    </row>
    <row r="434" spans="1:7" x14ac:dyDescent="0.35">
      <c r="A434" s="4">
        <v>239641123</v>
      </c>
      <c r="B434" s="5" t="s">
        <v>205</v>
      </c>
      <c r="C434" s="5" t="s">
        <v>23</v>
      </c>
      <c r="D434" s="4">
        <v>4</v>
      </c>
      <c r="E434" s="5" t="s">
        <v>10</v>
      </c>
      <c r="F434" s="8">
        <v>494.48</v>
      </c>
      <c r="G434" s="8">
        <v>2382.1</v>
      </c>
    </row>
    <row r="435" spans="1:7" x14ac:dyDescent="0.35">
      <c r="A435" s="2">
        <v>239651539</v>
      </c>
      <c r="B435" s="3" t="s">
        <v>206</v>
      </c>
      <c r="C435" s="3" t="s">
        <v>23</v>
      </c>
      <c r="D435" s="2">
        <v>4</v>
      </c>
      <c r="E435" s="3" t="s">
        <v>10</v>
      </c>
      <c r="F435" s="7">
        <v>171.6</v>
      </c>
      <c r="G435" s="7">
        <v>810.92</v>
      </c>
    </row>
    <row r="436" spans="1:7" x14ac:dyDescent="0.35">
      <c r="A436" s="4">
        <v>239651539</v>
      </c>
      <c r="B436" s="5" t="s">
        <v>206</v>
      </c>
      <c r="C436" s="5" t="s">
        <v>23</v>
      </c>
      <c r="D436" s="4">
        <v>4</v>
      </c>
      <c r="E436" s="5" t="s">
        <v>10</v>
      </c>
      <c r="F436" s="8">
        <v>37.32</v>
      </c>
      <c r="G436" s="8">
        <v>176.35</v>
      </c>
    </row>
    <row r="437" spans="1:7" x14ac:dyDescent="0.35">
      <c r="A437" s="2">
        <v>239661982</v>
      </c>
      <c r="B437" s="3" t="s">
        <v>207</v>
      </c>
      <c r="C437" s="3" t="s">
        <v>23</v>
      </c>
      <c r="D437" s="2">
        <v>6</v>
      </c>
      <c r="E437" s="3" t="s">
        <v>8</v>
      </c>
      <c r="F437" s="7">
        <v>289</v>
      </c>
      <c r="G437" s="7">
        <v>1310.58</v>
      </c>
    </row>
    <row r="438" spans="1:7" x14ac:dyDescent="0.35">
      <c r="A438" s="4">
        <v>239655489</v>
      </c>
      <c r="B438" s="5" t="s">
        <v>208</v>
      </c>
      <c r="C438" s="5" t="s">
        <v>23</v>
      </c>
      <c r="D438" s="4">
        <v>4</v>
      </c>
      <c r="E438" s="5" t="s">
        <v>10</v>
      </c>
      <c r="F438" s="8">
        <v>250</v>
      </c>
      <c r="G438" s="8">
        <v>1259.47</v>
      </c>
    </row>
    <row r="439" spans="1:7" x14ac:dyDescent="0.35">
      <c r="A439" s="4">
        <v>239649783</v>
      </c>
      <c r="B439" s="5" t="s">
        <v>209</v>
      </c>
      <c r="C439" s="5" t="s">
        <v>23</v>
      </c>
      <c r="D439" s="4">
        <v>4</v>
      </c>
      <c r="E439" s="5" t="s">
        <v>10</v>
      </c>
      <c r="F439" s="8">
        <v>141.86000000000001</v>
      </c>
      <c r="G439" s="8">
        <v>736.87</v>
      </c>
    </row>
    <row r="440" spans="1:7" x14ac:dyDescent="0.35">
      <c r="A440" s="2">
        <v>239649783</v>
      </c>
      <c r="B440" s="3" t="s">
        <v>209</v>
      </c>
      <c r="C440" s="3" t="s">
        <v>23</v>
      </c>
      <c r="D440" s="2">
        <v>4</v>
      </c>
      <c r="E440" s="3" t="s">
        <v>10</v>
      </c>
      <c r="F440" s="7">
        <v>291.32</v>
      </c>
      <c r="G440" s="7">
        <v>1537.26</v>
      </c>
    </row>
    <row r="441" spans="1:7" x14ac:dyDescent="0.35">
      <c r="A441" s="4">
        <v>239649783</v>
      </c>
      <c r="B441" s="5" t="s">
        <v>209</v>
      </c>
      <c r="C441" s="5" t="s">
        <v>23</v>
      </c>
      <c r="D441" s="4">
        <v>4</v>
      </c>
      <c r="E441" s="5" t="s">
        <v>10</v>
      </c>
      <c r="F441" s="8">
        <v>409.28</v>
      </c>
      <c r="G441" s="8">
        <v>2159.7199999999998</v>
      </c>
    </row>
    <row r="442" spans="1:7" x14ac:dyDescent="0.35">
      <c r="A442" s="2">
        <v>239649783</v>
      </c>
      <c r="B442" s="3" t="s">
        <v>209</v>
      </c>
      <c r="C442" s="3" t="s">
        <v>23</v>
      </c>
      <c r="D442" s="2">
        <v>4</v>
      </c>
      <c r="E442" s="3" t="s">
        <v>10</v>
      </c>
      <c r="F442" s="7">
        <v>139.58000000000001</v>
      </c>
      <c r="G442" s="7">
        <v>749.61</v>
      </c>
    </row>
    <row r="443" spans="1:7" x14ac:dyDescent="0.35">
      <c r="A443" s="4">
        <v>239649783</v>
      </c>
      <c r="B443" s="5" t="s">
        <v>209</v>
      </c>
      <c r="C443" s="5" t="s">
        <v>23</v>
      </c>
      <c r="D443" s="4">
        <v>4</v>
      </c>
      <c r="E443" s="5" t="s">
        <v>10</v>
      </c>
      <c r="F443" s="8">
        <v>107</v>
      </c>
      <c r="G443" s="8">
        <v>574.64</v>
      </c>
    </row>
    <row r="444" spans="1:7" x14ac:dyDescent="0.35">
      <c r="A444" s="4">
        <v>239654531</v>
      </c>
      <c r="B444" s="5" t="s">
        <v>210</v>
      </c>
      <c r="C444" s="5" t="s">
        <v>23</v>
      </c>
      <c r="D444" s="4">
        <v>4</v>
      </c>
      <c r="E444" s="5" t="s">
        <v>10</v>
      </c>
      <c r="F444" s="8">
        <v>269</v>
      </c>
      <c r="G444" s="8">
        <v>1219.8800000000001</v>
      </c>
    </row>
    <row r="445" spans="1:7" x14ac:dyDescent="0.35">
      <c r="A445" s="2">
        <v>239654531</v>
      </c>
      <c r="B445" s="3" t="s">
        <v>210</v>
      </c>
      <c r="C445" s="3" t="s">
        <v>23</v>
      </c>
      <c r="D445" s="2">
        <v>4</v>
      </c>
      <c r="E445" s="3" t="s">
        <v>10</v>
      </c>
      <c r="F445" s="7">
        <v>269</v>
      </c>
      <c r="G445" s="7">
        <v>1254.67</v>
      </c>
    </row>
    <row r="446" spans="1:7" x14ac:dyDescent="0.35">
      <c r="A446" s="2">
        <v>239659732</v>
      </c>
      <c r="B446" s="3" t="s">
        <v>211</v>
      </c>
      <c r="C446" s="3" t="s">
        <v>23</v>
      </c>
      <c r="D446" s="2">
        <v>4</v>
      </c>
      <c r="E446" s="3" t="s">
        <v>10</v>
      </c>
      <c r="F446" s="7">
        <v>265</v>
      </c>
      <c r="G446" s="7">
        <v>1202.3599999999999</v>
      </c>
    </row>
    <row r="447" spans="1:7" x14ac:dyDescent="0.35">
      <c r="A447" s="4">
        <v>239659732</v>
      </c>
      <c r="B447" s="5" t="s">
        <v>211</v>
      </c>
      <c r="C447" s="5" t="s">
        <v>23</v>
      </c>
      <c r="D447" s="4">
        <v>4</v>
      </c>
      <c r="E447" s="5" t="s">
        <v>10</v>
      </c>
      <c r="F447" s="8">
        <v>269</v>
      </c>
      <c r="G447" s="8">
        <v>1294.25</v>
      </c>
    </row>
    <row r="448" spans="1:7" x14ac:dyDescent="0.35">
      <c r="A448" s="2">
        <v>239659732</v>
      </c>
      <c r="B448" s="3" t="s">
        <v>211</v>
      </c>
      <c r="C448" s="3" t="s">
        <v>23</v>
      </c>
      <c r="D448" s="2">
        <v>4</v>
      </c>
      <c r="E448" s="3" t="s">
        <v>10</v>
      </c>
      <c r="F448" s="7">
        <v>269</v>
      </c>
      <c r="G448" s="7">
        <v>1254.67</v>
      </c>
    </row>
    <row r="449" spans="1:7" x14ac:dyDescent="0.35">
      <c r="A449" s="4">
        <v>239660431</v>
      </c>
      <c r="B449" s="5" t="s">
        <v>212</v>
      </c>
      <c r="C449" s="5" t="s">
        <v>23</v>
      </c>
      <c r="D449" s="4">
        <v>4</v>
      </c>
      <c r="E449" s="5" t="s">
        <v>10</v>
      </c>
      <c r="F449" s="8">
        <v>55</v>
      </c>
      <c r="G449" s="8">
        <v>196.02</v>
      </c>
    </row>
    <row r="450" spans="1:7" x14ac:dyDescent="0.35">
      <c r="A450" s="2">
        <v>239642579</v>
      </c>
      <c r="B450" s="3" t="s">
        <v>213</v>
      </c>
      <c r="C450" s="3" t="s">
        <v>23</v>
      </c>
      <c r="D450" s="2">
        <v>4</v>
      </c>
      <c r="E450" s="3" t="s">
        <v>10</v>
      </c>
      <c r="F450" s="7">
        <v>898</v>
      </c>
      <c r="G450" s="7">
        <v>4243.57</v>
      </c>
    </row>
    <row r="451" spans="1:7" x14ac:dyDescent="0.35">
      <c r="A451" s="4">
        <v>239642579</v>
      </c>
      <c r="B451" s="5" t="s">
        <v>213</v>
      </c>
      <c r="C451" s="5" t="s">
        <v>23</v>
      </c>
      <c r="D451" s="4">
        <v>4</v>
      </c>
      <c r="E451" s="5" t="s">
        <v>10</v>
      </c>
      <c r="F451" s="8">
        <v>112.37</v>
      </c>
      <c r="G451" s="8">
        <v>531.01</v>
      </c>
    </row>
    <row r="452" spans="1:7" x14ac:dyDescent="0.35">
      <c r="A452" s="4">
        <v>239645394</v>
      </c>
      <c r="B452" s="5" t="s">
        <v>214</v>
      </c>
      <c r="C452" s="5" t="s">
        <v>23</v>
      </c>
      <c r="D452" s="4">
        <v>24</v>
      </c>
      <c r="E452" s="5" t="s">
        <v>5</v>
      </c>
      <c r="F452" s="8">
        <v>382.53</v>
      </c>
      <c r="G452" s="8">
        <v>382.53</v>
      </c>
    </row>
    <row r="453" spans="1:7" x14ac:dyDescent="0.35">
      <c r="A453" s="2">
        <v>239653895</v>
      </c>
      <c r="B453" s="3" t="s">
        <v>215</v>
      </c>
      <c r="C453" s="3" t="s">
        <v>23</v>
      </c>
      <c r="D453" s="2">
        <v>4</v>
      </c>
      <c r="E453" s="3" t="s">
        <v>10</v>
      </c>
      <c r="F453" s="7">
        <v>54.6</v>
      </c>
      <c r="G453" s="7">
        <v>258.02</v>
      </c>
    </row>
    <row r="454" spans="1:7" x14ac:dyDescent="0.35">
      <c r="A454" s="4">
        <v>239653895</v>
      </c>
      <c r="B454" s="5" t="s">
        <v>215</v>
      </c>
      <c r="C454" s="5" t="s">
        <v>23</v>
      </c>
      <c r="D454" s="4">
        <v>4</v>
      </c>
      <c r="E454" s="5" t="s">
        <v>10</v>
      </c>
      <c r="F454" s="8">
        <v>5.59</v>
      </c>
      <c r="G454" s="8">
        <v>26.41</v>
      </c>
    </row>
    <row r="455" spans="1:7" x14ac:dyDescent="0.35">
      <c r="A455" s="2">
        <v>239647938</v>
      </c>
      <c r="B455" s="3" t="s">
        <v>216</v>
      </c>
      <c r="C455" s="3" t="s">
        <v>23</v>
      </c>
      <c r="D455" s="2">
        <v>4</v>
      </c>
      <c r="E455" s="3" t="s">
        <v>10</v>
      </c>
      <c r="F455" s="7">
        <v>1038.7</v>
      </c>
      <c r="G455" s="7">
        <v>4740.03</v>
      </c>
    </row>
    <row r="456" spans="1:7" x14ac:dyDescent="0.35">
      <c r="A456" s="4">
        <v>239647938</v>
      </c>
      <c r="B456" s="5" t="s">
        <v>216</v>
      </c>
      <c r="C456" s="5" t="s">
        <v>23</v>
      </c>
      <c r="D456" s="4">
        <v>4</v>
      </c>
      <c r="E456" s="5" t="s">
        <v>10</v>
      </c>
      <c r="F456" s="8">
        <v>34.83</v>
      </c>
      <c r="G456" s="8">
        <v>158.94</v>
      </c>
    </row>
    <row r="457" spans="1:7" x14ac:dyDescent="0.35">
      <c r="A457" s="2">
        <v>239647938</v>
      </c>
      <c r="B457" s="3" t="s">
        <v>216</v>
      </c>
      <c r="C457" s="3" t="s">
        <v>23</v>
      </c>
      <c r="D457" s="2">
        <v>4</v>
      </c>
      <c r="E457" s="3" t="s">
        <v>10</v>
      </c>
      <c r="F457" s="7">
        <v>4294.5</v>
      </c>
      <c r="G457" s="7">
        <v>19597.63</v>
      </c>
    </row>
    <row r="458" spans="1:7" x14ac:dyDescent="0.35">
      <c r="A458" s="4">
        <v>239647938</v>
      </c>
      <c r="B458" s="5" t="s">
        <v>216</v>
      </c>
      <c r="C458" s="5" t="s">
        <v>23</v>
      </c>
      <c r="D458" s="4">
        <v>4</v>
      </c>
      <c r="E458" s="5" t="s">
        <v>10</v>
      </c>
      <c r="F458" s="8">
        <v>349.7</v>
      </c>
      <c r="G458" s="8">
        <v>1595.82</v>
      </c>
    </row>
    <row r="459" spans="1:7" x14ac:dyDescent="0.35">
      <c r="A459" s="2">
        <v>239654164</v>
      </c>
      <c r="B459" s="3" t="s">
        <v>217</v>
      </c>
      <c r="C459" s="3" t="s">
        <v>23</v>
      </c>
      <c r="D459" s="2">
        <v>4</v>
      </c>
      <c r="E459" s="3" t="s">
        <v>10</v>
      </c>
      <c r="F459" s="7">
        <v>60</v>
      </c>
      <c r="G459" s="7">
        <v>322.22000000000003</v>
      </c>
    </row>
    <row r="460" spans="1:7" x14ac:dyDescent="0.35">
      <c r="A460" s="4">
        <v>239654164</v>
      </c>
      <c r="B460" s="5" t="s">
        <v>217</v>
      </c>
      <c r="C460" s="5" t="s">
        <v>23</v>
      </c>
      <c r="D460" s="4">
        <v>4</v>
      </c>
      <c r="E460" s="5" t="s">
        <v>10</v>
      </c>
      <c r="F460" s="8">
        <v>4.2</v>
      </c>
      <c r="G460" s="8">
        <v>22.56</v>
      </c>
    </row>
    <row r="461" spans="1:7" x14ac:dyDescent="0.35">
      <c r="A461" s="2">
        <v>239658023</v>
      </c>
      <c r="B461" s="3" t="s">
        <v>218</v>
      </c>
      <c r="C461" s="3" t="s">
        <v>23</v>
      </c>
      <c r="D461" s="2">
        <v>4</v>
      </c>
      <c r="E461" s="3" t="s">
        <v>10</v>
      </c>
      <c r="F461" s="7">
        <v>2096.4899999999998</v>
      </c>
      <c r="G461" s="7">
        <v>10009.01</v>
      </c>
    </row>
    <row r="462" spans="1:7" x14ac:dyDescent="0.35">
      <c r="A462" s="4">
        <v>239658023</v>
      </c>
      <c r="B462" s="5" t="s">
        <v>218</v>
      </c>
      <c r="C462" s="5" t="s">
        <v>23</v>
      </c>
      <c r="D462" s="4">
        <v>4</v>
      </c>
      <c r="E462" s="5" t="s">
        <v>10</v>
      </c>
      <c r="F462" s="8">
        <v>178.13</v>
      </c>
      <c r="G462" s="8">
        <v>850.42</v>
      </c>
    </row>
    <row r="463" spans="1:7" x14ac:dyDescent="0.35">
      <c r="A463" s="2">
        <v>239659538</v>
      </c>
      <c r="B463" s="3" t="s">
        <v>219</v>
      </c>
      <c r="C463" s="3" t="s">
        <v>23</v>
      </c>
      <c r="D463" s="2">
        <v>4</v>
      </c>
      <c r="E463" s="3" t="s">
        <v>10</v>
      </c>
      <c r="F463" s="7">
        <v>949.62</v>
      </c>
      <c r="G463" s="7">
        <v>4507.6400000000003</v>
      </c>
    </row>
    <row r="464" spans="1:7" x14ac:dyDescent="0.35">
      <c r="A464" s="4">
        <v>239659538</v>
      </c>
      <c r="B464" s="5" t="s">
        <v>219</v>
      </c>
      <c r="C464" s="5" t="s">
        <v>23</v>
      </c>
      <c r="D464" s="4">
        <v>4</v>
      </c>
      <c r="E464" s="5" t="s">
        <v>10</v>
      </c>
      <c r="F464" s="8">
        <v>50.49</v>
      </c>
      <c r="G464" s="8">
        <v>239.67</v>
      </c>
    </row>
    <row r="465" spans="1:7" x14ac:dyDescent="0.35">
      <c r="A465" s="2">
        <v>240888005</v>
      </c>
      <c r="B465" s="3" t="s">
        <v>220</v>
      </c>
      <c r="C465" s="3" t="s">
        <v>23</v>
      </c>
      <c r="D465" s="2">
        <v>4</v>
      </c>
      <c r="E465" s="3" t="s">
        <v>10</v>
      </c>
      <c r="F465" s="7">
        <v>668.26</v>
      </c>
      <c r="G465" s="7">
        <v>3157.93</v>
      </c>
    </row>
    <row r="466" spans="1:7" x14ac:dyDescent="0.35">
      <c r="A466" s="4">
        <v>240888005</v>
      </c>
      <c r="B466" s="5" t="s">
        <v>220</v>
      </c>
      <c r="C466" s="5" t="s">
        <v>23</v>
      </c>
      <c r="D466" s="4">
        <v>4</v>
      </c>
      <c r="E466" s="5" t="s">
        <v>10</v>
      </c>
      <c r="F466" s="8">
        <v>190.71</v>
      </c>
      <c r="G466" s="8">
        <v>901.21</v>
      </c>
    </row>
    <row r="467" spans="1:7" x14ac:dyDescent="0.35">
      <c r="A467" s="2">
        <v>240887907</v>
      </c>
      <c r="B467" s="3" t="s">
        <v>220</v>
      </c>
      <c r="C467" s="3" t="s">
        <v>23</v>
      </c>
      <c r="D467" s="2">
        <v>24</v>
      </c>
      <c r="E467" s="3" t="s">
        <v>5</v>
      </c>
      <c r="F467" s="7">
        <v>395.38</v>
      </c>
      <c r="G467" s="7">
        <v>395.38</v>
      </c>
    </row>
    <row r="468" spans="1:7" x14ac:dyDescent="0.35">
      <c r="A468" s="2">
        <v>239659111</v>
      </c>
      <c r="B468" s="3" t="s">
        <v>221</v>
      </c>
      <c r="C468" s="3" t="s">
        <v>23</v>
      </c>
      <c r="D468" s="2">
        <v>10</v>
      </c>
      <c r="E468" s="3" t="s">
        <v>75</v>
      </c>
      <c r="F468" s="7">
        <v>3000</v>
      </c>
      <c r="G468" s="7">
        <v>3000</v>
      </c>
    </row>
    <row r="469" spans="1:7" x14ac:dyDescent="0.35">
      <c r="A469" s="4">
        <v>239661735</v>
      </c>
      <c r="B469" s="5" t="s">
        <v>222</v>
      </c>
      <c r="C469" s="5" t="s">
        <v>23</v>
      </c>
      <c r="D469" s="4">
        <v>4</v>
      </c>
      <c r="E469" s="5" t="s">
        <v>10</v>
      </c>
      <c r="F469" s="8">
        <v>262.2</v>
      </c>
      <c r="G469" s="8">
        <v>1404.11</v>
      </c>
    </row>
    <row r="470" spans="1:7" x14ac:dyDescent="0.35">
      <c r="A470" s="4">
        <v>239660370</v>
      </c>
      <c r="B470" s="5" t="s">
        <v>224</v>
      </c>
      <c r="C470" s="5" t="s">
        <v>23</v>
      </c>
      <c r="D470" s="4">
        <v>2</v>
      </c>
      <c r="E470" s="5" t="s">
        <v>223</v>
      </c>
      <c r="F470" s="8">
        <v>162</v>
      </c>
      <c r="G470" s="8">
        <v>162</v>
      </c>
    </row>
    <row r="471" spans="1:7" x14ac:dyDescent="0.35">
      <c r="A471" s="2">
        <v>239660370</v>
      </c>
      <c r="B471" s="3" t="s">
        <v>224</v>
      </c>
      <c r="C471" s="3" t="s">
        <v>23</v>
      </c>
      <c r="D471" s="2">
        <v>2</v>
      </c>
      <c r="E471" s="3" t="s">
        <v>223</v>
      </c>
      <c r="F471" s="7">
        <v>1400</v>
      </c>
      <c r="G471" s="7">
        <v>1400</v>
      </c>
    </row>
    <row r="472" spans="1:7" x14ac:dyDescent="0.35">
      <c r="A472" s="4">
        <v>239660370</v>
      </c>
      <c r="B472" s="5" t="s">
        <v>224</v>
      </c>
      <c r="C472" s="5" t="s">
        <v>23</v>
      </c>
      <c r="D472" s="4">
        <v>2</v>
      </c>
      <c r="E472" s="5" t="s">
        <v>223</v>
      </c>
      <c r="F472" s="8">
        <v>800</v>
      </c>
      <c r="G472" s="8">
        <v>800</v>
      </c>
    </row>
    <row r="473" spans="1:7" x14ac:dyDescent="0.35">
      <c r="A473" s="2">
        <v>239660370</v>
      </c>
      <c r="B473" s="3" t="s">
        <v>224</v>
      </c>
      <c r="C473" s="3" t="s">
        <v>23</v>
      </c>
      <c r="D473" s="2">
        <v>2</v>
      </c>
      <c r="E473" s="3" t="s">
        <v>223</v>
      </c>
      <c r="F473" s="7">
        <v>3000</v>
      </c>
      <c r="G473" s="7">
        <v>3000</v>
      </c>
    </row>
    <row r="474" spans="1:7" x14ac:dyDescent="0.35">
      <c r="A474" s="4">
        <v>239660370</v>
      </c>
      <c r="B474" s="5" t="s">
        <v>224</v>
      </c>
      <c r="C474" s="5" t="s">
        <v>23</v>
      </c>
      <c r="D474" s="4">
        <v>2</v>
      </c>
      <c r="E474" s="5" t="s">
        <v>223</v>
      </c>
      <c r="F474" s="8">
        <v>4038</v>
      </c>
      <c r="G474" s="8">
        <v>4038</v>
      </c>
    </row>
    <row r="475" spans="1:7" x14ac:dyDescent="0.35">
      <c r="A475" s="2">
        <v>239660370</v>
      </c>
      <c r="B475" s="3" t="s">
        <v>224</v>
      </c>
      <c r="C475" s="3" t="s">
        <v>23</v>
      </c>
      <c r="D475" s="2">
        <v>2</v>
      </c>
      <c r="E475" s="3" t="s">
        <v>223</v>
      </c>
      <c r="F475" s="7">
        <v>120</v>
      </c>
      <c r="G475" s="7">
        <v>120</v>
      </c>
    </row>
    <row r="476" spans="1:7" x14ac:dyDescent="0.35">
      <c r="A476" s="4">
        <v>239660370</v>
      </c>
      <c r="B476" s="5" t="s">
        <v>224</v>
      </c>
      <c r="C476" s="5" t="s">
        <v>23</v>
      </c>
      <c r="D476" s="4">
        <v>2</v>
      </c>
      <c r="E476" s="5" t="s">
        <v>223</v>
      </c>
      <c r="F476" s="8">
        <v>200</v>
      </c>
      <c r="G476" s="8">
        <v>200</v>
      </c>
    </row>
    <row r="477" spans="1:7" x14ac:dyDescent="0.35">
      <c r="A477" s="2">
        <v>239653082</v>
      </c>
      <c r="B477" s="3" t="s">
        <v>225</v>
      </c>
      <c r="C477" s="3" t="s">
        <v>23</v>
      </c>
      <c r="D477" s="2">
        <v>4</v>
      </c>
      <c r="E477" s="3" t="s">
        <v>10</v>
      </c>
      <c r="F477" s="7">
        <v>437</v>
      </c>
      <c r="G477" s="7">
        <v>2105.21</v>
      </c>
    </row>
    <row r="478" spans="1:7" x14ac:dyDescent="0.35">
      <c r="A478" s="4">
        <v>240887911</v>
      </c>
      <c r="B478" s="5" t="s">
        <v>226</v>
      </c>
      <c r="C478" s="5" t="s">
        <v>23</v>
      </c>
      <c r="D478" s="4">
        <v>4</v>
      </c>
      <c r="E478" s="5" t="s">
        <v>10</v>
      </c>
      <c r="F478" s="8">
        <v>634.09</v>
      </c>
      <c r="G478" s="8">
        <v>2996.45</v>
      </c>
    </row>
    <row r="479" spans="1:7" x14ac:dyDescent="0.35">
      <c r="A479" s="2">
        <v>240887911</v>
      </c>
      <c r="B479" s="3" t="s">
        <v>226</v>
      </c>
      <c r="C479" s="3" t="s">
        <v>23</v>
      </c>
      <c r="D479" s="2">
        <v>4</v>
      </c>
      <c r="E479" s="3" t="s">
        <v>10</v>
      </c>
      <c r="F479" s="7">
        <v>205.98</v>
      </c>
      <c r="G479" s="7">
        <v>973.37</v>
      </c>
    </row>
    <row r="480" spans="1:7" x14ac:dyDescent="0.35">
      <c r="A480" s="2">
        <v>240888286</v>
      </c>
      <c r="B480" s="3" t="s">
        <v>226</v>
      </c>
      <c r="C480" s="3" t="s">
        <v>23</v>
      </c>
      <c r="D480" s="2">
        <v>24</v>
      </c>
      <c r="E480" s="3" t="s">
        <v>5</v>
      </c>
      <c r="F480" s="7">
        <v>701.76</v>
      </c>
      <c r="G480" s="7">
        <v>701.76</v>
      </c>
    </row>
    <row r="481" spans="1:7" x14ac:dyDescent="0.35">
      <c r="A481" s="2">
        <v>239650860</v>
      </c>
      <c r="B481" s="3" t="s">
        <v>227</v>
      </c>
      <c r="C481" s="3" t="s">
        <v>23</v>
      </c>
      <c r="D481" s="2">
        <v>4</v>
      </c>
      <c r="E481" s="3" t="s">
        <v>10</v>
      </c>
      <c r="F481" s="7">
        <v>401</v>
      </c>
      <c r="G481" s="7">
        <v>1814.74</v>
      </c>
    </row>
    <row r="482" spans="1:7" x14ac:dyDescent="0.35">
      <c r="A482" s="4">
        <v>239650860</v>
      </c>
      <c r="B482" s="5" t="s">
        <v>227</v>
      </c>
      <c r="C482" s="5" t="s">
        <v>23</v>
      </c>
      <c r="D482" s="4">
        <v>4</v>
      </c>
      <c r="E482" s="5" t="s">
        <v>10</v>
      </c>
      <c r="F482" s="8">
        <v>485</v>
      </c>
      <c r="G482" s="8">
        <v>2262.14</v>
      </c>
    </row>
    <row r="483" spans="1:7" x14ac:dyDescent="0.35">
      <c r="A483" s="2">
        <v>239657150</v>
      </c>
      <c r="B483" s="3" t="s">
        <v>228</v>
      </c>
      <c r="C483" s="3" t="s">
        <v>23</v>
      </c>
      <c r="D483" s="2">
        <v>4</v>
      </c>
      <c r="E483" s="3" t="s">
        <v>10</v>
      </c>
      <c r="F483" s="7">
        <v>35</v>
      </c>
      <c r="G483" s="7">
        <v>187.52</v>
      </c>
    </row>
    <row r="484" spans="1:7" x14ac:dyDescent="0.35">
      <c r="A484" s="4">
        <v>239657150</v>
      </c>
      <c r="B484" s="5" t="s">
        <v>228</v>
      </c>
      <c r="C484" s="5" t="s">
        <v>23</v>
      </c>
      <c r="D484" s="4">
        <v>4</v>
      </c>
      <c r="E484" s="5" t="s">
        <v>10</v>
      </c>
      <c r="F484" s="8">
        <v>521.6</v>
      </c>
      <c r="G484" s="8">
        <v>2794.51</v>
      </c>
    </row>
    <row r="485" spans="1:7" x14ac:dyDescent="0.35">
      <c r="A485" s="2">
        <v>239656201</v>
      </c>
      <c r="B485" s="3" t="s">
        <v>229</v>
      </c>
      <c r="C485" s="3" t="s">
        <v>23</v>
      </c>
      <c r="D485" s="2">
        <v>4</v>
      </c>
      <c r="E485" s="3" t="s">
        <v>10</v>
      </c>
      <c r="F485" s="7">
        <v>657.09</v>
      </c>
      <c r="G485" s="7">
        <v>3105.13</v>
      </c>
    </row>
    <row r="486" spans="1:7" x14ac:dyDescent="0.35">
      <c r="A486" s="4">
        <v>239656201</v>
      </c>
      <c r="B486" s="5" t="s">
        <v>229</v>
      </c>
      <c r="C486" s="5" t="s">
        <v>23</v>
      </c>
      <c r="D486" s="4">
        <v>4</v>
      </c>
      <c r="E486" s="5" t="s">
        <v>10</v>
      </c>
      <c r="F486" s="8">
        <v>245.46</v>
      </c>
      <c r="G486" s="8">
        <v>1159.95</v>
      </c>
    </row>
    <row r="487" spans="1:7" x14ac:dyDescent="0.35">
      <c r="A487" s="4">
        <v>239644523</v>
      </c>
      <c r="B487" s="5" t="s">
        <v>230</v>
      </c>
      <c r="C487" s="5" t="s">
        <v>23</v>
      </c>
      <c r="D487" s="4">
        <v>24</v>
      </c>
      <c r="E487" s="5" t="s">
        <v>5</v>
      </c>
      <c r="F487" s="8">
        <v>675.97</v>
      </c>
      <c r="G487" s="8">
        <v>675.97</v>
      </c>
    </row>
    <row r="488" spans="1:7" x14ac:dyDescent="0.35">
      <c r="A488" s="4">
        <v>239657486</v>
      </c>
      <c r="B488" s="5" t="s">
        <v>231</v>
      </c>
      <c r="C488" s="5" t="s">
        <v>23</v>
      </c>
      <c r="D488" s="4">
        <v>4</v>
      </c>
      <c r="E488" s="5" t="s">
        <v>10</v>
      </c>
      <c r="F488" s="8">
        <v>657.09</v>
      </c>
      <c r="G488" s="8">
        <v>3165.46</v>
      </c>
    </row>
    <row r="489" spans="1:7" x14ac:dyDescent="0.35">
      <c r="A489" s="2">
        <v>239657486</v>
      </c>
      <c r="B489" s="3" t="s">
        <v>231</v>
      </c>
      <c r="C489" s="3" t="s">
        <v>23</v>
      </c>
      <c r="D489" s="2">
        <v>4</v>
      </c>
      <c r="E489" s="3" t="s">
        <v>10</v>
      </c>
      <c r="F489" s="7">
        <v>166.8</v>
      </c>
      <c r="G489" s="7">
        <v>803.53</v>
      </c>
    </row>
    <row r="490" spans="1:7" x14ac:dyDescent="0.35">
      <c r="A490" s="2">
        <v>240888710</v>
      </c>
      <c r="B490" s="3" t="s">
        <v>232</v>
      </c>
      <c r="C490" s="3" t="s">
        <v>23</v>
      </c>
      <c r="D490" s="2">
        <v>4</v>
      </c>
      <c r="E490" s="3" t="s">
        <v>10</v>
      </c>
      <c r="F490" s="7">
        <v>1384.23</v>
      </c>
      <c r="G490" s="7">
        <v>6264.39</v>
      </c>
    </row>
    <row r="491" spans="1:7" x14ac:dyDescent="0.35">
      <c r="A491" s="2">
        <v>239660649</v>
      </c>
      <c r="B491" s="3" t="s">
        <v>233</v>
      </c>
      <c r="C491" s="3" t="s">
        <v>23</v>
      </c>
      <c r="D491" s="2">
        <v>15</v>
      </c>
      <c r="E491" s="3" t="s">
        <v>43</v>
      </c>
      <c r="F491" s="7">
        <v>2153.46</v>
      </c>
      <c r="G491" s="7">
        <v>2153.46</v>
      </c>
    </row>
    <row r="492" spans="1:7" x14ac:dyDescent="0.35">
      <c r="A492" s="2">
        <v>239655742</v>
      </c>
      <c r="B492" s="3" t="s">
        <v>234</v>
      </c>
      <c r="C492" s="3" t="s">
        <v>23</v>
      </c>
      <c r="D492" s="2">
        <v>4</v>
      </c>
      <c r="E492" s="3" t="s">
        <v>10</v>
      </c>
      <c r="F492" s="7">
        <v>843.36</v>
      </c>
      <c r="G492" s="7">
        <v>4062.79</v>
      </c>
    </row>
    <row r="493" spans="1:7" x14ac:dyDescent="0.35">
      <c r="A493" s="4">
        <v>239655742</v>
      </c>
      <c r="B493" s="5" t="s">
        <v>234</v>
      </c>
      <c r="C493" s="5" t="s">
        <v>23</v>
      </c>
      <c r="D493" s="4">
        <v>4</v>
      </c>
      <c r="E493" s="5" t="s">
        <v>10</v>
      </c>
      <c r="F493" s="8">
        <v>238.95</v>
      </c>
      <c r="G493" s="8">
        <v>1151.1199999999999</v>
      </c>
    </row>
    <row r="494" spans="1:7" x14ac:dyDescent="0.35">
      <c r="A494" s="4">
        <v>239660731</v>
      </c>
      <c r="B494" s="5" t="s">
        <v>235</v>
      </c>
      <c r="C494" s="5" t="s">
        <v>23</v>
      </c>
      <c r="D494" s="4">
        <v>24</v>
      </c>
      <c r="E494" s="5" t="s">
        <v>5</v>
      </c>
      <c r="F494" s="8">
        <v>164.27</v>
      </c>
      <c r="G494" s="8">
        <v>164.27</v>
      </c>
    </row>
    <row r="495" spans="1:7" x14ac:dyDescent="0.35">
      <c r="A495" s="2">
        <v>239653175</v>
      </c>
      <c r="B495" s="3" t="s">
        <v>236</v>
      </c>
      <c r="C495" s="3" t="s">
        <v>23</v>
      </c>
      <c r="D495" s="2">
        <v>24</v>
      </c>
      <c r="E495" s="3" t="s">
        <v>5</v>
      </c>
      <c r="F495" s="7">
        <v>186.43</v>
      </c>
      <c r="G495" s="7">
        <v>186.43</v>
      </c>
    </row>
    <row r="496" spans="1:7" x14ac:dyDescent="0.35">
      <c r="A496" s="2">
        <v>239661511</v>
      </c>
      <c r="B496" s="3" t="s">
        <v>237</v>
      </c>
      <c r="C496" s="3" t="s">
        <v>23</v>
      </c>
      <c r="D496" s="2">
        <v>4</v>
      </c>
      <c r="E496" s="3" t="s">
        <v>10</v>
      </c>
      <c r="F496" s="7">
        <v>95</v>
      </c>
      <c r="G496" s="7">
        <v>494.39</v>
      </c>
    </row>
    <row r="497" spans="1:7" x14ac:dyDescent="0.35">
      <c r="A497" s="4">
        <v>239661511</v>
      </c>
      <c r="B497" s="5" t="s">
        <v>237</v>
      </c>
      <c r="C497" s="5" t="s">
        <v>23</v>
      </c>
      <c r="D497" s="4">
        <v>4</v>
      </c>
      <c r="E497" s="5" t="s">
        <v>10</v>
      </c>
      <c r="F497" s="8">
        <v>2</v>
      </c>
      <c r="G497" s="8">
        <v>10.41</v>
      </c>
    </row>
    <row r="498" spans="1:7" x14ac:dyDescent="0.35">
      <c r="A498" s="2">
        <v>239661511</v>
      </c>
      <c r="B498" s="3" t="s">
        <v>237</v>
      </c>
      <c r="C498" s="3" t="s">
        <v>23</v>
      </c>
      <c r="D498" s="2">
        <v>4</v>
      </c>
      <c r="E498" s="3" t="s">
        <v>10</v>
      </c>
      <c r="F498" s="7">
        <v>1350</v>
      </c>
      <c r="G498" s="7">
        <v>7037.54</v>
      </c>
    </row>
    <row r="499" spans="1:7" x14ac:dyDescent="0.35">
      <c r="A499" s="4">
        <v>239661511</v>
      </c>
      <c r="B499" s="5" t="s">
        <v>237</v>
      </c>
      <c r="C499" s="5" t="s">
        <v>23</v>
      </c>
      <c r="D499" s="4">
        <v>4</v>
      </c>
      <c r="E499" s="5" t="s">
        <v>10</v>
      </c>
      <c r="F499" s="8">
        <v>2</v>
      </c>
      <c r="G499" s="8">
        <v>10.43</v>
      </c>
    </row>
    <row r="500" spans="1:7" x14ac:dyDescent="0.35">
      <c r="A500" s="4">
        <v>239649253</v>
      </c>
      <c r="B500" s="5" t="s">
        <v>238</v>
      </c>
      <c r="C500" s="5" t="s">
        <v>23</v>
      </c>
      <c r="D500" s="4">
        <v>4</v>
      </c>
      <c r="E500" s="5" t="s">
        <v>10</v>
      </c>
      <c r="F500" s="8">
        <v>1039</v>
      </c>
      <c r="G500" s="8">
        <v>4702.0200000000004</v>
      </c>
    </row>
    <row r="501" spans="1:7" x14ac:dyDescent="0.35">
      <c r="A501" s="2">
        <v>239646102</v>
      </c>
      <c r="B501" s="3" t="s">
        <v>239</v>
      </c>
      <c r="C501" s="3" t="s">
        <v>23</v>
      </c>
      <c r="D501" s="2">
        <v>4</v>
      </c>
      <c r="E501" s="3" t="s">
        <v>10</v>
      </c>
      <c r="F501" s="7">
        <v>1179.75</v>
      </c>
      <c r="G501" s="7">
        <v>5732.85</v>
      </c>
    </row>
    <row r="502" spans="1:7" x14ac:dyDescent="0.35">
      <c r="A502" s="4">
        <v>239646102</v>
      </c>
      <c r="B502" s="5" t="s">
        <v>239</v>
      </c>
      <c r="C502" s="5" t="s">
        <v>23</v>
      </c>
      <c r="D502" s="4">
        <v>4</v>
      </c>
      <c r="E502" s="5" t="s">
        <v>10</v>
      </c>
      <c r="F502" s="8">
        <v>74.72</v>
      </c>
      <c r="G502" s="8">
        <v>363.09</v>
      </c>
    </row>
    <row r="503" spans="1:7" x14ac:dyDescent="0.35">
      <c r="A503" s="2">
        <v>239646102</v>
      </c>
      <c r="B503" s="3" t="s">
        <v>239</v>
      </c>
      <c r="C503" s="3" t="s">
        <v>23</v>
      </c>
      <c r="D503" s="2">
        <v>4</v>
      </c>
      <c r="E503" s="3" t="s">
        <v>10</v>
      </c>
      <c r="F503" s="7">
        <v>93.1</v>
      </c>
      <c r="G503" s="7">
        <v>450.8</v>
      </c>
    </row>
    <row r="504" spans="1:7" x14ac:dyDescent="0.35">
      <c r="A504" s="4">
        <v>239646102</v>
      </c>
      <c r="B504" s="5" t="s">
        <v>239</v>
      </c>
      <c r="C504" s="5" t="s">
        <v>23</v>
      </c>
      <c r="D504" s="4">
        <v>4</v>
      </c>
      <c r="E504" s="5" t="s">
        <v>10</v>
      </c>
      <c r="F504" s="8">
        <v>7.58</v>
      </c>
      <c r="G504" s="8">
        <v>36.71</v>
      </c>
    </row>
    <row r="505" spans="1:7" x14ac:dyDescent="0.35">
      <c r="A505" s="2">
        <v>239646102</v>
      </c>
      <c r="B505" s="3" t="s">
        <v>239</v>
      </c>
      <c r="C505" s="3" t="s">
        <v>23</v>
      </c>
      <c r="D505" s="2">
        <v>4</v>
      </c>
      <c r="E505" s="3" t="s">
        <v>10</v>
      </c>
      <c r="F505" s="7">
        <v>2532.91</v>
      </c>
      <c r="G505" s="7">
        <v>12290.65</v>
      </c>
    </row>
    <row r="506" spans="1:7" x14ac:dyDescent="0.35">
      <c r="A506" s="4">
        <v>239646102</v>
      </c>
      <c r="B506" s="5" t="s">
        <v>239</v>
      </c>
      <c r="C506" s="5" t="s">
        <v>23</v>
      </c>
      <c r="D506" s="4">
        <v>4</v>
      </c>
      <c r="E506" s="5" t="s">
        <v>10</v>
      </c>
      <c r="F506" s="8">
        <v>320.83</v>
      </c>
      <c r="G506" s="8">
        <v>1556.79</v>
      </c>
    </row>
    <row r="507" spans="1:7" x14ac:dyDescent="0.35">
      <c r="A507" s="4">
        <v>239642931</v>
      </c>
      <c r="B507" s="5" t="s">
        <v>240</v>
      </c>
      <c r="C507" s="5" t="s">
        <v>23</v>
      </c>
      <c r="D507" s="4">
        <v>4</v>
      </c>
      <c r="E507" s="5" t="s">
        <v>10</v>
      </c>
      <c r="F507" s="8">
        <v>269</v>
      </c>
      <c r="G507" s="8">
        <v>1254.67</v>
      </c>
    </row>
    <row r="508" spans="1:7" x14ac:dyDescent="0.35">
      <c r="A508" s="4">
        <v>240915492</v>
      </c>
      <c r="B508" s="5" t="s">
        <v>241</v>
      </c>
      <c r="C508" s="5" t="s">
        <v>23</v>
      </c>
      <c r="D508" s="4">
        <v>4</v>
      </c>
      <c r="E508" s="5" t="s">
        <v>10</v>
      </c>
      <c r="F508" s="8">
        <v>797.25</v>
      </c>
      <c r="G508" s="8">
        <v>3874.13</v>
      </c>
    </row>
    <row r="509" spans="1:7" x14ac:dyDescent="0.35">
      <c r="A509" s="2">
        <v>240915492</v>
      </c>
      <c r="B509" s="3" t="s">
        <v>241</v>
      </c>
      <c r="C509" s="3" t="s">
        <v>23</v>
      </c>
      <c r="D509" s="2">
        <v>4</v>
      </c>
      <c r="E509" s="3" t="s">
        <v>10</v>
      </c>
      <c r="F509" s="7">
        <v>50.49</v>
      </c>
      <c r="G509" s="7">
        <v>245.36</v>
      </c>
    </row>
    <row r="510" spans="1:7" x14ac:dyDescent="0.35">
      <c r="A510" s="4">
        <v>240915492</v>
      </c>
      <c r="B510" s="5" t="s">
        <v>241</v>
      </c>
      <c r="C510" s="5" t="s">
        <v>23</v>
      </c>
      <c r="D510" s="4">
        <v>4</v>
      </c>
      <c r="E510" s="5" t="s">
        <v>10</v>
      </c>
      <c r="F510" s="8">
        <v>673.03</v>
      </c>
      <c r="G510" s="8">
        <v>3258.93</v>
      </c>
    </row>
    <row r="511" spans="1:7" x14ac:dyDescent="0.35">
      <c r="A511" s="2">
        <v>240915492</v>
      </c>
      <c r="B511" s="3" t="s">
        <v>241</v>
      </c>
      <c r="C511" s="3" t="s">
        <v>23</v>
      </c>
      <c r="D511" s="2">
        <v>4</v>
      </c>
      <c r="E511" s="3" t="s">
        <v>10</v>
      </c>
      <c r="F511" s="7">
        <v>85.25</v>
      </c>
      <c r="G511" s="7">
        <v>412.8</v>
      </c>
    </row>
    <row r="512" spans="1:7" x14ac:dyDescent="0.35">
      <c r="A512" s="4">
        <v>239645054</v>
      </c>
      <c r="B512" s="5" t="s">
        <v>242</v>
      </c>
      <c r="C512" s="5" t="s">
        <v>23</v>
      </c>
      <c r="D512" s="4">
        <v>4</v>
      </c>
      <c r="E512" s="5" t="s">
        <v>10</v>
      </c>
      <c r="F512" s="8">
        <v>797.25</v>
      </c>
      <c r="G512" s="8">
        <v>3874.13</v>
      </c>
    </row>
    <row r="513" spans="1:7" x14ac:dyDescent="0.35">
      <c r="A513" s="2">
        <v>239645054</v>
      </c>
      <c r="B513" s="3" t="s">
        <v>242</v>
      </c>
      <c r="C513" s="3" t="s">
        <v>23</v>
      </c>
      <c r="D513" s="2">
        <v>4</v>
      </c>
      <c r="E513" s="3" t="s">
        <v>10</v>
      </c>
      <c r="F513" s="7">
        <v>50.49</v>
      </c>
      <c r="G513" s="7">
        <v>245.36</v>
      </c>
    </row>
    <row r="514" spans="1:7" x14ac:dyDescent="0.35">
      <c r="A514" s="4">
        <v>239645054</v>
      </c>
      <c r="B514" s="5" t="s">
        <v>242</v>
      </c>
      <c r="C514" s="5" t="s">
        <v>23</v>
      </c>
      <c r="D514" s="4">
        <v>4</v>
      </c>
      <c r="E514" s="5" t="s">
        <v>10</v>
      </c>
      <c r="F514" s="8">
        <v>672.17</v>
      </c>
      <c r="G514" s="8">
        <v>3254.76</v>
      </c>
    </row>
    <row r="515" spans="1:7" x14ac:dyDescent="0.35">
      <c r="A515" s="2">
        <v>239645054</v>
      </c>
      <c r="B515" s="3" t="s">
        <v>242</v>
      </c>
      <c r="C515" s="3" t="s">
        <v>23</v>
      </c>
      <c r="D515" s="2">
        <v>4</v>
      </c>
      <c r="E515" s="3" t="s">
        <v>10</v>
      </c>
      <c r="F515" s="7">
        <v>85.14</v>
      </c>
      <c r="G515" s="7">
        <v>412.27</v>
      </c>
    </row>
    <row r="516" spans="1:7" x14ac:dyDescent="0.35">
      <c r="A516" s="4">
        <v>239644367</v>
      </c>
      <c r="B516" s="5" t="s">
        <v>243</v>
      </c>
      <c r="C516" s="5" t="s">
        <v>23</v>
      </c>
      <c r="D516" s="4">
        <v>4</v>
      </c>
      <c r="E516" s="5" t="s">
        <v>10</v>
      </c>
      <c r="F516" s="8">
        <v>47.5</v>
      </c>
      <c r="G516" s="8">
        <v>228.82</v>
      </c>
    </row>
    <row r="517" spans="1:7" x14ac:dyDescent="0.35">
      <c r="A517" s="2">
        <v>239644367</v>
      </c>
      <c r="B517" s="3" t="s">
        <v>243</v>
      </c>
      <c r="C517" s="3" t="s">
        <v>23</v>
      </c>
      <c r="D517" s="2">
        <v>4</v>
      </c>
      <c r="E517" s="3" t="s">
        <v>10</v>
      </c>
      <c r="F517" s="7">
        <v>0.5</v>
      </c>
      <c r="G517" s="7">
        <v>2.42</v>
      </c>
    </row>
    <row r="518" spans="1:7" x14ac:dyDescent="0.35">
      <c r="A518" s="4">
        <v>239657281</v>
      </c>
      <c r="B518" s="5" t="s">
        <v>244</v>
      </c>
      <c r="C518" s="5" t="s">
        <v>23</v>
      </c>
      <c r="D518" s="4">
        <v>4</v>
      </c>
      <c r="E518" s="5" t="s">
        <v>10</v>
      </c>
      <c r="F518" s="8">
        <v>440</v>
      </c>
      <c r="G518" s="8">
        <v>2707.19</v>
      </c>
    </row>
    <row r="519" spans="1:7" x14ac:dyDescent="0.35">
      <c r="A519" s="2">
        <v>239657281</v>
      </c>
      <c r="B519" s="3" t="s">
        <v>244</v>
      </c>
      <c r="C519" s="3" t="s">
        <v>23</v>
      </c>
      <c r="D519" s="2">
        <v>4</v>
      </c>
      <c r="E519" s="3" t="s">
        <v>10</v>
      </c>
      <c r="F519" s="7">
        <v>150</v>
      </c>
      <c r="G519" s="7">
        <v>922.89</v>
      </c>
    </row>
    <row r="520" spans="1:7" x14ac:dyDescent="0.35">
      <c r="A520" s="4">
        <v>239657281</v>
      </c>
      <c r="B520" s="5" t="s">
        <v>244</v>
      </c>
      <c r="C520" s="5" t="s">
        <v>23</v>
      </c>
      <c r="D520" s="4">
        <v>4</v>
      </c>
      <c r="E520" s="5" t="s">
        <v>10</v>
      </c>
      <c r="F520" s="8">
        <v>475</v>
      </c>
      <c r="G520" s="8">
        <v>2891.44</v>
      </c>
    </row>
    <row r="521" spans="1:7" x14ac:dyDescent="0.35">
      <c r="A521" s="2">
        <v>240503924</v>
      </c>
      <c r="B521" s="3" t="s">
        <v>244</v>
      </c>
      <c r="C521" s="3" t="s">
        <v>23</v>
      </c>
      <c r="D521" s="2">
        <v>25</v>
      </c>
      <c r="E521" s="3" t="s">
        <v>245</v>
      </c>
      <c r="F521" s="7">
        <v>190</v>
      </c>
      <c r="G521" s="7">
        <v>1102.68</v>
      </c>
    </row>
    <row r="522" spans="1:7" x14ac:dyDescent="0.35">
      <c r="A522" s="2">
        <v>240915017</v>
      </c>
      <c r="B522" s="3" t="s">
        <v>246</v>
      </c>
      <c r="C522" s="3" t="s">
        <v>23</v>
      </c>
      <c r="D522" s="2">
        <v>24</v>
      </c>
      <c r="E522" s="3" t="s">
        <v>5</v>
      </c>
      <c r="F522" s="7">
        <v>379.86</v>
      </c>
      <c r="G522" s="7">
        <v>379.86</v>
      </c>
    </row>
    <row r="523" spans="1:7" x14ac:dyDescent="0.35">
      <c r="A523" s="2">
        <v>239648625</v>
      </c>
      <c r="B523" s="3" t="s">
        <v>247</v>
      </c>
      <c r="C523" s="3" t="s">
        <v>23</v>
      </c>
      <c r="D523" s="2">
        <v>4</v>
      </c>
      <c r="E523" s="3" t="s">
        <v>10</v>
      </c>
      <c r="F523" s="7">
        <v>6444.79</v>
      </c>
      <c r="G523" s="7">
        <v>28473.87</v>
      </c>
    </row>
    <row r="524" spans="1:7" x14ac:dyDescent="0.35">
      <c r="A524" s="4">
        <v>239648625</v>
      </c>
      <c r="B524" s="5" t="s">
        <v>247</v>
      </c>
      <c r="C524" s="5" t="s">
        <v>23</v>
      </c>
      <c r="D524" s="4">
        <v>4</v>
      </c>
      <c r="E524" s="5" t="s">
        <v>10</v>
      </c>
      <c r="F524" s="8">
        <v>1224.51</v>
      </c>
      <c r="G524" s="8">
        <v>5410.04</v>
      </c>
    </row>
    <row r="525" spans="1:7" x14ac:dyDescent="0.35">
      <c r="A525" s="4">
        <v>239645639</v>
      </c>
      <c r="B525" s="5" t="s">
        <v>248</v>
      </c>
      <c r="C525" s="5" t="s">
        <v>23</v>
      </c>
      <c r="D525" s="4">
        <v>8</v>
      </c>
      <c r="E525" s="5" t="s">
        <v>36</v>
      </c>
      <c r="F525" s="8">
        <v>14282.53</v>
      </c>
      <c r="G525" s="8">
        <v>14282.53</v>
      </c>
    </row>
    <row r="526" spans="1:7" x14ac:dyDescent="0.35">
      <c r="A526" s="2">
        <v>239655928</v>
      </c>
      <c r="B526" s="3" t="s">
        <v>248</v>
      </c>
      <c r="C526" s="3" t="s">
        <v>23</v>
      </c>
      <c r="D526" s="2">
        <v>4</v>
      </c>
      <c r="E526" s="3" t="s">
        <v>10</v>
      </c>
      <c r="F526" s="7">
        <v>23190.14</v>
      </c>
      <c r="G526" s="7">
        <v>23190.14</v>
      </c>
    </row>
    <row r="527" spans="1:7" x14ac:dyDescent="0.35">
      <c r="A527" s="4">
        <v>239644158</v>
      </c>
      <c r="B527" s="5" t="s">
        <v>248</v>
      </c>
      <c r="C527" s="5" t="s">
        <v>23</v>
      </c>
      <c r="D527" s="4">
        <v>24</v>
      </c>
      <c r="E527" s="5" t="s">
        <v>5</v>
      </c>
      <c r="F527" s="8">
        <v>455.48</v>
      </c>
      <c r="G527" s="8">
        <v>455.48</v>
      </c>
    </row>
    <row r="528" spans="1:7" x14ac:dyDescent="0.35">
      <c r="A528" s="2">
        <v>239662232</v>
      </c>
      <c r="B528" s="3" t="s">
        <v>248</v>
      </c>
      <c r="C528" s="3" t="s">
        <v>23</v>
      </c>
      <c r="D528" s="2">
        <v>26</v>
      </c>
      <c r="E528" s="3" t="s">
        <v>249</v>
      </c>
      <c r="F528" s="7">
        <v>2398.09</v>
      </c>
      <c r="G528" s="7">
        <v>2398.09</v>
      </c>
    </row>
    <row r="529" spans="1:7" x14ac:dyDescent="0.35">
      <c r="A529" s="4">
        <v>239639821</v>
      </c>
      <c r="B529" s="5" t="s">
        <v>250</v>
      </c>
      <c r="C529" s="5" t="s">
        <v>23</v>
      </c>
      <c r="D529" s="4">
        <v>4</v>
      </c>
      <c r="E529" s="5" t="s">
        <v>10</v>
      </c>
      <c r="F529" s="8">
        <v>627</v>
      </c>
      <c r="G529" s="8">
        <v>2923.34</v>
      </c>
    </row>
    <row r="530" spans="1:7" x14ac:dyDescent="0.35">
      <c r="A530" s="2">
        <v>239649175</v>
      </c>
      <c r="B530" s="3" t="s">
        <v>251</v>
      </c>
      <c r="C530" s="3" t="s">
        <v>23</v>
      </c>
      <c r="D530" s="2">
        <v>6</v>
      </c>
      <c r="E530" s="3" t="s">
        <v>8</v>
      </c>
      <c r="F530" s="7">
        <v>255</v>
      </c>
      <c r="G530" s="7">
        <v>1365.55</v>
      </c>
    </row>
    <row r="531" spans="1:7" x14ac:dyDescent="0.35">
      <c r="A531" s="4">
        <v>239651543</v>
      </c>
      <c r="B531" s="5" t="s">
        <v>252</v>
      </c>
      <c r="C531" s="5" t="s">
        <v>23</v>
      </c>
      <c r="D531" s="4">
        <v>4</v>
      </c>
      <c r="E531" s="5" t="s">
        <v>10</v>
      </c>
      <c r="F531" s="8">
        <v>418</v>
      </c>
      <c r="G531" s="8">
        <v>1984.15</v>
      </c>
    </row>
    <row r="532" spans="1:7" x14ac:dyDescent="0.35">
      <c r="A532" s="4">
        <v>240888573</v>
      </c>
      <c r="B532" s="5" t="s">
        <v>253</v>
      </c>
      <c r="C532" s="5" t="s">
        <v>23</v>
      </c>
      <c r="D532" s="4">
        <v>24</v>
      </c>
      <c r="E532" s="5" t="s">
        <v>5</v>
      </c>
      <c r="F532" s="8">
        <v>376.48</v>
      </c>
      <c r="G532" s="8">
        <v>376.48</v>
      </c>
    </row>
    <row r="533" spans="1:7" x14ac:dyDescent="0.35">
      <c r="A533" s="4">
        <v>239650271</v>
      </c>
      <c r="B533" s="5" t="s">
        <v>254</v>
      </c>
      <c r="C533" s="5" t="s">
        <v>23</v>
      </c>
      <c r="D533" s="4">
        <v>4</v>
      </c>
      <c r="E533" s="5" t="s">
        <v>10</v>
      </c>
      <c r="F533" s="8">
        <v>5342.39</v>
      </c>
      <c r="G533" s="8">
        <v>5342.39</v>
      </c>
    </row>
    <row r="534" spans="1:7" x14ac:dyDescent="0.35">
      <c r="A534" s="2">
        <v>239659352</v>
      </c>
      <c r="B534" s="3" t="s">
        <v>254</v>
      </c>
      <c r="C534" s="3" t="s">
        <v>23</v>
      </c>
      <c r="D534" s="2">
        <v>24</v>
      </c>
      <c r="E534" s="3" t="s">
        <v>5</v>
      </c>
      <c r="F534" s="7">
        <v>334.86</v>
      </c>
      <c r="G534" s="7">
        <v>334.86</v>
      </c>
    </row>
    <row r="535" spans="1:7" x14ac:dyDescent="0.35">
      <c r="A535" s="4">
        <v>239644937</v>
      </c>
      <c r="B535" s="5" t="s">
        <v>255</v>
      </c>
      <c r="C535" s="5" t="s">
        <v>23</v>
      </c>
      <c r="D535" s="4">
        <v>4</v>
      </c>
      <c r="E535" s="5" t="s">
        <v>10</v>
      </c>
      <c r="F535" s="8">
        <v>4488.58</v>
      </c>
      <c r="G535" s="8">
        <v>20483.28</v>
      </c>
    </row>
    <row r="536" spans="1:7" x14ac:dyDescent="0.35">
      <c r="A536" s="2">
        <v>239644937</v>
      </c>
      <c r="B536" s="3" t="s">
        <v>255</v>
      </c>
      <c r="C536" s="3" t="s">
        <v>23</v>
      </c>
      <c r="D536" s="2">
        <v>4</v>
      </c>
      <c r="E536" s="3" t="s">
        <v>10</v>
      </c>
      <c r="F536" s="7">
        <v>138.83000000000001</v>
      </c>
      <c r="G536" s="7">
        <v>633.54</v>
      </c>
    </row>
    <row r="537" spans="1:7" x14ac:dyDescent="0.35">
      <c r="A537" s="4">
        <v>239647085</v>
      </c>
      <c r="B537" s="5" t="s">
        <v>256</v>
      </c>
      <c r="C537" s="5" t="s">
        <v>23</v>
      </c>
      <c r="D537" s="4">
        <v>4</v>
      </c>
      <c r="E537" s="5" t="s">
        <v>10</v>
      </c>
      <c r="F537" s="8">
        <v>4187.88</v>
      </c>
      <c r="G537" s="8">
        <v>4187.88</v>
      </c>
    </row>
    <row r="538" spans="1:7" x14ac:dyDescent="0.35">
      <c r="A538" s="2">
        <v>239647085</v>
      </c>
      <c r="B538" s="3" t="s">
        <v>256</v>
      </c>
      <c r="C538" s="3" t="s">
        <v>23</v>
      </c>
      <c r="D538" s="2">
        <v>4</v>
      </c>
      <c r="E538" s="3" t="s">
        <v>10</v>
      </c>
      <c r="F538" s="7">
        <v>267.18</v>
      </c>
      <c r="G538" s="7">
        <v>267.18</v>
      </c>
    </row>
    <row r="539" spans="1:7" x14ac:dyDescent="0.35">
      <c r="A539" s="4">
        <v>239647085</v>
      </c>
      <c r="B539" s="5" t="s">
        <v>256</v>
      </c>
      <c r="C539" s="5" t="s">
        <v>23</v>
      </c>
      <c r="D539" s="4">
        <v>4</v>
      </c>
      <c r="E539" s="5" t="s">
        <v>10</v>
      </c>
      <c r="F539" s="8">
        <v>44</v>
      </c>
      <c r="G539" s="8">
        <v>44</v>
      </c>
    </row>
    <row r="540" spans="1:7" x14ac:dyDescent="0.35">
      <c r="A540" s="2">
        <v>239642661</v>
      </c>
      <c r="B540" s="3" t="s">
        <v>257</v>
      </c>
      <c r="C540" s="3" t="s">
        <v>23</v>
      </c>
      <c r="D540" s="2">
        <v>4</v>
      </c>
      <c r="E540" s="3" t="s">
        <v>10</v>
      </c>
      <c r="F540" s="7">
        <v>860.25</v>
      </c>
      <c r="G540" s="7">
        <v>4153.3500000000004</v>
      </c>
    </row>
    <row r="541" spans="1:7" x14ac:dyDescent="0.35">
      <c r="A541" s="4">
        <v>239642661</v>
      </c>
      <c r="B541" s="5" t="s">
        <v>257</v>
      </c>
      <c r="C541" s="5" t="s">
        <v>23</v>
      </c>
      <c r="D541" s="4">
        <v>4</v>
      </c>
      <c r="E541" s="5" t="s">
        <v>10</v>
      </c>
      <c r="F541" s="8">
        <v>54.48</v>
      </c>
      <c r="G541" s="8">
        <v>263.02999999999997</v>
      </c>
    </row>
    <row r="542" spans="1:7" x14ac:dyDescent="0.35">
      <c r="A542" s="4">
        <v>239651826</v>
      </c>
      <c r="B542" s="5" t="s">
        <v>258</v>
      </c>
      <c r="C542" s="5" t="s">
        <v>23</v>
      </c>
      <c r="D542" s="4">
        <v>4</v>
      </c>
      <c r="E542" s="5" t="s">
        <v>10</v>
      </c>
      <c r="F542" s="8">
        <v>2755.5</v>
      </c>
      <c r="G542" s="8">
        <v>13303.8</v>
      </c>
    </row>
    <row r="543" spans="1:7" x14ac:dyDescent="0.35">
      <c r="A543" s="2">
        <v>239651826</v>
      </c>
      <c r="B543" s="3" t="s">
        <v>258</v>
      </c>
      <c r="C543" s="3" t="s">
        <v>23</v>
      </c>
      <c r="D543" s="2">
        <v>4</v>
      </c>
      <c r="E543" s="3" t="s">
        <v>10</v>
      </c>
      <c r="F543" s="7">
        <v>174.52</v>
      </c>
      <c r="G543" s="7">
        <v>842.59</v>
      </c>
    </row>
    <row r="544" spans="1:7" x14ac:dyDescent="0.35">
      <c r="A544" s="2">
        <v>239651446</v>
      </c>
      <c r="B544" s="3" t="s">
        <v>259</v>
      </c>
      <c r="C544" s="3" t="s">
        <v>23</v>
      </c>
      <c r="D544" s="2">
        <v>6</v>
      </c>
      <c r="E544" s="3" t="s">
        <v>8</v>
      </c>
      <c r="F544" s="7">
        <v>244</v>
      </c>
      <c r="G544" s="7">
        <v>1485.31</v>
      </c>
    </row>
    <row r="545" spans="1:7" x14ac:dyDescent="0.35">
      <c r="A545" s="2">
        <v>239658101</v>
      </c>
      <c r="B545" s="3" t="s">
        <v>260</v>
      </c>
      <c r="C545" s="3" t="s">
        <v>23</v>
      </c>
      <c r="D545" s="2">
        <v>6</v>
      </c>
      <c r="E545" s="3" t="s">
        <v>8</v>
      </c>
      <c r="F545" s="7">
        <v>221</v>
      </c>
      <c r="G545" s="7">
        <v>1063.31</v>
      </c>
    </row>
    <row r="546" spans="1:7" x14ac:dyDescent="0.35">
      <c r="A546" s="2">
        <v>239643802</v>
      </c>
      <c r="B546" s="3" t="s">
        <v>261</v>
      </c>
      <c r="C546" s="3" t="s">
        <v>23</v>
      </c>
      <c r="D546" s="2">
        <v>4</v>
      </c>
      <c r="E546" s="3" t="s">
        <v>10</v>
      </c>
      <c r="F546" s="7">
        <v>1487.04</v>
      </c>
      <c r="G546" s="7">
        <v>7985.97</v>
      </c>
    </row>
    <row r="547" spans="1:7" x14ac:dyDescent="0.35">
      <c r="A547" s="2">
        <v>239654700</v>
      </c>
      <c r="B547" s="3" t="s">
        <v>262</v>
      </c>
      <c r="C547" s="3" t="s">
        <v>23</v>
      </c>
      <c r="D547" s="2">
        <v>4</v>
      </c>
      <c r="E547" s="3" t="s">
        <v>10</v>
      </c>
      <c r="F547" s="7">
        <v>960.36</v>
      </c>
      <c r="G547" s="7">
        <v>5157.51</v>
      </c>
    </row>
    <row r="548" spans="1:7" x14ac:dyDescent="0.35">
      <c r="A548" s="4">
        <v>240888651</v>
      </c>
      <c r="B548" s="5" t="s">
        <v>263</v>
      </c>
      <c r="C548" s="5" t="s">
        <v>23</v>
      </c>
      <c r="D548" s="4">
        <v>4</v>
      </c>
      <c r="E548" s="5" t="s">
        <v>10</v>
      </c>
      <c r="F548" s="8">
        <v>355</v>
      </c>
      <c r="G548" s="8">
        <v>1622.13</v>
      </c>
    </row>
    <row r="549" spans="1:7" x14ac:dyDescent="0.35">
      <c r="A549" s="2">
        <v>240888651</v>
      </c>
      <c r="B549" s="3" t="s">
        <v>263</v>
      </c>
      <c r="C549" s="3" t="s">
        <v>23</v>
      </c>
      <c r="D549" s="2">
        <v>4</v>
      </c>
      <c r="E549" s="3" t="s">
        <v>10</v>
      </c>
      <c r="F549" s="7">
        <v>510</v>
      </c>
      <c r="G549" s="7">
        <v>2330.37</v>
      </c>
    </row>
    <row r="550" spans="1:7" x14ac:dyDescent="0.35">
      <c r="A550" s="2">
        <v>239649667</v>
      </c>
      <c r="B550" s="3" t="s">
        <v>264</v>
      </c>
      <c r="C550" s="3" t="s">
        <v>23</v>
      </c>
      <c r="D550" s="2">
        <v>4</v>
      </c>
      <c r="E550" s="3" t="s">
        <v>10</v>
      </c>
      <c r="F550" s="7">
        <v>668.26</v>
      </c>
      <c r="G550" s="7">
        <v>3247.34</v>
      </c>
    </row>
    <row r="551" spans="1:7" x14ac:dyDescent="0.35">
      <c r="A551" s="4">
        <v>239649667</v>
      </c>
      <c r="B551" s="5" t="s">
        <v>264</v>
      </c>
      <c r="C551" s="5" t="s">
        <v>23</v>
      </c>
      <c r="D551" s="4">
        <v>4</v>
      </c>
      <c r="E551" s="5" t="s">
        <v>10</v>
      </c>
      <c r="F551" s="8">
        <v>296.16000000000003</v>
      </c>
      <c r="G551" s="8">
        <v>1439.15</v>
      </c>
    </row>
    <row r="552" spans="1:7" x14ac:dyDescent="0.35">
      <c r="A552" s="2">
        <v>239649667</v>
      </c>
      <c r="B552" s="3" t="s">
        <v>264</v>
      </c>
      <c r="C552" s="3" t="s">
        <v>23</v>
      </c>
      <c r="D552" s="2">
        <v>4</v>
      </c>
      <c r="E552" s="3" t="s">
        <v>10</v>
      </c>
      <c r="F552" s="7">
        <v>397.8</v>
      </c>
      <c r="G552" s="7">
        <v>1926.22</v>
      </c>
    </row>
    <row r="553" spans="1:7" x14ac:dyDescent="0.35">
      <c r="A553" s="4">
        <v>239649667</v>
      </c>
      <c r="B553" s="5" t="s">
        <v>264</v>
      </c>
      <c r="C553" s="5" t="s">
        <v>23</v>
      </c>
      <c r="D553" s="4">
        <v>4</v>
      </c>
      <c r="E553" s="5" t="s">
        <v>10</v>
      </c>
      <c r="F553" s="8">
        <v>13.34</v>
      </c>
      <c r="G553" s="8">
        <v>64.59</v>
      </c>
    </row>
    <row r="554" spans="1:7" x14ac:dyDescent="0.35">
      <c r="A554" s="2">
        <v>239639777</v>
      </c>
      <c r="B554" s="3" t="s">
        <v>265</v>
      </c>
      <c r="C554" s="3" t="s">
        <v>23</v>
      </c>
      <c r="D554" s="2">
        <v>4</v>
      </c>
      <c r="E554" s="3" t="s">
        <v>10</v>
      </c>
      <c r="F554" s="7">
        <v>881.25</v>
      </c>
      <c r="G554" s="7">
        <v>4732.6400000000003</v>
      </c>
    </row>
    <row r="555" spans="1:7" x14ac:dyDescent="0.35">
      <c r="A555" s="4">
        <v>239639777</v>
      </c>
      <c r="B555" s="5" t="s">
        <v>265</v>
      </c>
      <c r="C555" s="5" t="s">
        <v>23</v>
      </c>
      <c r="D555" s="4">
        <v>4</v>
      </c>
      <c r="E555" s="5" t="s">
        <v>10</v>
      </c>
      <c r="F555" s="8">
        <v>116.3</v>
      </c>
      <c r="G555" s="8">
        <v>624.57000000000005</v>
      </c>
    </row>
    <row r="556" spans="1:7" x14ac:dyDescent="0.35">
      <c r="A556" s="4">
        <v>239715691</v>
      </c>
      <c r="B556" s="5" t="s">
        <v>266</v>
      </c>
      <c r="C556" s="5" t="s">
        <v>23</v>
      </c>
      <c r="D556" s="4">
        <v>4</v>
      </c>
      <c r="E556" s="5" t="s">
        <v>10</v>
      </c>
      <c r="F556" s="8">
        <v>812.99</v>
      </c>
      <c r="G556" s="8">
        <v>4366.0600000000004</v>
      </c>
    </row>
    <row r="557" spans="1:7" x14ac:dyDescent="0.35">
      <c r="A557" s="2">
        <v>239715989</v>
      </c>
      <c r="B557" s="3" t="s">
        <v>267</v>
      </c>
      <c r="C557" s="3" t="s">
        <v>23</v>
      </c>
      <c r="D557" s="2">
        <v>4</v>
      </c>
      <c r="E557" s="3" t="s">
        <v>10</v>
      </c>
      <c r="F557" s="7">
        <v>845.19</v>
      </c>
      <c r="G557" s="7">
        <v>4538.99</v>
      </c>
    </row>
    <row r="558" spans="1:7" x14ac:dyDescent="0.35">
      <c r="A558" s="2">
        <v>239650949</v>
      </c>
      <c r="B558" s="3" t="s">
        <v>268</v>
      </c>
      <c r="C558" s="3" t="s">
        <v>23</v>
      </c>
      <c r="D558" s="2">
        <v>4</v>
      </c>
      <c r="E558" s="3" t="s">
        <v>10</v>
      </c>
      <c r="F558" s="7">
        <v>221.15</v>
      </c>
      <c r="G558" s="7">
        <v>1166.98</v>
      </c>
    </row>
    <row r="559" spans="1:7" x14ac:dyDescent="0.35">
      <c r="A559" s="4">
        <v>239650949</v>
      </c>
      <c r="B559" s="5" t="s">
        <v>268</v>
      </c>
      <c r="C559" s="5" t="s">
        <v>23</v>
      </c>
      <c r="D559" s="4">
        <v>4</v>
      </c>
      <c r="E559" s="5" t="s">
        <v>10</v>
      </c>
      <c r="F559" s="8">
        <v>226.26</v>
      </c>
      <c r="G559" s="8">
        <v>1193.94</v>
      </c>
    </row>
    <row r="560" spans="1:7" x14ac:dyDescent="0.35">
      <c r="A560" s="4">
        <v>239652473</v>
      </c>
      <c r="B560" s="5" t="s">
        <v>268</v>
      </c>
      <c r="C560" s="5" t="s">
        <v>23</v>
      </c>
      <c r="D560" s="4">
        <v>19</v>
      </c>
      <c r="E560" s="5" t="s">
        <v>103</v>
      </c>
      <c r="F560" s="8">
        <v>4115.79</v>
      </c>
      <c r="G560" s="8">
        <v>4115.79</v>
      </c>
    </row>
    <row r="561" spans="1:7" x14ac:dyDescent="0.35">
      <c r="A561" s="2">
        <v>239650949</v>
      </c>
      <c r="B561" s="3" t="s">
        <v>268</v>
      </c>
      <c r="C561" s="3" t="s">
        <v>23</v>
      </c>
      <c r="D561" s="2">
        <v>4</v>
      </c>
      <c r="E561" s="3" t="s">
        <v>10</v>
      </c>
      <c r="F561" s="7">
        <v>12849.15</v>
      </c>
      <c r="G561" s="7">
        <v>66869.509999999995</v>
      </c>
    </row>
    <row r="562" spans="1:7" x14ac:dyDescent="0.35">
      <c r="A562" s="4">
        <v>239651300</v>
      </c>
      <c r="B562" s="5" t="s">
        <v>268</v>
      </c>
      <c r="C562" s="5" t="s">
        <v>23</v>
      </c>
      <c r="D562" s="4">
        <v>24</v>
      </c>
      <c r="E562" s="5" t="s">
        <v>5</v>
      </c>
      <c r="F562" s="8">
        <v>201.02</v>
      </c>
      <c r="G562" s="8">
        <v>201.02</v>
      </c>
    </row>
    <row r="563" spans="1:7" x14ac:dyDescent="0.35">
      <c r="A563" s="2">
        <v>239658521</v>
      </c>
      <c r="B563" s="3" t="s">
        <v>269</v>
      </c>
      <c r="C563" s="3" t="s">
        <v>23</v>
      </c>
      <c r="D563" s="2">
        <v>4</v>
      </c>
      <c r="E563" s="3" t="s">
        <v>10</v>
      </c>
      <c r="F563" s="7">
        <v>639.64</v>
      </c>
      <c r="G563" s="7">
        <v>3425.32</v>
      </c>
    </row>
    <row r="564" spans="1:7" x14ac:dyDescent="0.35">
      <c r="A564" s="4">
        <v>239660273</v>
      </c>
      <c r="B564" s="5" t="s">
        <v>270</v>
      </c>
      <c r="C564" s="5" t="s">
        <v>23</v>
      </c>
      <c r="D564" s="4">
        <v>4</v>
      </c>
      <c r="E564" s="5" t="s">
        <v>10</v>
      </c>
      <c r="F564" s="8">
        <v>3024.55</v>
      </c>
      <c r="G564" s="8">
        <v>3024.55</v>
      </c>
    </row>
    <row r="565" spans="1:7" x14ac:dyDescent="0.35">
      <c r="A565" s="2">
        <v>239657526</v>
      </c>
      <c r="B565" s="3" t="s">
        <v>271</v>
      </c>
      <c r="C565" s="3" t="s">
        <v>23</v>
      </c>
      <c r="D565" s="2">
        <v>4</v>
      </c>
      <c r="E565" s="3" t="s">
        <v>10</v>
      </c>
      <c r="F565" s="7">
        <v>1091.4000000000001</v>
      </c>
      <c r="G565" s="7">
        <v>5269.37</v>
      </c>
    </row>
    <row r="566" spans="1:7" x14ac:dyDescent="0.35">
      <c r="A566" s="4">
        <v>239657526</v>
      </c>
      <c r="B566" s="5" t="s">
        <v>271</v>
      </c>
      <c r="C566" s="5" t="s">
        <v>23</v>
      </c>
      <c r="D566" s="4">
        <v>4</v>
      </c>
      <c r="E566" s="5" t="s">
        <v>10</v>
      </c>
      <c r="F566" s="8">
        <v>36.590000000000003</v>
      </c>
      <c r="G566" s="8">
        <v>176.66</v>
      </c>
    </row>
    <row r="567" spans="1:7" x14ac:dyDescent="0.35">
      <c r="A567" s="2">
        <v>239657526</v>
      </c>
      <c r="B567" s="3" t="s">
        <v>271</v>
      </c>
      <c r="C567" s="3" t="s">
        <v>23</v>
      </c>
      <c r="D567" s="2">
        <v>4</v>
      </c>
      <c r="E567" s="3" t="s">
        <v>10</v>
      </c>
      <c r="F567" s="7">
        <v>785.98</v>
      </c>
      <c r="G567" s="7">
        <v>3794.78</v>
      </c>
    </row>
    <row r="568" spans="1:7" x14ac:dyDescent="0.35">
      <c r="A568" s="4">
        <v>239657526</v>
      </c>
      <c r="B568" s="5" t="s">
        <v>271</v>
      </c>
      <c r="C568" s="5" t="s">
        <v>23</v>
      </c>
      <c r="D568" s="4">
        <v>4</v>
      </c>
      <c r="E568" s="5" t="s">
        <v>10</v>
      </c>
      <c r="F568" s="8">
        <v>340.29</v>
      </c>
      <c r="G568" s="8">
        <v>1642.95</v>
      </c>
    </row>
    <row r="569" spans="1:7" x14ac:dyDescent="0.35">
      <c r="A569" s="2">
        <v>239642429</v>
      </c>
      <c r="B569" s="3" t="s">
        <v>272</v>
      </c>
      <c r="C569" s="3" t="s">
        <v>23</v>
      </c>
      <c r="D569" s="2">
        <v>4</v>
      </c>
      <c r="E569" s="3" t="s">
        <v>10</v>
      </c>
      <c r="F569" s="7">
        <v>668.26</v>
      </c>
      <c r="G569" s="7">
        <v>3172.08</v>
      </c>
    </row>
    <row r="570" spans="1:7" x14ac:dyDescent="0.35">
      <c r="A570" s="4">
        <v>239642429</v>
      </c>
      <c r="B570" s="5" t="s">
        <v>272</v>
      </c>
      <c r="C570" s="5" t="s">
        <v>23</v>
      </c>
      <c r="D570" s="4">
        <v>4</v>
      </c>
      <c r="E570" s="5" t="s">
        <v>10</v>
      </c>
      <c r="F570" s="8">
        <v>193.56</v>
      </c>
      <c r="G570" s="8">
        <v>918.79</v>
      </c>
    </row>
    <row r="571" spans="1:7" x14ac:dyDescent="0.35">
      <c r="A571" s="2">
        <v>239642429</v>
      </c>
      <c r="B571" s="3" t="s">
        <v>272</v>
      </c>
      <c r="C571" s="3" t="s">
        <v>23</v>
      </c>
      <c r="D571" s="2">
        <v>4</v>
      </c>
      <c r="E571" s="3" t="s">
        <v>10</v>
      </c>
      <c r="F571" s="7">
        <v>1091.4000000000001</v>
      </c>
      <c r="G571" s="7">
        <v>5269.37</v>
      </c>
    </row>
    <row r="572" spans="1:7" x14ac:dyDescent="0.35">
      <c r="A572" s="4">
        <v>239642429</v>
      </c>
      <c r="B572" s="5" t="s">
        <v>272</v>
      </c>
      <c r="C572" s="5" t="s">
        <v>23</v>
      </c>
      <c r="D572" s="4">
        <v>4</v>
      </c>
      <c r="E572" s="5" t="s">
        <v>10</v>
      </c>
      <c r="F572" s="8">
        <v>36.590000000000003</v>
      </c>
      <c r="G572" s="8">
        <v>176.66</v>
      </c>
    </row>
    <row r="573" spans="1:7" x14ac:dyDescent="0.35">
      <c r="A573" s="4">
        <v>239642171</v>
      </c>
      <c r="B573" s="5" t="s">
        <v>273</v>
      </c>
      <c r="C573" s="5" t="s">
        <v>23</v>
      </c>
      <c r="D573" s="4">
        <v>4</v>
      </c>
      <c r="E573" s="5" t="s">
        <v>10</v>
      </c>
      <c r="F573" s="8">
        <v>668.26</v>
      </c>
      <c r="G573" s="8">
        <v>3226.42</v>
      </c>
    </row>
    <row r="574" spans="1:7" x14ac:dyDescent="0.35">
      <c r="A574" s="2">
        <v>239642171</v>
      </c>
      <c r="B574" s="3" t="s">
        <v>273</v>
      </c>
      <c r="C574" s="3" t="s">
        <v>23</v>
      </c>
      <c r="D574" s="2">
        <v>4</v>
      </c>
      <c r="E574" s="3" t="s">
        <v>10</v>
      </c>
      <c r="F574" s="7">
        <v>652.03</v>
      </c>
      <c r="G574" s="7">
        <v>3148.06</v>
      </c>
    </row>
    <row r="575" spans="1:7" x14ac:dyDescent="0.35">
      <c r="A575" s="2">
        <v>239645206</v>
      </c>
      <c r="B575" s="3" t="s">
        <v>274</v>
      </c>
      <c r="C575" s="3" t="s">
        <v>23</v>
      </c>
      <c r="D575" s="2">
        <v>4</v>
      </c>
      <c r="E575" s="3" t="s">
        <v>10</v>
      </c>
      <c r="F575" s="7">
        <v>668.26</v>
      </c>
      <c r="G575" s="7">
        <v>3226.42</v>
      </c>
    </row>
    <row r="576" spans="1:7" x14ac:dyDescent="0.35">
      <c r="A576" s="4">
        <v>239645206</v>
      </c>
      <c r="B576" s="5" t="s">
        <v>274</v>
      </c>
      <c r="C576" s="5" t="s">
        <v>23</v>
      </c>
      <c r="D576" s="4">
        <v>4</v>
      </c>
      <c r="E576" s="5" t="s">
        <v>10</v>
      </c>
      <c r="F576" s="8">
        <v>813.53</v>
      </c>
      <c r="G576" s="8">
        <v>3927.79</v>
      </c>
    </row>
    <row r="577" spans="1:7" x14ac:dyDescent="0.35">
      <c r="A577" s="4">
        <v>239650233</v>
      </c>
      <c r="B577" s="5" t="s">
        <v>275</v>
      </c>
      <c r="C577" s="5" t="s">
        <v>23</v>
      </c>
      <c r="D577" s="4">
        <v>6</v>
      </c>
      <c r="E577" s="5" t="s">
        <v>8</v>
      </c>
      <c r="F577" s="8">
        <v>426</v>
      </c>
      <c r="G577" s="8">
        <v>1946.54</v>
      </c>
    </row>
    <row r="578" spans="1:7" x14ac:dyDescent="0.35">
      <c r="A578" s="2">
        <v>239660503</v>
      </c>
      <c r="B578" s="3" t="s">
        <v>276</v>
      </c>
      <c r="C578" s="3" t="s">
        <v>23</v>
      </c>
      <c r="D578" s="2">
        <v>4</v>
      </c>
      <c r="E578" s="3" t="s">
        <v>10</v>
      </c>
      <c r="F578" s="7">
        <v>397.8</v>
      </c>
      <c r="G578" s="7">
        <v>1920.62</v>
      </c>
    </row>
    <row r="579" spans="1:7" x14ac:dyDescent="0.35">
      <c r="A579" s="4">
        <v>239660503</v>
      </c>
      <c r="B579" s="5" t="s">
        <v>276</v>
      </c>
      <c r="C579" s="5" t="s">
        <v>23</v>
      </c>
      <c r="D579" s="4">
        <v>4</v>
      </c>
      <c r="E579" s="5" t="s">
        <v>10</v>
      </c>
      <c r="F579" s="8">
        <v>13.34</v>
      </c>
      <c r="G579" s="8">
        <v>64.400000000000006</v>
      </c>
    </row>
    <row r="580" spans="1:7" x14ac:dyDescent="0.35">
      <c r="A580" s="2">
        <v>239660503</v>
      </c>
      <c r="B580" s="3" t="s">
        <v>276</v>
      </c>
      <c r="C580" s="3" t="s">
        <v>23</v>
      </c>
      <c r="D580" s="2">
        <v>4</v>
      </c>
      <c r="E580" s="3" t="s">
        <v>10</v>
      </c>
      <c r="F580" s="7">
        <v>668.26</v>
      </c>
      <c r="G580" s="7">
        <v>3172.1</v>
      </c>
    </row>
    <row r="581" spans="1:7" x14ac:dyDescent="0.35">
      <c r="A581" s="4">
        <v>239660503</v>
      </c>
      <c r="B581" s="5" t="s">
        <v>276</v>
      </c>
      <c r="C581" s="5" t="s">
        <v>23</v>
      </c>
      <c r="D581" s="4">
        <v>4</v>
      </c>
      <c r="E581" s="5" t="s">
        <v>10</v>
      </c>
      <c r="F581" s="8">
        <v>603.96</v>
      </c>
      <c r="G581" s="8">
        <v>2866.86</v>
      </c>
    </row>
    <row r="582" spans="1:7" x14ac:dyDescent="0.35">
      <c r="A582" s="2">
        <v>239650404</v>
      </c>
      <c r="B582" s="3" t="s">
        <v>277</v>
      </c>
      <c r="C582" s="3" t="s">
        <v>23</v>
      </c>
      <c r="D582" s="2">
        <v>4</v>
      </c>
      <c r="E582" s="3" t="s">
        <v>10</v>
      </c>
      <c r="F582" s="7">
        <v>264.35000000000002</v>
      </c>
      <c r="G582" s="7">
        <v>1276.31</v>
      </c>
    </row>
    <row r="583" spans="1:7" x14ac:dyDescent="0.35">
      <c r="A583" s="4">
        <v>239650404</v>
      </c>
      <c r="B583" s="5" t="s">
        <v>277</v>
      </c>
      <c r="C583" s="5" t="s">
        <v>23</v>
      </c>
      <c r="D583" s="4">
        <v>4</v>
      </c>
      <c r="E583" s="5" t="s">
        <v>10</v>
      </c>
      <c r="F583" s="8">
        <v>8.86</v>
      </c>
      <c r="G583" s="8">
        <v>42.78</v>
      </c>
    </row>
    <row r="584" spans="1:7" x14ac:dyDescent="0.35">
      <c r="A584" s="2">
        <v>239650404</v>
      </c>
      <c r="B584" s="3" t="s">
        <v>277</v>
      </c>
      <c r="C584" s="3" t="s">
        <v>23</v>
      </c>
      <c r="D584" s="2">
        <v>4</v>
      </c>
      <c r="E584" s="3" t="s">
        <v>10</v>
      </c>
      <c r="F584" s="7">
        <v>383.49</v>
      </c>
      <c r="G584" s="7">
        <v>1847.43</v>
      </c>
    </row>
    <row r="585" spans="1:7" x14ac:dyDescent="0.35">
      <c r="A585" s="4">
        <v>239650404</v>
      </c>
      <c r="B585" s="5" t="s">
        <v>277</v>
      </c>
      <c r="C585" s="5" t="s">
        <v>23</v>
      </c>
      <c r="D585" s="4">
        <v>4</v>
      </c>
      <c r="E585" s="5" t="s">
        <v>10</v>
      </c>
      <c r="F585" s="8">
        <v>640.59</v>
      </c>
      <c r="G585" s="8">
        <v>3085.97</v>
      </c>
    </row>
    <row r="586" spans="1:7" x14ac:dyDescent="0.35">
      <c r="A586" s="4">
        <v>239659301</v>
      </c>
      <c r="B586" s="5" t="s">
        <v>278</v>
      </c>
      <c r="C586" s="5" t="s">
        <v>23</v>
      </c>
      <c r="D586" s="4">
        <v>4</v>
      </c>
      <c r="E586" s="5" t="s">
        <v>10</v>
      </c>
      <c r="F586" s="8">
        <v>842.64</v>
      </c>
      <c r="G586" s="8">
        <v>4525.28</v>
      </c>
    </row>
    <row r="587" spans="1:7" x14ac:dyDescent="0.35">
      <c r="A587" s="2">
        <v>239650569</v>
      </c>
      <c r="B587" s="3" t="s">
        <v>279</v>
      </c>
      <c r="C587" s="3" t="s">
        <v>23</v>
      </c>
      <c r="D587" s="2">
        <v>4</v>
      </c>
      <c r="E587" s="3" t="s">
        <v>10</v>
      </c>
      <c r="F587" s="7">
        <v>668.26</v>
      </c>
      <c r="G587" s="7">
        <v>3226.43</v>
      </c>
    </row>
    <row r="588" spans="1:7" x14ac:dyDescent="0.35">
      <c r="A588" s="4">
        <v>239650569</v>
      </c>
      <c r="B588" s="5" t="s">
        <v>279</v>
      </c>
      <c r="C588" s="5" t="s">
        <v>23</v>
      </c>
      <c r="D588" s="4">
        <v>4</v>
      </c>
      <c r="E588" s="5" t="s">
        <v>10</v>
      </c>
      <c r="F588" s="8">
        <v>182.16</v>
      </c>
      <c r="G588" s="8">
        <v>879.48</v>
      </c>
    </row>
    <row r="589" spans="1:7" x14ac:dyDescent="0.35">
      <c r="A589" s="2">
        <v>239650569</v>
      </c>
      <c r="B589" s="3" t="s">
        <v>279</v>
      </c>
      <c r="C589" s="3" t="s">
        <v>23</v>
      </c>
      <c r="D589" s="2">
        <v>4</v>
      </c>
      <c r="E589" s="3" t="s">
        <v>10</v>
      </c>
      <c r="F589" s="7">
        <v>88.92</v>
      </c>
      <c r="G589" s="7">
        <v>429.31</v>
      </c>
    </row>
    <row r="590" spans="1:7" x14ac:dyDescent="0.35">
      <c r="A590" s="2">
        <v>239646461</v>
      </c>
      <c r="B590" s="3" t="s">
        <v>280</v>
      </c>
      <c r="C590" s="3" t="s">
        <v>23</v>
      </c>
      <c r="D590" s="2">
        <v>4</v>
      </c>
      <c r="E590" s="3" t="s">
        <v>10</v>
      </c>
      <c r="F590" s="7">
        <v>709.99</v>
      </c>
      <c r="G590" s="7">
        <v>3802.05</v>
      </c>
    </row>
    <row r="591" spans="1:7" x14ac:dyDescent="0.35">
      <c r="A591" s="4">
        <v>239646461</v>
      </c>
      <c r="B591" s="5" t="s">
        <v>280</v>
      </c>
      <c r="C591" s="5" t="s">
        <v>23</v>
      </c>
      <c r="D591" s="4">
        <v>4</v>
      </c>
      <c r="E591" s="5" t="s">
        <v>10</v>
      </c>
      <c r="F591" s="8">
        <v>129</v>
      </c>
      <c r="G591" s="8">
        <v>692.76</v>
      </c>
    </row>
    <row r="592" spans="1:7" x14ac:dyDescent="0.35">
      <c r="A592" s="2">
        <v>240888351</v>
      </c>
      <c r="B592" s="3" t="s">
        <v>281</v>
      </c>
      <c r="C592" s="3" t="s">
        <v>23</v>
      </c>
      <c r="D592" s="2">
        <v>4</v>
      </c>
      <c r="E592" s="3" t="s">
        <v>10</v>
      </c>
      <c r="F592" s="7">
        <v>1440.99</v>
      </c>
      <c r="G592" s="7">
        <v>6809.54</v>
      </c>
    </row>
    <row r="593" spans="1:7" x14ac:dyDescent="0.35">
      <c r="A593" s="4">
        <v>240888351</v>
      </c>
      <c r="B593" s="5" t="s">
        <v>281</v>
      </c>
      <c r="C593" s="5" t="s">
        <v>23</v>
      </c>
      <c r="D593" s="4">
        <v>4</v>
      </c>
      <c r="E593" s="5" t="s">
        <v>10</v>
      </c>
      <c r="F593" s="8">
        <v>81.78</v>
      </c>
      <c r="G593" s="8">
        <v>386.45</v>
      </c>
    </row>
    <row r="594" spans="1:7" x14ac:dyDescent="0.35">
      <c r="A594" s="2">
        <v>240888351</v>
      </c>
      <c r="B594" s="3" t="s">
        <v>281</v>
      </c>
      <c r="C594" s="3" t="s">
        <v>23</v>
      </c>
      <c r="D594" s="2">
        <v>4</v>
      </c>
      <c r="E594" s="3" t="s">
        <v>10</v>
      </c>
      <c r="F594" s="7">
        <v>212.1</v>
      </c>
      <c r="G594" s="7">
        <v>1002.29</v>
      </c>
    </row>
    <row r="595" spans="1:7" x14ac:dyDescent="0.35">
      <c r="A595" s="4">
        <v>240888351</v>
      </c>
      <c r="B595" s="5" t="s">
        <v>281</v>
      </c>
      <c r="C595" s="5" t="s">
        <v>23</v>
      </c>
      <c r="D595" s="4">
        <v>4</v>
      </c>
      <c r="E595" s="5" t="s">
        <v>10</v>
      </c>
      <c r="F595" s="8">
        <v>17.27</v>
      </c>
      <c r="G595" s="8">
        <v>81.61</v>
      </c>
    </row>
    <row r="596" spans="1:7" x14ac:dyDescent="0.35">
      <c r="A596" s="2">
        <v>239641195</v>
      </c>
      <c r="B596" s="3" t="s">
        <v>282</v>
      </c>
      <c r="C596" s="3" t="s">
        <v>23</v>
      </c>
      <c r="D596" s="2">
        <v>10</v>
      </c>
      <c r="E596" s="3" t="s">
        <v>75</v>
      </c>
      <c r="F596" s="7">
        <v>1500</v>
      </c>
      <c r="G596" s="7">
        <v>1500</v>
      </c>
    </row>
    <row r="597" spans="1:7" x14ac:dyDescent="0.35">
      <c r="A597" s="4">
        <v>239651851</v>
      </c>
      <c r="B597" s="5" t="s">
        <v>283</v>
      </c>
      <c r="C597" s="5" t="s">
        <v>23</v>
      </c>
      <c r="D597" s="4">
        <v>19</v>
      </c>
      <c r="E597" s="5" t="s">
        <v>103</v>
      </c>
      <c r="F597" s="8">
        <v>3286.5</v>
      </c>
      <c r="G597" s="8">
        <v>3286.5</v>
      </c>
    </row>
    <row r="598" spans="1:7" x14ac:dyDescent="0.35">
      <c r="A598" s="2">
        <v>239649194</v>
      </c>
      <c r="B598" s="3" t="s">
        <v>284</v>
      </c>
      <c r="C598" s="3" t="s">
        <v>23</v>
      </c>
      <c r="D598" s="2">
        <v>4</v>
      </c>
      <c r="E598" s="3" t="s">
        <v>10</v>
      </c>
      <c r="F598" s="7">
        <v>130</v>
      </c>
      <c r="G598" s="7">
        <v>691.31</v>
      </c>
    </row>
    <row r="599" spans="1:7" x14ac:dyDescent="0.35">
      <c r="A599" s="4">
        <v>239649194</v>
      </c>
      <c r="B599" s="5" t="s">
        <v>284</v>
      </c>
      <c r="C599" s="5" t="s">
        <v>23</v>
      </c>
      <c r="D599" s="4">
        <v>4</v>
      </c>
      <c r="E599" s="5" t="s">
        <v>10</v>
      </c>
      <c r="F599" s="8">
        <v>659.2</v>
      </c>
      <c r="G599" s="8">
        <v>3505.42</v>
      </c>
    </row>
    <row r="600" spans="1:7" x14ac:dyDescent="0.35">
      <c r="A600" s="2">
        <v>239656727</v>
      </c>
      <c r="B600" s="3" t="s">
        <v>285</v>
      </c>
      <c r="C600" s="3" t="s">
        <v>23</v>
      </c>
      <c r="D600" s="2">
        <v>4</v>
      </c>
      <c r="E600" s="3" t="s">
        <v>10</v>
      </c>
      <c r="F600" s="7">
        <v>668.26</v>
      </c>
      <c r="G600" s="7">
        <v>3157.93</v>
      </c>
    </row>
    <row r="601" spans="1:7" x14ac:dyDescent="0.35">
      <c r="A601" s="4">
        <v>239656727</v>
      </c>
      <c r="B601" s="5" t="s">
        <v>285</v>
      </c>
      <c r="C601" s="5" t="s">
        <v>23</v>
      </c>
      <c r="D601" s="4">
        <v>4</v>
      </c>
      <c r="E601" s="5" t="s">
        <v>10</v>
      </c>
      <c r="F601" s="8">
        <v>189.19</v>
      </c>
      <c r="G601" s="8">
        <v>894.02</v>
      </c>
    </row>
    <row r="602" spans="1:7" x14ac:dyDescent="0.35">
      <c r="A602" s="2">
        <v>239656727</v>
      </c>
      <c r="B602" s="3" t="s">
        <v>285</v>
      </c>
      <c r="C602" s="3" t="s">
        <v>23</v>
      </c>
      <c r="D602" s="2">
        <v>4</v>
      </c>
      <c r="E602" s="3" t="s">
        <v>10</v>
      </c>
      <c r="F602" s="7">
        <v>397.8</v>
      </c>
      <c r="G602" s="7">
        <v>1879.84</v>
      </c>
    </row>
    <row r="603" spans="1:7" x14ac:dyDescent="0.35">
      <c r="A603" s="4">
        <v>239656727</v>
      </c>
      <c r="B603" s="5" t="s">
        <v>285</v>
      </c>
      <c r="C603" s="5" t="s">
        <v>23</v>
      </c>
      <c r="D603" s="4">
        <v>4</v>
      </c>
      <c r="E603" s="5" t="s">
        <v>10</v>
      </c>
      <c r="F603" s="8">
        <v>13.34</v>
      </c>
      <c r="G603" s="8">
        <v>63.03</v>
      </c>
    </row>
    <row r="604" spans="1:7" x14ac:dyDescent="0.35">
      <c r="A604" s="2">
        <v>239658331</v>
      </c>
      <c r="B604" s="3" t="s">
        <v>286</v>
      </c>
      <c r="C604" s="3" t="s">
        <v>23</v>
      </c>
      <c r="D604" s="2">
        <v>4</v>
      </c>
      <c r="E604" s="3" t="s">
        <v>10</v>
      </c>
      <c r="F604" s="7">
        <v>1120.5</v>
      </c>
      <c r="G604" s="7">
        <v>5376.22</v>
      </c>
    </row>
    <row r="605" spans="1:7" x14ac:dyDescent="0.35">
      <c r="A605" s="2">
        <v>239641824</v>
      </c>
      <c r="B605" s="3" t="s">
        <v>287</v>
      </c>
      <c r="C605" s="3" t="s">
        <v>23</v>
      </c>
      <c r="D605" s="2">
        <v>4</v>
      </c>
      <c r="E605" s="3" t="s">
        <v>10</v>
      </c>
      <c r="F605" s="7">
        <v>797.25</v>
      </c>
      <c r="G605" s="7">
        <v>3767.47</v>
      </c>
    </row>
    <row r="606" spans="1:7" x14ac:dyDescent="0.35">
      <c r="A606" s="4">
        <v>239641824</v>
      </c>
      <c r="B606" s="5" t="s">
        <v>287</v>
      </c>
      <c r="C606" s="5" t="s">
        <v>23</v>
      </c>
      <c r="D606" s="4">
        <v>4</v>
      </c>
      <c r="E606" s="5" t="s">
        <v>10</v>
      </c>
      <c r="F606" s="8">
        <v>50.49</v>
      </c>
      <c r="G606" s="8">
        <v>238.6</v>
      </c>
    </row>
    <row r="607" spans="1:7" x14ac:dyDescent="0.35">
      <c r="A607" s="2">
        <v>239641824</v>
      </c>
      <c r="B607" s="3" t="s">
        <v>287</v>
      </c>
      <c r="C607" s="3" t="s">
        <v>23</v>
      </c>
      <c r="D607" s="2">
        <v>4</v>
      </c>
      <c r="E607" s="3" t="s">
        <v>10</v>
      </c>
      <c r="F607" s="7">
        <v>94.5</v>
      </c>
      <c r="G607" s="7">
        <v>446.56</v>
      </c>
    </row>
    <row r="608" spans="1:7" x14ac:dyDescent="0.35">
      <c r="A608" s="4">
        <v>239641824</v>
      </c>
      <c r="B608" s="5" t="s">
        <v>287</v>
      </c>
      <c r="C608" s="5" t="s">
        <v>23</v>
      </c>
      <c r="D608" s="4">
        <v>4</v>
      </c>
      <c r="E608" s="5" t="s">
        <v>10</v>
      </c>
      <c r="F608" s="8">
        <v>7.7</v>
      </c>
      <c r="G608" s="8">
        <v>36.39</v>
      </c>
    </row>
    <row r="609" spans="1:7" x14ac:dyDescent="0.35">
      <c r="A609" s="4">
        <v>240915971</v>
      </c>
      <c r="B609" s="5" t="s">
        <v>288</v>
      </c>
      <c r="C609" s="5" t="s">
        <v>23</v>
      </c>
      <c r="D609" s="4">
        <v>4</v>
      </c>
      <c r="E609" s="5" t="s">
        <v>10</v>
      </c>
      <c r="F609" s="8">
        <v>368.2</v>
      </c>
      <c r="G609" s="8">
        <v>1777.71</v>
      </c>
    </row>
    <row r="610" spans="1:7" x14ac:dyDescent="0.35">
      <c r="A610" s="2">
        <v>240915971</v>
      </c>
      <c r="B610" s="3" t="s">
        <v>288</v>
      </c>
      <c r="C610" s="3" t="s">
        <v>23</v>
      </c>
      <c r="D610" s="2">
        <v>4</v>
      </c>
      <c r="E610" s="3" t="s">
        <v>10</v>
      </c>
      <c r="F610" s="7">
        <v>29.98</v>
      </c>
      <c r="G610" s="7">
        <v>144.74</v>
      </c>
    </row>
    <row r="611" spans="1:7" x14ac:dyDescent="0.35">
      <c r="A611" s="4">
        <v>240915971</v>
      </c>
      <c r="B611" s="5" t="s">
        <v>288</v>
      </c>
      <c r="C611" s="5" t="s">
        <v>23</v>
      </c>
      <c r="D611" s="4">
        <v>4</v>
      </c>
      <c r="E611" s="5" t="s">
        <v>10</v>
      </c>
      <c r="F611" s="8">
        <v>1429.61</v>
      </c>
      <c r="G611" s="8">
        <v>6755.75</v>
      </c>
    </row>
    <row r="612" spans="1:7" x14ac:dyDescent="0.35">
      <c r="A612" s="2">
        <v>240915971</v>
      </c>
      <c r="B612" s="3" t="s">
        <v>288</v>
      </c>
      <c r="C612" s="3" t="s">
        <v>23</v>
      </c>
      <c r="D612" s="2">
        <v>4</v>
      </c>
      <c r="E612" s="3" t="s">
        <v>10</v>
      </c>
      <c r="F612" s="7">
        <v>76</v>
      </c>
      <c r="G612" s="7">
        <v>359.14</v>
      </c>
    </row>
    <row r="613" spans="1:7" x14ac:dyDescent="0.35">
      <c r="A613" s="2">
        <v>239640928</v>
      </c>
      <c r="B613" s="3" t="s">
        <v>289</v>
      </c>
      <c r="C613" s="3" t="s">
        <v>23</v>
      </c>
      <c r="D613" s="2">
        <v>4</v>
      </c>
      <c r="E613" s="3" t="s">
        <v>10</v>
      </c>
      <c r="F613" s="7">
        <v>397.8</v>
      </c>
      <c r="G613" s="7">
        <v>1920.62</v>
      </c>
    </row>
    <row r="614" spans="1:7" x14ac:dyDescent="0.35">
      <c r="A614" s="4">
        <v>239640928</v>
      </c>
      <c r="B614" s="5" t="s">
        <v>289</v>
      </c>
      <c r="C614" s="5" t="s">
        <v>23</v>
      </c>
      <c r="D614" s="4">
        <v>4</v>
      </c>
      <c r="E614" s="5" t="s">
        <v>10</v>
      </c>
      <c r="F614" s="8">
        <v>13.34</v>
      </c>
      <c r="G614" s="8">
        <v>64.400000000000006</v>
      </c>
    </row>
    <row r="615" spans="1:7" x14ac:dyDescent="0.35">
      <c r="A615" s="2">
        <v>239640928</v>
      </c>
      <c r="B615" s="3" t="s">
        <v>289</v>
      </c>
      <c r="C615" s="3" t="s">
        <v>23</v>
      </c>
      <c r="D615" s="2">
        <v>4</v>
      </c>
      <c r="E615" s="3" t="s">
        <v>10</v>
      </c>
      <c r="F615" s="7">
        <v>668.26</v>
      </c>
      <c r="G615" s="7">
        <v>3172.09</v>
      </c>
    </row>
    <row r="616" spans="1:7" x14ac:dyDescent="0.35">
      <c r="A616" s="4">
        <v>239640928</v>
      </c>
      <c r="B616" s="5" t="s">
        <v>289</v>
      </c>
      <c r="C616" s="5" t="s">
        <v>23</v>
      </c>
      <c r="D616" s="4">
        <v>4</v>
      </c>
      <c r="E616" s="5" t="s">
        <v>10</v>
      </c>
      <c r="F616" s="8">
        <v>173.23</v>
      </c>
      <c r="G616" s="8">
        <v>822.29</v>
      </c>
    </row>
    <row r="617" spans="1:7" x14ac:dyDescent="0.35">
      <c r="A617" s="2">
        <v>239649496</v>
      </c>
      <c r="B617" s="3" t="s">
        <v>290</v>
      </c>
      <c r="C617" s="3" t="s">
        <v>23</v>
      </c>
      <c r="D617" s="2">
        <v>24</v>
      </c>
      <c r="E617" s="3" t="s">
        <v>5</v>
      </c>
      <c r="F617" s="7">
        <v>602</v>
      </c>
      <c r="G617" s="7">
        <v>602</v>
      </c>
    </row>
    <row r="618" spans="1:7" x14ac:dyDescent="0.35">
      <c r="A618" s="4">
        <v>239659654</v>
      </c>
      <c r="B618" s="5" t="s">
        <v>291</v>
      </c>
      <c r="C618" s="5" t="s">
        <v>23</v>
      </c>
      <c r="D618" s="4">
        <v>4</v>
      </c>
      <c r="E618" s="5" t="s">
        <v>10</v>
      </c>
      <c r="F618" s="8">
        <v>797.25</v>
      </c>
      <c r="G618" s="8">
        <v>3767.47</v>
      </c>
    </row>
    <row r="619" spans="1:7" x14ac:dyDescent="0.35">
      <c r="A619" s="2">
        <v>239659654</v>
      </c>
      <c r="B619" s="3" t="s">
        <v>291</v>
      </c>
      <c r="C619" s="3" t="s">
        <v>23</v>
      </c>
      <c r="D619" s="2">
        <v>4</v>
      </c>
      <c r="E619" s="3" t="s">
        <v>10</v>
      </c>
      <c r="F619" s="7">
        <v>50.49</v>
      </c>
      <c r="G619" s="7">
        <v>238.6</v>
      </c>
    </row>
    <row r="620" spans="1:7" x14ac:dyDescent="0.35">
      <c r="A620" s="4">
        <v>239653384</v>
      </c>
      <c r="B620" s="5" t="s">
        <v>292</v>
      </c>
      <c r="C620" s="5" t="s">
        <v>23</v>
      </c>
      <c r="D620" s="4">
        <v>4</v>
      </c>
      <c r="E620" s="5" t="s">
        <v>10</v>
      </c>
      <c r="F620" s="8">
        <v>1831.5</v>
      </c>
      <c r="G620" s="8">
        <v>8693.74</v>
      </c>
    </row>
    <row r="621" spans="1:7" x14ac:dyDescent="0.35">
      <c r="A621" s="2">
        <v>239653384</v>
      </c>
      <c r="B621" s="3" t="s">
        <v>292</v>
      </c>
      <c r="C621" s="3" t="s">
        <v>23</v>
      </c>
      <c r="D621" s="2">
        <v>4</v>
      </c>
      <c r="E621" s="3" t="s">
        <v>10</v>
      </c>
      <c r="F621" s="7">
        <v>347.99</v>
      </c>
      <c r="G621" s="7">
        <v>1651.83</v>
      </c>
    </row>
    <row r="622" spans="1:7" x14ac:dyDescent="0.35">
      <c r="A622" s="4">
        <v>239639378</v>
      </c>
      <c r="B622" s="5" t="s">
        <v>293</v>
      </c>
      <c r="C622" s="5" t="s">
        <v>23</v>
      </c>
      <c r="D622" s="4">
        <v>4</v>
      </c>
      <c r="E622" s="5" t="s">
        <v>10</v>
      </c>
      <c r="F622" s="8">
        <v>473</v>
      </c>
      <c r="G622" s="8">
        <v>2275.7800000000002</v>
      </c>
    </row>
    <row r="623" spans="1:7" x14ac:dyDescent="0.35">
      <c r="A623" s="4">
        <v>239643521</v>
      </c>
      <c r="B623" s="5" t="s">
        <v>294</v>
      </c>
      <c r="C623" s="5" t="s">
        <v>23</v>
      </c>
      <c r="D623" s="4">
        <v>4</v>
      </c>
      <c r="E623" s="5" t="s">
        <v>10</v>
      </c>
      <c r="F623" s="8">
        <v>132</v>
      </c>
      <c r="G623" s="8">
        <v>637.29999999999995</v>
      </c>
    </row>
    <row r="624" spans="1:7" x14ac:dyDescent="0.35">
      <c r="A624" s="2">
        <v>239643521</v>
      </c>
      <c r="B624" s="3" t="s">
        <v>294</v>
      </c>
      <c r="C624" s="3" t="s">
        <v>23</v>
      </c>
      <c r="D624" s="2">
        <v>4</v>
      </c>
      <c r="E624" s="3" t="s">
        <v>10</v>
      </c>
      <c r="F624" s="7">
        <v>128.06</v>
      </c>
      <c r="G624" s="7">
        <v>618.29</v>
      </c>
    </row>
    <row r="625" spans="1:7" x14ac:dyDescent="0.35">
      <c r="A625" s="4">
        <v>239643521</v>
      </c>
      <c r="B625" s="5" t="s">
        <v>294</v>
      </c>
      <c r="C625" s="5" t="s">
        <v>23</v>
      </c>
      <c r="D625" s="4">
        <v>4</v>
      </c>
      <c r="E625" s="5" t="s">
        <v>10</v>
      </c>
      <c r="F625" s="8">
        <v>1221.5999999999999</v>
      </c>
      <c r="G625" s="8">
        <v>5772.78</v>
      </c>
    </row>
    <row r="626" spans="1:7" x14ac:dyDescent="0.35">
      <c r="A626" s="2">
        <v>239643521</v>
      </c>
      <c r="B626" s="3" t="s">
        <v>294</v>
      </c>
      <c r="C626" s="3" t="s">
        <v>23</v>
      </c>
      <c r="D626" s="2">
        <v>4</v>
      </c>
      <c r="E626" s="3" t="s">
        <v>10</v>
      </c>
      <c r="F626" s="7">
        <v>154.74</v>
      </c>
      <c r="G626" s="7">
        <v>731.23</v>
      </c>
    </row>
    <row r="627" spans="1:7" x14ac:dyDescent="0.35">
      <c r="A627" s="2">
        <v>239647110</v>
      </c>
      <c r="B627" s="3" t="s">
        <v>295</v>
      </c>
      <c r="C627" s="3" t="s">
        <v>23</v>
      </c>
      <c r="D627" s="2">
        <v>4</v>
      </c>
      <c r="E627" s="3" t="s">
        <v>10</v>
      </c>
      <c r="F627" s="7">
        <v>40</v>
      </c>
      <c r="G627" s="7">
        <v>201.52</v>
      </c>
    </row>
    <row r="628" spans="1:7" x14ac:dyDescent="0.35">
      <c r="A628" s="2">
        <v>239645069</v>
      </c>
      <c r="B628" s="3" t="s">
        <v>296</v>
      </c>
      <c r="C628" s="3" t="s">
        <v>23</v>
      </c>
      <c r="D628" s="2">
        <v>4</v>
      </c>
      <c r="E628" s="3" t="s">
        <v>10</v>
      </c>
      <c r="F628" s="7">
        <v>11.24</v>
      </c>
      <c r="G628" s="7">
        <v>54.27</v>
      </c>
    </row>
    <row r="629" spans="1:7" x14ac:dyDescent="0.35">
      <c r="A629" s="4">
        <v>239645069</v>
      </c>
      <c r="B629" s="5" t="s">
        <v>296</v>
      </c>
      <c r="C629" s="5" t="s">
        <v>23</v>
      </c>
      <c r="D629" s="4">
        <v>4</v>
      </c>
      <c r="E629" s="5" t="s">
        <v>10</v>
      </c>
      <c r="F629" s="8">
        <v>4.47</v>
      </c>
      <c r="G629" s="8">
        <v>21.58</v>
      </c>
    </row>
    <row r="630" spans="1:7" x14ac:dyDescent="0.35">
      <c r="A630" s="2">
        <v>239645069</v>
      </c>
      <c r="B630" s="3" t="s">
        <v>296</v>
      </c>
      <c r="C630" s="3" t="s">
        <v>23</v>
      </c>
      <c r="D630" s="2">
        <v>4</v>
      </c>
      <c r="E630" s="3" t="s">
        <v>10</v>
      </c>
      <c r="F630" s="7">
        <v>28.36</v>
      </c>
      <c r="G630" s="7">
        <v>136.91999999999999</v>
      </c>
    </row>
    <row r="631" spans="1:7" x14ac:dyDescent="0.35">
      <c r="A631" s="4">
        <v>239645069</v>
      </c>
      <c r="B631" s="5" t="s">
        <v>296</v>
      </c>
      <c r="C631" s="5" t="s">
        <v>23</v>
      </c>
      <c r="D631" s="4">
        <v>4</v>
      </c>
      <c r="E631" s="5" t="s">
        <v>10</v>
      </c>
      <c r="F631" s="8">
        <v>11.3</v>
      </c>
      <c r="G631" s="8">
        <v>54.56</v>
      </c>
    </row>
    <row r="632" spans="1:7" x14ac:dyDescent="0.35">
      <c r="A632" s="2">
        <v>239645069</v>
      </c>
      <c r="B632" s="3" t="s">
        <v>296</v>
      </c>
      <c r="C632" s="3" t="s">
        <v>23</v>
      </c>
      <c r="D632" s="2">
        <v>4</v>
      </c>
      <c r="E632" s="3" t="s">
        <v>10</v>
      </c>
      <c r="F632" s="7">
        <v>2435.71</v>
      </c>
      <c r="G632" s="7">
        <v>11510.15</v>
      </c>
    </row>
    <row r="633" spans="1:7" x14ac:dyDescent="0.35">
      <c r="A633" s="4">
        <v>239645069</v>
      </c>
      <c r="B633" s="5" t="s">
        <v>296</v>
      </c>
      <c r="C633" s="5" t="s">
        <v>23</v>
      </c>
      <c r="D633" s="4">
        <v>4</v>
      </c>
      <c r="E633" s="5" t="s">
        <v>10</v>
      </c>
      <c r="F633" s="8">
        <v>51.42</v>
      </c>
      <c r="G633" s="8">
        <v>243</v>
      </c>
    </row>
    <row r="634" spans="1:7" x14ac:dyDescent="0.35">
      <c r="A634" s="4">
        <v>239653010</v>
      </c>
      <c r="B634" s="5" t="s">
        <v>297</v>
      </c>
      <c r="C634" s="5" t="s">
        <v>23</v>
      </c>
      <c r="D634" s="4">
        <v>24</v>
      </c>
      <c r="E634" s="5" t="s">
        <v>5</v>
      </c>
      <c r="F634" s="8">
        <v>464.17</v>
      </c>
      <c r="G634" s="8">
        <v>464.17</v>
      </c>
    </row>
    <row r="635" spans="1:7" x14ac:dyDescent="0.35">
      <c r="A635" s="2">
        <v>239659158</v>
      </c>
      <c r="B635" s="3" t="s">
        <v>298</v>
      </c>
      <c r="C635" s="3" t="s">
        <v>23</v>
      </c>
      <c r="D635" s="2">
        <v>4</v>
      </c>
      <c r="E635" s="3" t="s">
        <v>10</v>
      </c>
      <c r="F635" s="7">
        <v>268.24</v>
      </c>
      <c r="G635" s="7">
        <v>1295.0899999999999</v>
      </c>
    </row>
    <row r="636" spans="1:7" x14ac:dyDescent="0.35">
      <c r="A636" s="4">
        <v>239659158</v>
      </c>
      <c r="B636" s="5" t="s">
        <v>298</v>
      </c>
      <c r="C636" s="5" t="s">
        <v>23</v>
      </c>
      <c r="D636" s="4">
        <v>4</v>
      </c>
      <c r="E636" s="5" t="s">
        <v>10</v>
      </c>
      <c r="F636" s="8">
        <v>66.83</v>
      </c>
      <c r="G636" s="8">
        <v>322.66000000000003</v>
      </c>
    </row>
    <row r="637" spans="1:7" x14ac:dyDescent="0.35">
      <c r="A637" s="2">
        <v>239659158</v>
      </c>
      <c r="B637" s="3" t="s">
        <v>298</v>
      </c>
      <c r="C637" s="3" t="s">
        <v>23</v>
      </c>
      <c r="D637" s="2">
        <v>4</v>
      </c>
      <c r="E637" s="3" t="s">
        <v>10</v>
      </c>
      <c r="F637" s="7">
        <v>43.99</v>
      </c>
      <c r="G637" s="7">
        <v>211.92</v>
      </c>
    </row>
    <row r="638" spans="1:7" x14ac:dyDescent="0.35">
      <c r="A638" s="4">
        <v>239659158</v>
      </c>
      <c r="B638" s="5" t="s">
        <v>298</v>
      </c>
      <c r="C638" s="5" t="s">
        <v>23</v>
      </c>
      <c r="D638" s="4">
        <v>4</v>
      </c>
      <c r="E638" s="5" t="s">
        <v>10</v>
      </c>
      <c r="F638" s="8">
        <v>6.65</v>
      </c>
      <c r="G638" s="8">
        <v>32.04</v>
      </c>
    </row>
    <row r="639" spans="1:7" x14ac:dyDescent="0.35">
      <c r="A639" s="2">
        <v>239659158</v>
      </c>
      <c r="B639" s="3" t="s">
        <v>298</v>
      </c>
      <c r="C639" s="3" t="s">
        <v>23</v>
      </c>
      <c r="D639" s="2">
        <v>4</v>
      </c>
      <c r="E639" s="3" t="s">
        <v>10</v>
      </c>
      <c r="F639" s="7">
        <v>8.92</v>
      </c>
      <c r="G639" s="7">
        <v>42.97</v>
      </c>
    </row>
    <row r="640" spans="1:7" x14ac:dyDescent="0.35">
      <c r="A640" s="4">
        <v>239659158</v>
      </c>
      <c r="B640" s="5" t="s">
        <v>298</v>
      </c>
      <c r="C640" s="5" t="s">
        <v>23</v>
      </c>
      <c r="D640" s="4">
        <v>4</v>
      </c>
      <c r="E640" s="5" t="s">
        <v>10</v>
      </c>
      <c r="F640" s="8">
        <v>5.72</v>
      </c>
      <c r="G640" s="8">
        <v>27.56</v>
      </c>
    </row>
    <row r="641" spans="1:7" x14ac:dyDescent="0.35">
      <c r="A641" s="2">
        <v>239659158</v>
      </c>
      <c r="B641" s="3" t="s">
        <v>298</v>
      </c>
      <c r="C641" s="3" t="s">
        <v>23</v>
      </c>
      <c r="D641" s="2">
        <v>4</v>
      </c>
      <c r="E641" s="3" t="s">
        <v>10</v>
      </c>
      <c r="F641" s="7">
        <v>96.47</v>
      </c>
      <c r="G641" s="7">
        <v>464.73</v>
      </c>
    </row>
    <row r="642" spans="1:7" x14ac:dyDescent="0.35">
      <c r="A642" s="4">
        <v>239659158</v>
      </c>
      <c r="B642" s="5" t="s">
        <v>298</v>
      </c>
      <c r="C642" s="5" t="s">
        <v>23</v>
      </c>
      <c r="D642" s="4">
        <v>4</v>
      </c>
      <c r="E642" s="5" t="s">
        <v>10</v>
      </c>
      <c r="F642" s="8">
        <v>23.66</v>
      </c>
      <c r="G642" s="8">
        <v>113.98</v>
      </c>
    </row>
    <row r="643" spans="1:7" x14ac:dyDescent="0.35">
      <c r="A643" s="2">
        <v>239659158</v>
      </c>
      <c r="B643" s="3" t="s">
        <v>298</v>
      </c>
      <c r="C643" s="3" t="s">
        <v>23</v>
      </c>
      <c r="D643" s="2">
        <v>4</v>
      </c>
      <c r="E643" s="3" t="s">
        <v>10</v>
      </c>
      <c r="F643" s="7">
        <v>243.16</v>
      </c>
      <c r="G643" s="7">
        <v>1171.4000000000001</v>
      </c>
    </row>
    <row r="644" spans="1:7" x14ac:dyDescent="0.35">
      <c r="A644" s="4">
        <v>239659158</v>
      </c>
      <c r="B644" s="5" t="s">
        <v>298</v>
      </c>
      <c r="C644" s="5" t="s">
        <v>23</v>
      </c>
      <c r="D644" s="4">
        <v>4</v>
      </c>
      <c r="E644" s="5" t="s">
        <v>10</v>
      </c>
      <c r="F644" s="8">
        <v>48.61</v>
      </c>
      <c r="G644" s="8">
        <v>234.16</v>
      </c>
    </row>
    <row r="645" spans="1:7" x14ac:dyDescent="0.35">
      <c r="A645" s="2">
        <v>239659158</v>
      </c>
      <c r="B645" s="3" t="s">
        <v>298</v>
      </c>
      <c r="C645" s="3" t="s">
        <v>23</v>
      </c>
      <c r="D645" s="2">
        <v>4</v>
      </c>
      <c r="E645" s="3" t="s">
        <v>10</v>
      </c>
      <c r="F645" s="7">
        <v>138.62</v>
      </c>
      <c r="G645" s="7">
        <v>667.78</v>
      </c>
    </row>
    <row r="646" spans="1:7" x14ac:dyDescent="0.35">
      <c r="A646" s="4">
        <v>239659158</v>
      </c>
      <c r="B646" s="5" t="s">
        <v>298</v>
      </c>
      <c r="C646" s="5" t="s">
        <v>23</v>
      </c>
      <c r="D646" s="4">
        <v>4</v>
      </c>
      <c r="E646" s="5" t="s">
        <v>10</v>
      </c>
      <c r="F646" s="8">
        <v>34.270000000000003</v>
      </c>
      <c r="G646" s="8">
        <v>165.09</v>
      </c>
    </row>
    <row r="647" spans="1:7" x14ac:dyDescent="0.35">
      <c r="A647" s="2">
        <v>239642049</v>
      </c>
      <c r="B647" s="3" t="s">
        <v>299</v>
      </c>
      <c r="C647" s="3" t="s">
        <v>23</v>
      </c>
      <c r="D647" s="2">
        <v>4</v>
      </c>
      <c r="E647" s="3" t="s">
        <v>10</v>
      </c>
      <c r="F647" s="7">
        <v>1239</v>
      </c>
      <c r="G647" s="7">
        <v>5855</v>
      </c>
    </row>
    <row r="648" spans="1:7" x14ac:dyDescent="0.35">
      <c r="A648" s="4">
        <v>239642049</v>
      </c>
      <c r="B648" s="5" t="s">
        <v>299</v>
      </c>
      <c r="C648" s="5" t="s">
        <v>23</v>
      </c>
      <c r="D648" s="4">
        <v>4</v>
      </c>
      <c r="E648" s="5" t="s">
        <v>10</v>
      </c>
      <c r="F648" s="8">
        <v>78.47</v>
      </c>
      <c r="G648" s="8">
        <v>370.82</v>
      </c>
    </row>
    <row r="649" spans="1:7" x14ac:dyDescent="0.35">
      <c r="A649" s="2">
        <v>239642049</v>
      </c>
      <c r="B649" s="3" t="s">
        <v>299</v>
      </c>
      <c r="C649" s="3" t="s">
        <v>23</v>
      </c>
      <c r="D649" s="2">
        <v>4</v>
      </c>
      <c r="E649" s="3" t="s">
        <v>10</v>
      </c>
      <c r="F649" s="7">
        <v>147</v>
      </c>
      <c r="G649" s="7">
        <v>694.66</v>
      </c>
    </row>
    <row r="650" spans="1:7" x14ac:dyDescent="0.35">
      <c r="A650" s="4">
        <v>239642049</v>
      </c>
      <c r="B650" s="5" t="s">
        <v>299</v>
      </c>
      <c r="C650" s="5" t="s">
        <v>23</v>
      </c>
      <c r="D650" s="4">
        <v>4</v>
      </c>
      <c r="E650" s="5" t="s">
        <v>10</v>
      </c>
      <c r="F650" s="8">
        <v>11.97</v>
      </c>
      <c r="G650" s="8">
        <v>56.56</v>
      </c>
    </row>
    <row r="651" spans="1:7" x14ac:dyDescent="0.35">
      <c r="A651" s="4">
        <v>239645400</v>
      </c>
      <c r="B651" s="5" t="s">
        <v>300</v>
      </c>
      <c r="C651" s="5" t="s">
        <v>23</v>
      </c>
      <c r="D651" s="4">
        <v>4</v>
      </c>
      <c r="E651" s="5" t="s">
        <v>10</v>
      </c>
      <c r="F651" s="8">
        <v>860.25</v>
      </c>
      <c r="G651" s="8">
        <v>4065.17</v>
      </c>
    </row>
    <row r="652" spans="1:7" x14ac:dyDescent="0.35">
      <c r="A652" s="2">
        <v>239645400</v>
      </c>
      <c r="B652" s="3" t="s">
        <v>300</v>
      </c>
      <c r="C652" s="3" t="s">
        <v>23</v>
      </c>
      <c r="D652" s="2">
        <v>4</v>
      </c>
      <c r="E652" s="3" t="s">
        <v>10</v>
      </c>
      <c r="F652" s="7">
        <v>54.48</v>
      </c>
      <c r="G652" s="7">
        <v>257.45</v>
      </c>
    </row>
    <row r="653" spans="1:7" x14ac:dyDescent="0.35">
      <c r="A653" s="4">
        <v>239645930</v>
      </c>
      <c r="B653" s="5" t="s">
        <v>301</v>
      </c>
      <c r="C653" s="5" t="s">
        <v>23</v>
      </c>
      <c r="D653" s="4">
        <v>4</v>
      </c>
      <c r="E653" s="5" t="s">
        <v>10</v>
      </c>
      <c r="F653" s="8">
        <v>2220.48</v>
      </c>
      <c r="G653" s="8">
        <v>11924.82</v>
      </c>
    </row>
    <row r="654" spans="1:7" x14ac:dyDescent="0.35">
      <c r="A654" s="4">
        <v>239641079</v>
      </c>
      <c r="B654" s="5" t="s">
        <v>302</v>
      </c>
      <c r="C654" s="5" t="s">
        <v>23</v>
      </c>
      <c r="D654" s="4">
        <v>6</v>
      </c>
      <c r="E654" s="5" t="s">
        <v>8</v>
      </c>
      <c r="F654" s="8">
        <v>180</v>
      </c>
      <c r="G654" s="8">
        <v>906.82</v>
      </c>
    </row>
    <row r="655" spans="1:7" x14ac:dyDescent="0.35">
      <c r="A655" s="4">
        <v>239642530</v>
      </c>
      <c r="B655" s="5" t="s">
        <v>303</v>
      </c>
      <c r="C655" s="5" t="s">
        <v>23</v>
      </c>
      <c r="D655" s="4">
        <v>4</v>
      </c>
      <c r="E655" s="5" t="s">
        <v>10</v>
      </c>
      <c r="F655" s="8">
        <v>550.54999999999995</v>
      </c>
      <c r="G655" s="8">
        <v>2658.1</v>
      </c>
    </row>
    <row r="656" spans="1:7" x14ac:dyDescent="0.35">
      <c r="A656" s="2">
        <v>239642530</v>
      </c>
      <c r="B656" s="3" t="s">
        <v>303</v>
      </c>
      <c r="C656" s="3" t="s">
        <v>23</v>
      </c>
      <c r="D656" s="2">
        <v>4</v>
      </c>
      <c r="E656" s="3" t="s">
        <v>10</v>
      </c>
      <c r="F656" s="7">
        <v>56.33</v>
      </c>
      <c r="G656" s="7">
        <v>271.95999999999998</v>
      </c>
    </row>
    <row r="657" spans="1:7" x14ac:dyDescent="0.35">
      <c r="A657" s="4">
        <v>239642530</v>
      </c>
      <c r="B657" s="5" t="s">
        <v>303</v>
      </c>
      <c r="C657" s="5" t="s">
        <v>23</v>
      </c>
      <c r="D657" s="4">
        <v>4</v>
      </c>
      <c r="E657" s="5" t="s">
        <v>10</v>
      </c>
      <c r="F657" s="8">
        <v>704.7</v>
      </c>
      <c r="G657" s="8">
        <v>3330.12</v>
      </c>
    </row>
    <row r="658" spans="1:7" x14ac:dyDescent="0.35">
      <c r="A658" s="2">
        <v>239642530</v>
      </c>
      <c r="B658" s="3" t="s">
        <v>303</v>
      </c>
      <c r="C658" s="3" t="s">
        <v>23</v>
      </c>
      <c r="D658" s="2">
        <v>4</v>
      </c>
      <c r="E658" s="3" t="s">
        <v>10</v>
      </c>
      <c r="F658" s="7">
        <v>14.88</v>
      </c>
      <c r="G658" s="7">
        <v>70.319999999999993</v>
      </c>
    </row>
    <row r="659" spans="1:7" x14ac:dyDescent="0.35">
      <c r="A659" s="2">
        <v>239660083</v>
      </c>
      <c r="B659" s="3" t="s">
        <v>304</v>
      </c>
      <c r="C659" s="3" t="s">
        <v>23</v>
      </c>
      <c r="D659" s="2">
        <v>4</v>
      </c>
      <c r="E659" s="3" t="s">
        <v>10</v>
      </c>
      <c r="F659" s="7">
        <v>1867.97</v>
      </c>
      <c r="G659" s="7">
        <v>8827.26</v>
      </c>
    </row>
    <row r="660" spans="1:7" x14ac:dyDescent="0.35">
      <c r="A660" s="4">
        <v>239660083</v>
      </c>
      <c r="B660" s="5" t="s">
        <v>304</v>
      </c>
      <c r="C660" s="5" t="s">
        <v>23</v>
      </c>
      <c r="D660" s="4">
        <v>4</v>
      </c>
      <c r="E660" s="5" t="s">
        <v>10</v>
      </c>
      <c r="F660" s="8">
        <v>424.09</v>
      </c>
      <c r="G660" s="8">
        <v>2004.07</v>
      </c>
    </row>
    <row r="661" spans="1:7" x14ac:dyDescent="0.35">
      <c r="A661" s="2">
        <v>239660083</v>
      </c>
      <c r="B661" s="3" t="s">
        <v>304</v>
      </c>
      <c r="C661" s="3" t="s">
        <v>23</v>
      </c>
      <c r="D661" s="2">
        <v>4</v>
      </c>
      <c r="E661" s="3" t="s">
        <v>10</v>
      </c>
      <c r="F661" s="7">
        <v>749.7</v>
      </c>
      <c r="G661" s="7">
        <v>3542.78</v>
      </c>
    </row>
    <row r="662" spans="1:7" x14ac:dyDescent="0.35">
      <c r="A662" s="4">
        <v>239660083</v>
      </c>
      <c r="B662" s="5" t="s">
        <v>304</v>
      </c>
      <c r="C662" s="5" t="s">
        <v>23</v>
      </c>
      <c r="D662" s="4">
        <v>4</v>
      </c>
      <c r="E662" s="5" t="s">
        <v>10</v>
      </c>
      <c r="F662" s="8">
        <v>25.14</v>
      </c>
      <c r="G662" s="8">
        <v>118.8</v>
      </c>
    </row>
    <row r="663" spans="1:7" x14ac:dyDescent="0.35">
      <c r="A663" s="2">
        <v>239643534</v>
      </c>
      <c r="B663" s="3" t="s">
        <v>305</v>
      </c>
      <c r="C663" s="3" t="s">
        <v>23</v>
      </c>
      <c r="D663" s="2">
        <v>4</v>
      </c>
      <c r="E663" s="3" t="s">
        <v>10</v>
      </c>
      <c r="F663" s="7">
        <v>915.96</v>
      </c>
      <c r="G663" s="7">
        <v>4905.04</v>
      </c>
    </row>
    <row r="664" spans="1:7" x14ac:dyDescent="0.35">
      <c r="A664" s="2">
        <v>239658758</v>
      </c>
      <c r="B664" s="3" t="s">
        <v>306</v>
      </c>
      <c r="C664" s="3" t="s">
        <v>23</v>
      </c>
      <c r="D664" s="2">
        <v>4</v>
      </c>
      <c r="E664" s="3" t="s">
        <v>10</v>
      </c>
      <c r="F664" s="7">
        <v>1620</v>
      </c>
      <c r="G664" s="7">
        <v>8445.06</v>
      </c>
    </row>
    <row r="665" spans="1:7" x14ac:dyDescent="0.35">
      <c r="A665" s="4">
        <v>239658758</v>
      </c>
      <c r="B665" s="5" t="s">
        <v>306</v>
      </c>
      <c r="C665" s="5" t="s">
        <v>23</v>
      </c>
      <c r="D665" s="4">
        <v>4</v>
      </c>
      <c r="E665" s="5" t="s">
        <v>10</v>
      </c>
      <c r="F665" s="8">
        <v>2</v>
      </c>
      <c r="G665" s="8">
        <v>10.43</v>
      </c>
    </row>
    <row r="666" spans="1:7" x14ac:dyDescent="0.35">
      <c r="A666" s="2">
        <v>239658758</v>
      </c>
      <c r="B666" s="3" t="s">
        <v>306</v>
      </c>
      <c r="C666" s="3" t="s">
        <v>23</v>
      </c>
      <c r="D666" s="2">
        <v>4</v>
      </c>
      <c r="E666" s="3" t="s">
        <v>10</v>
      </c>
      <c r="F666" s="7">
        <v>750</v>
      </c>
      <c r="G666" s="7">
        <v>3909.75</v>
      </c>
    </row>
    <row r="667" spans="1:7" x14ac:dyDescent="0.35">
      <c r="A667" s="4">
        <v>239685790</v>
      </c>
      <c r="B667" s="5" t="s">
        <v>307</v>
      </c>
      <c r="C667" s="5" t="s">
        <v>23</v>
      </c>
      <c r="D667" s="4">
        <v>24</v>
      </c>
      <c r="E667" s="5" t="s">
        <v>5</v>
      </c>
      <c r="F667" s="8">
        <v>705.63</v>
      </c>
      <c r="G667" s="8">
        <v>705.63</v>
      </c>
    </row>
    <row r="668" spans="1:7" x14ac:dyDescent="0.35">
      <c r="A668" s="2">
        <v>239662154</v>
      </c>
      <c r="B668" s="3" t="s">
        <v>308</v>
      </c>
      <c r="C668" s="3" t="s">
        <v>23</v>
      </c>
      <c r="D668" s="2">
        <v>4</v>
      </c>
      <c r="E668" s="3" t="s">
        <v>10</v>
      </c>
      <c r="F668" s="7">
        <v>1485</v>
      </c>
      <c r="G668" s="7">
        <v>7169.71</v>
      </c>
    </row>
    <row r="669" spans="1:7" x14ac:dyDescent="0.35">
      <c r="A669" s="4">
        <v>239662154</v>
      </c>
      <c r="B669" s="5" t="s">
        <v>308</v>
      </c>
      <c r="C669" s="5" t="s">
        <v>23</v>
      </c>
      <c r="D669" s="4">
        <v>4</v>
      </c>
      <c r="E669" s="5" t="s">
        <v>10</v>
      </c>
      <c r="F669" s="8">
        <v>282.14999999999998</v>
      </c>
      <c r="G669" s="8">
        <v>1362.24</v>
      </c>
    </row>
    <row r="670" spans="1:7" x14ac:dyDescent="0.35">
      <c r="A670" s="4">
        <v>239651203</v>
      </c>
      <c r="B670" s="5" t="s">
        <v>309</v>
      </c>
      <c r="C670" s="5" t="s">
        <v>23</v>
      </c>
      <c r="D670" s="4">
        <v>4</v>
      </c>
      <c r="E670" s="5" t="s">
        <v>10</v>
      </c>
      <c r="F670" s="8">
        <v>653.58000000000004</v>
      </c>
      <c r="G670" s="8">
        <v>3490.63</v>
      </c>
    </row>
    <row r="671" spans="1:7" x14ac:dyDescent="0.35">
      <c r="A671" s="2">
        <v>239660858</v>
      </c>
      <c r="B671" s="3" t="s">
        <v>310</v>
      </c>
      <c r="C671" s="3" t="s">
        <v>23</v>
      </c>
      <c r="D671" s="2">
        <v>24</v>
      </c>
      <c r="E671" s="3" t="s">
        <v>5</v>
      </c>
      <c r="F671" s="7">
        <v>573.69000000000005</v>
      </c>
      <c r="G671" s="7">
        <v>573.69000000000005</v>
      </c>
    </row>
    <row r="672" spans="1:7" x14ac:dyDescent="0.35">
      <c r="A672" s="4">
        <v>239643743</v>
      </c>
      <c r="B672" s="5" t="s">
        <v>311</v>
      </c>
      <c r="C672" s="5" t="s">
        <v>23</v>
      </c>
      <c r="D672" s="4">
        <v>15</v>
      </c>
      <c r="E672" s="5" t="s">
        <v>43</v>
      </c>
      <c r="F672" s="8">
        <v>2000</v>
      </c>
      <c r="G672" s="8">
        <v>2000</v>
      </c>
    </row>
    <row r="673" spans="1:7" x14ac:dyDescent="0.35">
      <c r="A673" s="2">
        <v>239643743</v>
      </c>
      <c r="B673" s="3" t="s">
        <v>311</v>
      </c>
      <c r="C673" s="3" t="s">
        <v>23</v>
      </c>
      <c r="D673" s="2">
        <v>15</v>
      </c>
      <c r="E673" s="3" t="s">
        <v>43</v>
      </c>
      <c r="F673" s="7">
        <v>995.8</v>
      </c>
      <c r="G673" s="7">
        <v>995.8</v>
      </c>
    </row>
    <row r="674" spans="1:7" x14ac:dyDescent="0.35">
      <c r="A674" s="4">
        <v>239640888</v>
      </c>
      <c r="B674" s="5" t="s">
        <v>312</v>
      </c>
      <c r="C674" s="5" t="s">
        <v>23</v>
      </c>
      <c r="D674" s="4">
        <v>4</v>
      </c>
      <c r="E674" s="5" t="s">
        <v>10</v>
      </c>
      <c r="F674" s="8">
        <v>602.70000000000005</v>
      </c>
      <c r="G674" s="8">
        <v>3236.73</v>
      </c>
    </row>
    <row r="675" spans="1:7" x14ac:dyDescent="0.35">
      <c r="A675" s="2">
        <v>239640888</v>
      </c>
      <c r="B675" s="3" t="s">
        <v>312</v>
      </c>
      <c r="C675" s="3" t="s">
        <v>23</v>
      </c>
      <c r="D675" s="2">
        <v>4</v>
      </c>
      <c r="E675" s="3" t="s">
        <v>10</v>
      </c>
      <c r="F675" s="7">
        <v>722.69</v>
      </c>
      <c r="G675" s="7">
        <v>3881.13</v>
      </c>
    </row>
    <row r="676" spans="1:7" x14ac:dyDescent="0.35">
      <c r="A676" s="4">
        <v>239640888</v>
      </c>
      <c r="B676" s="5" t="s">
        <v>312</v>
      </c>
      <c r="C676" s="5" t="s">
        <v>23</v>
      </c>
      <c r="D676" s="4">
        <v>4</v>
      </c>
      <c r="E676" s="5" t="s">
        <v>10</v>
      </c>
      <c r="F676" s="8">
        <v>2557.96</v>
      </c>
      <c r="G676" s="8">
        <v>13661.5</v>
      </c>
    </row>
    <row r="677" spans="1:7" x14ac:dyDescent="0.35">
      <c r="A677" s="2">
        <v>239655651</v>
      </c>
      <c r="B677" s="3" t="s">
        <v>312</v>
      </c>
      <c r="C677" s="3" t="s">
        <v>23</v>
      </c>
      <c r="D677" s="2">
        <v>24</v>
      </c>
      <c r="E677" s="3" t="s">
        <v>5</v>
      </c>
      <c r="F677" s="7">
        <v>557.30999999999995</v>
      </c>
      <c r="G677" s="7">
        <v>557.30999999999995</v>
      </c>
    </row>
    <row r="678" spans="1:7" x14ac:dyDescent="0.35">
      <c r="A678" s="2">
        <v>239936384</v>
      </c>
      <c r="B678" s="3" t="s">
        <v>313</v>
      </c>
      <c r="C678" s="3" t="s">
        <v>23</v>
      </c>
      <c r="D678" s="2">
        <v>24</v>
      </c>
      <c r="E678" s="3" t="s">
        <v>5</v>
      </c>
      <c r="F678" s="7">
        <v>311.08999999999997</v>
      </c>
      <c r="G678" s="7">
        <v>311.08999999999997</v>
      </c>
    </row>
    <row r="679" spans="1:7" x14ac:dyDescent="0.35">
      <c r="A679" s="4">
        <v>239651070</v>
      </c>
      <c r="B679" s="5" t="s">
        <v>314</v>
      </c>
      <c r="C679" s="5" t="s">
        <v>23</v>
      </c>
      <c r="D679" s="4">
        <v>6</v>
      </c>
      <c r="E679" s="5" t="s">
        <v>8</v>
      </c>
      <c r="F679" s="8">
        <v>350</v>
      </c>
      <c r="G679" s="8">
        <v>1824.55</v>
      </c>
    </row>
    <row r="680" spans="1:7" x14ac:dyDescent="0.35">
      <c r="A680" s="2">
        <v>239651070</v>
      </c>
      <c r="B680" s="3" t="s">
        <v>314</v>
      </c>
      <c r="C680" s="3" t="s">
        <v>23</v>
      </c>
      <c r="D680" s="2">
        <v>6</v>
      </c>
      <c r="E680" s="3" t="s">
        <v>8</v>
      </c>
      <c r="F680" s="7">
        <v>2</v>
      </c>
      <c r="G680" s="7">
        <v>10.43</v>
      </c>
    </row>
    <row r="681" spans="1:7" x14ac:dyDescent="0.35">
      <c r="A681" s="4">
        <v>240090239</v>
      </c>
      <c r="B681" s="5" t="s">
        <v>315</v>
      </c>
      <c r="C681" s="5" t="s">
        <v>23</v>
      </c>
      <c r="D681" s="4">
        <v>8</v>
      </c>
      <c r="E681" s="5" t="s">
        <v>36</v>
      </c>
      <c r="F681" s="8">
        <v>23200.54</v>
      </c>
      <c r="G681" s="8">
        <v>23200.54</v>
      </c>
    </row>
    <row r="682" spans="1:7" x14ac:dyDescent="0.35">
      <c r="A682" s="2">
        <v>240289630</v>
      </c>
      <c r="B682" s="3" t="s">
        <v>316</v>
      </c>
      <c r="C682" s="3" t="s">
        <v>23</v>
      </c>
      <c r="D682" s="2">
        <v>8</v>
      </c>
      <c r="E682" s="3" t="s">
        <v>36</v>
      </c>
      <c r="F682" s="7">
        <v>12210.5</v>
      </c>
      <c r="G682" s="7">
        <v>12210.5</v>
      </c>
    </row>
    <row r="683" spans="1:7" x14ac:dyDescent="0.35">
      <c r="A683" s="4">
        <v>239642695</v>
      </c>
      <c r="B683" s="5" t="s">
        <v>317</v>
      </c>
      <c r="C683" s="5" t="s">
        <v>23</v>
      </c>
      <c r="D683" s="4">
        <v>4</v>
      </c>
      <c r="E683" s="5" t="s">
        <v>10</v>
      </c>
      <c r="F683" s="8">
        <v>2342.38</v>
      </c>
      <c r="G683" s="8">
        <v>11069.12</v>
      </c>
    </row>
    <row r="684" spans="1:7" x14ac:dyDescent="0.35">
      <c r="A684" s="2">
        <v>239642695</v>
      </c>
      <c r="B684" s="3" t="s">
        <v>317</v>
      </c>
      <c r="C684" s="3" t="s">
        <v>23</v>
      </c>
      <c r="D684" s="2">
        <v>4</v>
      </c>
      <c r="E684" s="3" t="s">
        <v>10</v>
      </c>
      <c r="F684" s="7">
        <v>445.05</v>
      </c>
      <c r="G684" s="7">
        <v>2103.13</v>
      </c>
    </row>
    <row r="685" spans="1:7" x14ac:dyDescent="0.35">
      <c r="A685" s="4">
        <v>239647581</v>
      </c>
      <c r="B685" s="5" t="s">
        <v>318</v>
      </c>
      <c r="C685" s="5" t="s">
        <v>23</v>
      </c>
      <c r="D685" s="4">
        <v>24</v>
      </c>
      <c r="E685" s="5" t="s">
        <v>5</v>
      </c>
      <c r="F685" s="8">
        <v>494.44</v>
      </c>
      <c r="G685" s="8">
        <v>494.44</v>
      </c>
    </row>
    <row r="686" spans="1:7" x14ac:dyDescent="0.35">
      <c r="A686" s="2">
        <v>239657676</v>
      </c>
      <c r="B686" s="3" t="s">
        <v>319</v>
      </c>
      <c r="C686" s="3" t="s">
        <v>23</v>
      </c>
      <c r="D686" s="2">
        <v>4</v>
      </c>
      <c r="E686" s="3" t="s">
        <v>10</v>
      </c>
      <c r="F686" s="7">
        <v>1164.1500000000001</v>
      </c>
      <c r="G686" s="7">
        <v>5608.15</v>
      </c>
    </row>
    <row r="687" spans="1:7" x14ac:dyDescent="0.35">
      <c r="A687" s="4">
        <v>239657676</v>
      </c>
      <c r="B687" s="5" t="s">
        <v>319</v>
      </c>
      <c r="C687" s="5" t="s">
        <v>23</v>
      </c>
      <c r="D687" s="4">
        <v>4</v>
      </c>
      <c r="E687" s="5" t="s">
        <v>10</v>
      </c>
      <c r="F687" s="8">
        <v>119.1</v>
      </c>
      <c r="G687" s="8">
        <v>573.75</v>
      </c>
    </row>
    <row r="688" spans="1:7" x14ac:dyDescent="0.35">
      <c r="A688" s="2">
        <v>239646043</v>
      </c>
      <c r="B688" s="3" t="s">
        <v>320</v>
      </c>
      <c r="C688" s="3" t="s">
        <v>23</v>
      </c>
      <c r="D688" s="2">
        <v>4</v>
      </c>
      <c r="E688" s="3" t="s">
        <v>10</v>
      </c>
      <c r="F688" s="7">
        <v>1185</v>
      </c>
      <c r="G688" s="7">
        <v>5414.69</v>
      </c>
    </row>
    <row r="689" spans="1:7" x14ac:dyDescent="0.35">
      <c r="A689" s="2">
        <v>239641273</v>
      </c>
      <c r="B689" s="3" t="s">
        <v>321</v>
      </c>
      <c r="C689" s="3" t="s">
        <v>23</v>
      </c>
      <c r="D689" s="2">
        <v>24</v>
      </c>
      <c r="E689" s="3" t="s">
        <v>5</v>
      </c>
      <c r="F689" s="7">
        <v>415.45</v>
      </c>
      <c r="G689" s="7">
        <v>415.45</v>
      </c>
    </row>
    <row r="690" spans="1:7" x14ac:dyDescent="0.35">
      <c r="A690" s="2">
        <v>239650797</v>
      </c>
      <c r="B690" s="3" t="s">
        <v>322</v>
      </c>
      <c r="C690" s="3" t="s">
        <v>23</v>
      </c>
      <c r="D690" s="2">
        <v>24</v>
      </c>
      <c r="E690" s="3" t="s">
        <v>5</v>
      </c>
      <c r="F690" s="7">
        <v>1079.98</v>
      </c>
      <c r="G690" s="7">
        <v>1079.98</v>
      </c>
    </row>
    <row r="691" spans="1:7" x14ac:dyDescent="0.35">
      <c r="A691" s="4">
        <v>239650797</v>
      </c>
      <c r="B691" s="5" t="s">
        <v>322</v>
      </c>
      <c r="C691" s="5" t="s">
        <v>23</v>
      </c>
      <c r="D691" s="4">
        <v>24</v>
      </c>
      <c r="E691" s="5" t="s">
        <v>5</v>
      </c>
      <c r="F691" s="8">
        <v>68.94</v>
      </c>
      <c r="G691" s="8">
        <v>68.94</v>
      </c>
    </row>
    <row r="692" spans="1:7" x14ac:dyDescent="0.35">
      <c r="A692" s="2">
        <v>239650972</v>
      </c>
      <c r="B692" s="3" t="s">
        <v>323</v>
      </c>
      <c r="C692" s="3" t="s">
        <v>23</v>
      </c>
      <c r="D692" s="2">
        <v>15</v>
      </c>
      <c r="E692" s="3" t="s">
        <v>43</v>
      </c>
      <c r="F692" s="7">
        <v>2106.79</v>
      </c>
      <c r="G692" s="7">
        <v>2106.79</v>
      </c>
    </row>
    <row r="693" spans="1:7" x14ac:dyDescent="0.35">
      <c r="A693" s="2">
        <v>239641410</v>
      </c>
      <c r="B693" s="3" t="s">
        <v>324</v>
      </c>
      <c r="C693" s="3" t="s">
        <v>23</v>
      </c>
      <c r="D693" s="2">
        <v>26</v>
      </c>
      <c r="E693" s="3" t="s">
        <v>249</v>
      </c>
      <c r="F693" s="7">
        <v>4200</v>
      </c>
      <c r="G693" s="7">
        <v>4200</v>
      </c>
    </row>
    <row r="694" spans="1:7" x14ac:dyDescent="0.35">
      <c r="A694" s="4">
        <v>239685693</v>
      </c>
      <c r="B694" s="5" t="s">
        <v>325</v>
      </c>
      <c r="C694" s="5" t="s">
        <v>23</v>
      </c>
      <c r="D694" s="4">
        <v>24</v>
      </c>
      <c r="E694" s="5" t="s">
        <v>5</v>
      </c>
      <c r="F694" s="8">
        <v>351.85</v>
      </c>
      <c r="G694" s="8">
        <v>351.85</v>
      </c>
    </row>
    <row r="695" spans="1:7" x14ac:dyDescent="0.35">
      <c r="A695" s="2">
        <v>239644595</v>
      </c>
      <c r="B695" s="3" t="s">
        <v>326</v>
      </c>
      <c r="C695" s="3" t="s">
        <v>23</v>
      </c>
      <c r="D695" s="2">
        <v>24</v>
      </c>
      <c r="E695" s="3" t="s">
        <v>5</v>
      </c>
      <c r="F695" s="7">
        <v>354.38</v>
      </c>
      <c r="G695" s="7">
        <v>354.38</v>
      </c>
    </row>
    <row r="696" spans="1:7" x14ac:dyDescent="0.35">
      <c r="A696" s="2">
        <v>239642146</v>
      </c>
      <c r="B696" s="3" t="s">
        <v>327</v>
      </c>
      <c r="C696" s="3" t="s">
        <v>23</v>
      </c>
      <c r="D696" s="2">
        <v>24</v>
      </c>
      <c r="E696" s="3" t="s">
        <v>5</v>
      </c>
      <c r="F696" s="7">
        <v>348.31</v>
      </c>
      <c r="G696" s="7">
        <v>348.31</v>
      </c>
    </row>
    <row r="697" spans="1:7" x14ac:dyDescent="0.35">
      <c r="A697" s="2">
        <v>239657262</v>
      </c>
      <c r="B697" s="3" t="s">
        <v>328</v>
      </c>
      <c r="C697" s="3" t="s">
        <v>23</v>
      </c>
      <c r="D697" s="2">
        <v>15</v>
      </c>
      <c r="E697" s="3" t="s">
        <v>43</v>
      </c>
      <c r="F697" s="7">
        <v>3000</v>
      </c>
      <c r="G697" s="7">
        <v>3000</v>
      </c>
    </row>
    <row r="698" spans="1:7" x14ac:dyDescent="0.35">
      <c r="A698" s="2">
        <v>239640003</v>
      </c>
      <c r="B698" s="3" t="s">
        <v>329</v>
      </c>
      <c r="C698" s="3" t="s">
        <v>23</v>
      </c>
      <c r="D698" s="2">
        <v>24</v>
      </c>
      <c r="E698" s="3" t="s">
        <v>5</v>
      </c>
      <c r="F698" s="7">
        <v>330.94</v>
      </c>
      <c r="G698" s="7">
        <v>330.94</v>
      </c>
    </row>
    <row r="699" spans="1:7" x14ac:dyDescent="0.35">
      <c r="A699" s="4">
        <v>239641784</v>
      </c>
      <c r="B699" s="5" t="s">
        <v>330</v>
      </c>
      <c r="C699" s="5" t="s">
        <v>23</v>
      </c>
      <c r="D699" s="4">
        <v>6</v>
      </c>
      <c r="E699" s="5" t="s">
        <v>8</v>
      </c>
      <c r="F699" s="8">
        <v>300</v>
      </c>
      <c r="G699" s="8">
        <v>1741.09</v>
      </c>
    </row>
    <row r="700" spans="1:7" x14ac:dyDescent="0.35">
      <c r="A700" s="2">
        <v>239648152</v>
      </c>
      <c r="B700" s="3" t="s">
        <v>331</v>
      </c>
      <c r="C700" s="3" t="s">
        <v>23</v>
      </c>
      <c r="D700" s="2">
        <v>4</v>
      </c>
      <c r="E700" s="3" t="s">
        <v>10</v>
      </c>
      <c r="F700" s="7">
        <v>695</v>
      </c>
      <c r="G700" s="7">
        <v>4033.52</v>
      </c>
    </row>
    <row r="701" spans="1:7" x14ac:dyDescent="0.35">
      <c r="A701" s="4">
        <v>239648152</v>
      </c>
      <c r="B701" s="5" t="s">
        <v>331</v>
      </c>
      <c r="C701" s="5" t="s">
        <v>23</v>
      </c>
      <c r="D701" s="4">
        <v>4</v>
      </c>
      <c r="E701" s="5" t="s">
        <v>10</v>
      </c>
      <c r="F701" s="8">
        <v>400</v>
      </c>
      <c r="G701" s="8">
        <v>2321.4499999999998</v>
      </c>
    </row>
    <row r="702" spans="1:7" x14ac:dyDescent="0.35">
      <c r="A702" s="2">
        <v>239653156</v>
      </c>
      <c r="B702" s="3" t="s">
        <v>332</v>
      </c>
      <c r="C702" s="3" t="s">
        <v>23</v>
      </c>
      <c r="D702" s="2">
        <v>24</v>
      </c>
      <c r="E702" s="3" t="s">
        <v>5</v>
      </c>
      <c r="F702" s="7">
        <v>310.85000000000002</v>
      </c>
      <c r="G702" s="7">
        <v>310.85000000000002</v>
      </c>
    </row>
    <row r="703" spans="1:7" x14ac:dyDescent="0.35">
      <c r="A703" s="2">
        <v>239755325</v>
      </c>
      <c r="B703" s="3" t="s">
        <v>333</v>
      </c>
      <c r="C703" s="3" t="s">
        <v>23</v>
      </c>
      <c r="D703" s="2">
        <v>24</v>
      </c>
      <c r="E703" s="3" t="s">
        <v>5</v>
      </c>
      <c r="F703" s="7">
        <v>327.12</v>
      </c>
      <c r="G703" s="7">
        <v>327.12</v>
      </c>
    </row>
    <row r="704" spans="1:7" x14ac:dyDescent="0.35">
      <c r="A704" s="4">
        <v>239654238</v>
      </c>
      <c r="B704" s="5" t="s">
        <v>334</v>
      </c>
      <c r="C704" s="5" t="s">
        <v>23</v>
      </c>
      <c r="D704" s="4">
        <v>4</v>
      </c>
      <c r="E704" s="5" t="s">
        <v>10</v>
      </c>
      <c r="F704" s="8">
        <v>9784.73</v>
      </c>
      <c r="G704" s="8">
        <v>52547.74</v>
      </c>
    </row>
    <row r="705" spans="1:7" x14ac:dyDescent="0.35">
      <c r="A705" s="4">
        <v>239883966</v>
      </c>
      <c r="B705" s="5" t="s">
        <v>335</v>
      </c>
      <c r="C705" s="5" t="s">
        <v>23</v>
      </c>
      <c r="D705" s="4">
        <v>24</v>
      </c>
      <c r="E705" s="5" t="s">
        <v>5</v>
      </c>
      <c r="F705" s="8">
        <v>400.64</v>
      </c>
      <c r="G705" s="8">
        <v>400.64</v>
      </c>
    </row>
    <row r="706" spans="1:7" x14ac:dyDescent="0.35">
      <c r="A706" s="2">
        <v>239642165</v>
      </c>
      <c r="B706" s="3" t="s">
        <v>336</v>
      </c>
      <c r="C706" s="3" t="s">
        <v>23</v>
      </c>
      <c r="D706" s="2">
        <v>6</v>
      </c>
      <c r="E706" s="3" t="s">
        <v>8</v>
      </c>
      <c r="F706" s="7">
        <v>375</v>
      </c>
      <c r="G706" s="7">
        <v>2176.36</v>
      </c>
    </row>
    <row r="707" spans="1:7" x14ac:dyDescent="0.35">
      <c r="A707" s="4">
        <v>239647577</v>
      </c>
      <c r="B707" s="5" t="s">
        <v>337</v>
      </c>
      <c r="C707" s="5" t="s">
        <v>23</v>
      </c>
      <c r="D707" s="4">
        <v>24</v>
      </c>
      <c r="E707" s="5" t="s">
        <v>5</v>
      </c>
      <c r="F707" s="8">
        <v>373.97</v>
      </c>
      <c r="G707" s="8">
        <v>373.97</v>
      </c>
    </row>
    <row r="708" spans="1:7" x14ac:dyDescent="0.35">
      <c r="A708" s="2">
        <v>240006458</v>
      </c>
      <c r="B708" s="3" t="s">
        <v>338</v>
      </c>
      <c r="C708" s="3" t="s">
        <v>23</v>
      </c>
      <c r="D708" s="2">
        <v>24</v>
      </c>
      <c r="E708" s="3" t="s">
        <v>5</v>
      </c>
      <c r="F708" s="7">
        <v>911.05</v>
      </c>
      <c r="G708" s="7">
        <v>911.05</v>
      </c>
    </row>
    <row r="709" spans="1:7" x14ac:dyDescent="0.35">
      <c r="A709" s="2">
        <v>240250379</v>
      </c>
      <c r="B709" s="3" t="s">
        <v>339</v>
      </c>
      <c r="C709" s="3" t="s">
        <v>23</v>
      </c>
      <c r="D709" s="2">
        <v>4</v>
      </c>
      <c r="E709" s="3" t="s">
        <v>10</v>
      </c>
      <c r="F709" s="7">
        <v>842.8</v>
      </c>
      <c r="G709" s="7">
        <v>842.8</v>
      </c>
    </row>
    <row r="710" spans="1:7" x14ac:dyDescent="0.35">
      <c r="A710" s="4">
        <v>240250379</v>
      </c>
      <c r="B710" s="5" t="s">
        <v>339</v>
      </c>
      <c r="C710" s="5" t="s">
        <v>23</v>
      </c>
      <c r="D710" s="4">
        <v>4</v>
      </c>
      <c r="E710" s="5" t="s">
        <v>10</v>
      </c>
      <c r="F710" s="8">
        <v>13210.11</v>
      </c>
      <c r="G710" s="8">
        <v>13210.11</v>
      </c>
    </row>
    <row r="711" spans="1:7" x14ac:dyDescent="0.35">
      <c r="A711" s="4">
        <v>239923586</v>
      </c>
      <c r="B711" s="5" t="s">
        <v>340</v>
      </c>
      <c r="C711" s="5" t="s">
        <v>23</v>
      </c>
      <c r="D711" s="4">
        <v>24</v>
      </c>
      <c r="E711" s="5" t="s">
        <v>5</v>
      </c>
      <c r="F711" s="8">
        <v>466.39</v>
      </c>
      <c r="G711" s="8">
        <v>466.39</v>
      </c>
    </row>
    <row r="712" spans="1:7" x14ac:dyDescent="0.35">
      <c r="A712" s="4">
        <v>240090452</v>
      </c>
      <c r="B712" s="5" t="s">
        <v>341</v>
      </c>
      <c r="C712" s="5" t="s">
        <v>23</v>
      </c>
      <c r="D712" s="4">
        <v>24</v>
      </c>
      <c r="E712" s="5" t="s">
        <v>5</v>
      </c>
      <c r="F712" s="8">
        <v>639.94000000000005</v>
      </c>
      <c r="G712" s="8">
        <v>639.94000000000005</v>
      </c>
    </row>
    <row r="713" spans="1:7" x14ac:dyDescent="0.35">
      <c r="A713" s="4">
        <v>240166071</v>
      </c>
      <c r="B713" s="5" t="s">
        <v>342</v>
      </c>
      <c r="C713" s="5" t="s">
        <v>23</v>
      </c>
      <c r="D713" s="4">
        <v>24</v>
      </c>
      <c r="E713" s="5" t="s">
        <v>5</v>
      </c>
      <c r="F713" s="8">
        <v>395.17</v>
      </c>
      <c r="G713" s="8">
        <v>395.17</v>
      </c>
    </row>
    <row r="714" spans="1:7" x14ac:dyDescent="0.35">
      <c r="A714" s="2">
        <v>239652304</v>
      </c>
      <c r="B714" s="3" t="s">
        <v>343</v>
      </c>
      <c r="C714" s="3" t="s">
        <v>23</v>
      </c>
      <c r="D714" s="2">
        <v>4</v>
      </c>
      <c r="E714" s="3" t="s">
        <v>10</v>
      </c>
      <c r="F714" s="7">
        <v>4681.6400000000003</v>
      </c>
      <c r="G714" s="7">
        <v>4681.6400000000003</v>
      </c>
    </row>
    <row r="715" spans="1:7" x14ac:dyDescent="0.35">
      <c r="A715" s="4">
        <v>240090355</v>
      </c>
      <c r="B715" s="5" t="s">
        <v>344</v>
      </c>
      <c r="C715" s="5" t="s">
        <v>23</v>
      </c>
      <c r="D715" s="4">
        <v>24</v>
      </c>
      <c r="E715" s="5" t="s">
        <v>5</v>
      </c>
      <c r="F715" s="8">
        <v>534.25</v>
      </c>
      <c r="G715" s="8">
        <v>534.25</v>
      </c>
    </row>
    <row r="716" spans="1:7" x14ac:dyDescent="0.35">
      <c r="A716" s="4">
        <v>240318498</v>
      </c>
      <c r="B716" s="5" t="s">
        <v>345</v>
      </c>
      <c r="C716" s="5" t="s">
        <v>23</v>
      </c>
      <c r="D716" s="4">
        <v>24</v>
      </c>
      <c r="E716" s="5" t="s">
        <v>5</v>
      </c>
      <c r="F716" s="8">
        <v>542.16999999999996</v>
      </c>
      <c r="G716" s="8">
        <v>542.16999999999996</v>
      </c>
    </row>
    <row r="717" spans="1:7" x14ac:dyDescent="0.35">
      <c r="A717" s="2">
        <v>239789422</v>
      </c>
      <c r="B717" s="3" t="s">
        <v>346</v>
      </c>
      <c r="C717" s="3" t="s">
        <v>23</v>
      </c>
      <c r="D717" s="2">
        <v>4</v>
      </c>
      <c r="E717" s="3" t="s">
        <v>10</v>
      </c>
      <c r="F717" s="7">
        <v>509</v>
      </c>
      <c r="G717" s="7">
        <v>2325.8000000000002</v>
      </c>
    </row>
    <row r="718" spans="1:7" x14ac:dyDescent="0.35">
      <c r="A718" s="4">
        <v>239789422</v>
      </c>
      <c r="B718" s="5" t="s">
        <v>346</v>
      </c>
      <c r="C718" s="5" t="s">
        <v>23</v>
      </c>
      <c r="D718" s="4">
        <v>4</v>
      </c>
      <c r="E718" s="5" t="s">
        <v>10</v>
      </c>
      <c r="F718" s="8">
        <v>764</v>
      </c>
      <c r="G718" s="8">
        <v>3490.98</v>
      </c>
    </row>
  </sheetData>
  <autoFilter ref="A1:G718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wMTUxPC9Vc2VyTmFtZT48RGF0ZVRpbWU+MDUvMDgvMjAxOSAyMTo0NDowNzwvRGF0ZVRpbWU+PExhYmVsU3RyaW5nPiAgICAgICAwNS8wOC8yMDE5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48CC9C15-46A0-40EC-91C3-F022AF2B95A2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3CE15E8-3311-4707-9CD8-B915507CA97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Armando Pellegrino Miorin</dc:creator>
  <cp:lastModifiedBy>Andre Rodrigues Antunes</cp:lastModifiedBy>
  <dcterms:created xsi:type="dcterms:W3CDTF">2019-08-05T15:42:32Z</dcterms:created>
  <dcterms:modified xsi:type="dcterms:W3CDTF">2019-08-07T18:38:01Z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9a1fd912-6de8-410d-a70f-e70be26e1fc2</vt:lpwstr>
  </property>
  <property fmtid="{D5CDD505-2E9C-101B-9397-08002B2CF9AE}" pid="3" name="bjSaver">
    <vt:lpwstr>VKL17fUGl7d4b5GpguuTapIeIeZTP1Ht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bjDocumentSecurityLabel">
    <vt:lpwstr>       05/08/2019  PÚBLICO  </vt:lpwstr>
  </property>
  <property fmtid="{D5CDD505-2E9C-101B-9397-08002B2CF9AE}" pid="7" name="X-CLASSIFIER-HEADER">
    <vt:lpwstr>[BRALL-{Classificação}]</vt:lpwstr>
  </property>
  <property fmtid="{D5CDD505-2E9C-101B-9397-08002B2CF9AE}" pid="8" name="bjLabelHistoryID">
    <vt:lpwstr>{48CC9C15-46A0-40EC-91C3-F022AF2B95A2}</vt:lpwstr>
  </property>
  <property fmtid="{D5CDD505-2E9C-101B-9397-08002B2CF9AE}" pid="9" name="bjLeftFooterLabel-first">
    <vt:lpwstr>&amp;"Calibri,Regular"&amp;08&amp;B&amp;K7F7F7FClassificação Allianz:&amp;K595959 &amp;K7F7F7FPÚBLICO</vt:lpwstr>
  </property>
  <property fmtid="{D5CDD505-2E9C-101B-9397-08002B2CF9AE}" pid="10" name="bjLeftFooterLabel-even">
    <vt:lpwstr>&amp;"Calibri,Regular"&amp;08&amp;B&amp;K7F7F7FClassificação Allianz:&amp;K595959 &amp;K7F7F7FPÚBLICO</vt:lpwstr>
  </property>
  <property fmtid="{D5CDD505-2E9C-101B-9397-08002B2CF9AE}" pid="11" name="bjLeftFooterLabel">
    <vt:lpwstr>&amp;"Calibri,Regular"&amp;08&amp;B&amp;K7F7F7FClassificação Allianz:&amp;K595959 &amp;K7F7F7FPÚBLICO</vt:lpwstr>
  </property>
</Properties>
</file>