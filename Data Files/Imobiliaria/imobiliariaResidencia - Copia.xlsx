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RPA_ALLIANZ\Data Files\Imobiliaria\"/>
    </mc:Choice>
  </mc:AlternateContent>
  <xr:revisionPtr revIDLastSave="0" documentId="13_ncr:1_{750008B3-35AF-48A1-90C0-53E175730AA1}" xr6:coauthVersionLast="36" xr6:coauthVersionMax="36" xr10:uidLastSave="{00000000-0000-0000-0000-000000000000}"/>
  <bookViews>
    <workbookView xWindow="480" yWindow="156" windowWidth="27792" windowHeight="12072" xr2:uid="{00000000-000D-0000-FFFF-FFFF00000000}"/>
  </bookViews>
  <sheets>
    <sheet name="imobiliariaResidencia" sheetId="1" r:id="rId1"/>
  </sheets>
  <externalReferences>
    <externalReference r:id="rId2"/>
  </externalReferences>
  <definedNames>
    <definedName name="_xlnm._FilterDatabase" localSheetId="0" hidden="1">imobiliariaResidencia!$A$1:$Z$19</definedName>
    <definedName name="Categoria_de_Risco">[1]Plan2!$A$2:$A$3</definedName>
  </definedNames>
  <calcPr calcId="191029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</calcChain>
</file>

<file path=xl/sharedStrings.xml><?xml version="1.0" encoding="utf-8"?>
<sst xmlns="http://schemas.openxmlformats.org/spreadsheetml/2006/main" count="287" uniqueCount="62">
  <si>
    <t xml:space="preserve">APOLICE DE GRUPO </t>
  </si>
  <si>
    <t>SUB-RAMO</t>
  </si>
  <si>
    <t>INICIO DE VIGENCIA</t>
  </si>
  <si>
    <t>CATEGORIA DE RISCO</t>
  </si>
  <si>
    <t>CPF/CNPJ DO LOCADOR</t>
  </si>
  <si>
    <t>NOME DO LOCADOR</t>
  </si>
  <si>
    <t>CPF/CNPJ DO LOCATARIO</t>
  </si>
  <si>
    <t>NOME DO LOCATARIO</t>
  </si>
  <si>
    <t>NÚMERO DO CLIENTE</t>
  </si>
  <si>
    <t>CEP</t>
  </si>
  <si>
    <t>BAIRRO</t>
  </si>
  <si>
    <t>LOGRADOURO</t>
  </si>
  <si>
    <t>ENDEREÇO</t>
  </si>
  <si>
    <t>NÚMERO</t>
  </si>
  <si>
    <t>COMPLEMENTO</t>
  </si>
  <si>
    <t>EDIFICIO</t>
  </si>
  <si>
    <t>PERDA/PAGAMENTO</t>
  </si>
  <si>
    <t>DANOS ELETRICOS</t>
  </si>
  <si>
    <t>VENDAVAL</t>
  </si>
  <si>
    <t>IMPACTO DE VEIC</t>
  </si>
  <si>
    <t>Emitir</t>
  </si>
  <si>
    <t>PREMIO</t>
  </si>
  <si>
    <t>PROPOSTA/ITEM</t>
  </si>
  <si>
    <t>APOLICE/ENDOSSO</t>
  </si>
  <si>
    <t>ERRO PREVISTO</t>
  </si>
  <si>
    <t>Log</t>
  </si>
  <si>
    <t>43477542053</t>
  </si>
  <si>
    <t>CELIA LUIZ FLORES KRAEMER</t>
  </si>
  <si>
    <t>92780600000138</t>
  </si>
  <si>
    <t>AUXILIADORA PREDIAL LTDA</t>
  </si>
  <si>
    <t>90050230</t>
  </si>
  <si>
    <t>CIDADE BAIXA</t>
  </si>
  <si>
    <t>RUA</t>
  </si>
  <si>
    <t>JOAO ALFREDO</t>
  </si>
  <si>
    <t>04/05/2022</t>
  </si>
  <si>
    <t>14425974883</t>
  </si>
  <si>
    <t>SILVANA ELIAS TESTE</t>
  </si>
  <si>
    <t>05775150</t>
  </si>
  <si>
    <t>PARQUE REGINA</t>
  </si>
  <si>
    <t>BALTAZAR VELOSO DA SILVA</t>
  </si>
  <si>
    <t>apto 40</t>
  </si>
  <si>
    <t>5177-2022-1A-14-0002486</t>
  </si>
  <si>
    <t>01/05/2022</t>
  </si>
  <si>
    <t>14425974886</t>
  </si>
  <si>
    <t>92780600000144</t>
  </si>
  <si>
    <t>Erro validação Edificio</t>
  </si>
  <si>
    <t>05771111</t>
  </si>
  <si>
    <t>Residência</t>
  </si>
  <si>
    <t>Processado</t>
  </si>
  <si>
    <t> Prêmio parcela  inferior ao  prêmio mínima da parcela</t>
  </si>
  <si>
    <t>COBERTURAS</t>
  </si>
  <si>
    <t>R$ 51,54</t>
  </si>
  <si>
    <t>115685212 / 1 / 0</t>
  </si>
  <si>
    <t>5177-2022-1A-14-0002486/000000</t>
  </si>
  <si>
    <t>EMISSÃO REALIZADA</t>
  </si>
  <si>
    <t>R$ 39,73</t>
  </si>
  <si>
    <t>115685212 / 2 / 0</t>
  </si>
  <si>
    <t> CPF ou CNPJ inválido</t>
  </si>
  <si>
    <t>Dados de Riscos</t>
  </si>
  <si>
    <t>R$ 302,54</t>
  </si>
  <si>
    <t>115685212 / 3 / 0</t>
  </si>
  <si>
    <t> O preenchimento do campo Bairro é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</si>
</sst>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&quot;-&quot;000"/>
    <numFmt numFmtId="165" formatCode="&quot;R$ &quot;#,##0.00"/>
    <numFmt numFmtId="166" formatCode="#,##0.00&quot; &quot;;#,##0.00&quot; &quot;;&quot;-&quot;#&quot; &quot;;@&quot; &quot;"/>
    <numFmt numFmtId="167" formatCode="[$R$-416]&quot; &quot;#,##0.00;[Red]&quot;-&quot;[$R$-416]&quot; &quot;#,##0.00"/>
    <numFmt numFmtId="168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166" fontId="2" fillId="0" borderId="0" applyFont="0" applyBorder="0" applyProtection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167" fontId="4" fillId="0" borderId="0" applyBorder="0" applyProtection="0"/>
  </cellStyleXfs>
  <cellXfs count="15">
    <xf numFmtId="0" fontId="0" fillId="0" borderId="0" xfId="0"/>
    <xf numFmtId="0" fontId="2" fillId="2" borderId="1" xfId="1" applyFill="1" applyBorder="1" applyAlignment="1">
      <alignment horizontal="center"/>
    </xf>
    <xf numFmtId="0" fontId="2" fillId="4" borderId="2" xfId="1" applyFill="1" applyBorder="1"/>
    <xf numFmtId="49" fontId="2" fillId="3" borderId="2" xfId="1" applyNumberFormat="1" applyFill="1" applyBorder="1"/>
    <xf numFmtId="0" fontId="2" fillId="3" borderId="2" xfId="1" applyFill="1" applyBorder="1"/>
    <xf numFmtId="49" fontId="2" fillId="4" borderId="2" xfId="1" applyNumberFormat="1" applyFill="1" applyBorder="1"/>
    <xf numFmtId="0" fontId="2" fillId="4" borderId="2" xfId="1" applyFill="1" applyBorder="1" applyAlignment="1"/>
    <xf numFmtId="164" fontId="2" fillId="4" borderId="2" xfId="1" applyNumberFormat="1" applyFill="1" applyBorder="1"/>
    <xf numFmtId="165" fontId="2" fillId="4" borderId="2" xfId="1" applyNumberFormat="1" applyFill="1" applyBorder="1"/>
    <xf numFmtId="0" fontId="1" fillId="5" borderId="3" xfId="1" applyFont="1" applyFill="1" applyBorder="1" applyAlignment="1">
      <alignment horizontal="center"/>
    </xf>
    <xf numFmtId="49" fontId="1" fillId="5" borderId="3" xfId="1" applyNumberFormat="1" applyFont="1" applyFill="1" applyBorder="1" applyAlignment="1">
      <alignment horizontal="center"/>
    </xf>
    <xf numFmtId="168" fontId="1" fillId="5" borderId="3" xfId="1" applyNumberFormat="1" applyFont="1" applyFill="1" applyBorder="1" applyAlignment="1">
      <alignment horizontal="center"/>
    </xf>
    <xf numFmtId="0" fontId="2" fillId="6" borderId="1" xfId="1" applyFill="1" applyBorder="1" applyAlignment="1">
      <alignment horizontal="center"/>
    </xf>
    <xf numFmtId="0" fontId="2" fillId="7" borderId="2" xfId="1" applyFill="1" applyBorder="1"/>
    <xf numFmtId="165" fontId="2" fillId="8" borderId="2" xfId="2" applyNumberFormat="1" applyFont="1" applyFill="1" applyBorder="1" applyAlignment="1"/>
  </cellXfs>
  <cellStyles count="7">
    <cellStyle name="Excel_BuiltIn_Currency" xfId="2" xr:uid="{00000000-0005-0000-0000-000000000000}"/>
    <cellStyle name="Heading" xfId="3" xr:uid="{00000000-0005-0000-0000-000001000000}"/>
    <cellStyle name="Heading1" xfId="4" xr:uid="{00000000-0005-0000-0000-000002000000}"/>
    <cellStyle name="Normal" xfId="0" builtin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RETORIAS/DIR%20EXE%20OPERACOES/INFRAESTRUTURA/GER%20DE%20Q.A/Silk/ActiveData/Emissao_2003/Imobiliaria_Residencia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cia"/>
      <sheetName val="Todas"/>
      <sheetName val="Plan2"/>
      <sheetName val="Residencia (2)"/>
    </sheetNames>
    <sheetDataSet>
      <sheetData sheetId="0"/>
      <sheetData sheetId="1"/>
      <sheetData sheetId="2">
        <row r="2">
          <cell r="A2" t="str">
            <v>Apartamento Habitual</v>
          </cell>
        </row>
        <row r="3">
          <cell r="A3" t="str">
            <v>Casa Habitual (Alvenaria)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showGridLines="0" tabSelected="1" zoomScale="90" zoomScaleNormal="90" workbookViewId="0">
      <selection activeCell="E22" sqref="E22"/>
    </sheetView>
  </sheetViews>
  <sheetFormatPr defaultRowHeight="14.4" x14ac:dyDescent="0.3"/>
  <cols>
    <col min="1" max="1" width="28.109375" customWidth="1" collapsed="1"/>
    <col min="2" max="2" width="11.6640625" customWidth="1" collapsed="1"/>
    <col min="3" max="3" width="23.44140625" bestFit="1" customWidth="1" collapsed="1"/>
    <col min="4" max="4" width="33" customWidth="1" collapsed="1"/>
    <col min="5" max="5" width="26.6640625" bestFit="1" customWidth="1" collapsed="1"/>
    <col min="6" max="6" width="44.5546875" bestFit="1" customWidth="1" collapsed="1"/>
    <col min="7" max="7" width="28.33203125" bestFit="1" customWidth="1" collapsed="1"/>
    <col min="8" max="8" width="26.33203125" bestFit="1" customWidth="1" collapsed="1"/>
    <col min="9" max="9" width="24.6640625" bestFit="1" customWidth="1" collapsed="1"/>
    <col min="10" max="10" width="17" customWidth="1" collapsed="1"/>
    <col min="11" max="11" width="21.6640625" bestFit="1" customWidth="1" collapsed="1"/>
    <col min="12" max="12" width="18.5546875" bestFit="1" customWidth="1" collapsed="1"/>
    <col min="13" max="13" width="45.5546875" bestFit="1" customWidth="1" collapsed="1"/>
    <col min="14" max="14" width="13.88671875" bestFit="1" customWidth="1" collapsed="1"/>
    <col min="15" max="15" width="19.88671875" bestFit="1" customWidth="1" collapsed="1"/>
    <col min="16" max="16" width="15.44140625" customWidth="1" collapsed="1"/>
    <col min="17" max="17" width="24.44140625" bestFit="1" customWidth="1" collapsed="1"/>
    <col min="18" max="18" width="21.88671875" bestFit="1" customWidth="1" collapsed="1"/>
    <col min="19" max="19" width="15.33203125" bestFit="1" customWidth="1" collapsed="1"/>
    <col min="20" max="20" width="21.33203125" bestFit="1" customWidth="1" collapsed="1"/>
    <col min="21" max="21" width="18.44140625" bestFit="1" customWidth="1" collapsed="1"/>
    <col min="22" max="22" width="12.5546875" bestFit="1" customWidth="1" collapsed="1"/>
    <col min="23" max="23" width="20.44140625" bestFit="1" customWidth="1" collapsed="1"/>
    <col min="24" max="24" width="30.44140625" bestFit="1" customWidth="1" collapsed="1"/>
    <col min="25" max="25" width="68.44140625" bestFit="1" customWidth="1" collapsed="1"/>
    <col min="26" max="26" width="61.109375" bestFit="1" customWidth="1" collapsed="1"/>
  </cols>
  <sheetData>
    <row r="1" spans="1:26" x14ac:dyDescent="0.3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9" t="s">
        <v>8</v>
      </c>
      <c r="J1" s="10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9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2" t="s">
        <v>24</v>
      </c>
      <c r="Z1" s="1" t="s">
        <v>25</v>
      </c>
    </row>
    <row r="2" spans="1:26" x14ac:dyDescent="0.3">
      <c r="A2" s="3" t="s">
        <v>41</v>
      </c>
      <c r="B2" s="4">
        <v>1</v>
      </c>
      <c r="C2" s="5" t="s">
        <v>34</v>
      </c>
      <c r="D2" s="2" t="s">
        <v>47</v>
      </c>
      <c r="E2" s="5" t="s">
        <v>26</v>
      </c>
      <c r="F2" s="2" t="s">
        <v>27</v>
      </c>
      <c r="G2" s="5" t="s">
        <v>28</v>
      </c>
      <c r="H2" s="2" t="s">
        <v>29</v>
      </c>
      <c r="I2" s="2"/>
      <c r="J2" s="5" t="s">
        <v>30</v>
      </c>
      <c r="K2" s="6" t="s">
        <v>31</v>
      </c>
      <c r="L2" s="7" t="s">
        <v>32</v>
      </c>
      <c r="M2" s="2" t="s">
        <v>33</v>
      </c>
      <c r="N2" s="2">
        <v>312</v>
      </c>
      <c r="O2" s="2">
        <v>312</v>
      </c>
      <c r="P2" s="8">
        <v>50000</v>
      </c>
      <c r="Q2" s="14">
        <f>P2*10%</f>
        <v>5000</v>
      </c>
      <c r="R2" s="14">
        <v>5000</v>
      </c>
      <c r="S2" s="14">
        <v>5000</v>
      </c>
      <c r="T2" s="14">
        <v>5000</v>
      </c>
      <c r="U2" s="13" t="s">
        <v>48</v>
      </c>
      <c r="V2" s="13"/>
      <c r="W2" s="13"/>
      <c r="X2" s="13"/>
      <c r="Y2" s="13" t="s">
        <v>49</v>
      </c>
      <c r="Z2" s="13" t="s">
        <v>50</v>
      </c>
    </row>
    <row r="3" spans="1:26" x14ac:dyDescent="0.3">
      <c r="A3" s="3" t="s">
        <v>41</v>
      </c>
      <c r="B3" s="4">
        <v>1</v>
      </c>
      <c r="C3" s="5" t="s">
        <v>34</v>
      </c>
      <c r="D3" s="2" t="s">
        <v>47</v>
      </c>
      <c r="E3" s="5" t="s">
        <v>26</v>
      </c>
      <c r="F3" s="2" t="s">
        <v>27</v>
      </c>
      <c r="G3" s="5" t="s">
        <v>28</v>
      </c>
      <c r="H3" s="2" t="s">
        <v>29</v>
      </c>
      <c r="I3" s="2"/>
      <c r="J3" s="5" t="s">
        <v>30</v>
      </c>
      <c r="K3" s="6" t="s">
        <v>31</v>
      </c>
      <c r="L3" s="7" t="s">
        <v>32</v>
      </c>
      <c r="M3" s="2" t="s">
        <v>33</v>
      </c>
      <c r="N3" s="2">
        <v>312</v>
      </c>
      <c r="O3" s="2"/>
      <c r="P3" s="8">
        <v>120000</v>
      </c>
      <c r="Q3" s="14">
        <f t="shared" ref="Q3:Q19" si="0">P3*10%</f>
        <v>12000</v>
      </c>
      <c r="R3" s="14"/>
      <c r="S3" s="14">
        <v>12000</v>
      </c>
      <c r="T3" s="14">
        <v>12000</v>
      </c>
      <c r="U3" s="13" t="s">
        <v>48</v>
      </c>
      <c r="V3" s="13"/>
      <c r="W3" s="13"/>
      <c r="X3" s="13"/>
      <c r="Y3" s="13" t="s">
        <v>49</v>
      </c>
      <c r="Z3" s="13" t="s">
        <v>50</v>
      </c>
    </row>
    <row r="4" spans="1:26" x14ac:dyDescent="0.3">
      <c r="A4" s="3" t="s">
        <v>41</v>
      </c>
      <c r="B4" s="4">
        <v>1</v>
      </c>
      <c r="C4" s="5" t="s">
        <v>34</v>
      </c>
      <c r="D4" s="2" t="s">
        <v>47</v>
      </c>
      <c r="E4" s="5" t="s">
        <v>26</v>
      </c>
      <c r="F4" s="2" t="s">
        <v>27</v>
      </c>
      <c r="G4" s="5" t="s">
        <v>28</v>
      </c>
      <c r="H4" s="2" t="s">
        <v>29</v>
      </c>
      <c r="I4" s="2"/>
      <c r="J4" s="5" t="s">
        <v>30</v>
      </c>
      <c r="K4" s="6" t="s">
        <v>31</v>
      </c>
      <c r="L4" s="7" t="s">
        <v>32</v>
      </c>
      <c r="M4" s="2" t="s">
        <v>33</v>
      </c>
      <c r="N4" s="2">
        <v>400</v>
      </c>
      <c r="O4" s="2"/>
      <c r="P4" s="8">
        <v>75000</v>
      </c>
      <c r="Q4" s="14">
        <f t="shared" si="0"/>
        <v>7500</v>
      </c>
      <c r="R4" s="14"/>
      <c r="S4" s="14"/>
      <c r="T4" s="14"/>
      <c r="U4" s="13" t="s">
        <v>48</v>
      </c>
      <c r="V4" s="13"/>
      <c r="W4" s="13"/>
      <c r="X4" s="13"/>
      <c r="Y4" s="13" t="s">
        <v>49</v>
      </c>
      <c r="Z4" s="13" t="s">
        <v>50</v>
      </c>
    </row>
    <row r="5" spans="1:26" x14ac:dyDescent="0.3">
      <c r="A5" s="3" t="s">
        <v>41</v>
      </c>
      <c r="B5" s="4">
        <v>1</v>
      </c>
      <c r="C5" s="5" t="s">
        <v>34</v>
      </c>
      <c r="D5" s="2" t="s">
        <v>47</v>
      </c>
      <c r="E5" s="5" t="s">
        <v>26</v>
      </c>
      <c r="F5" s="2" t="s">
        <v>27</v>
      </c>
      <c r="G5" s="5" t="s">
        <v>28</v>
      </c>
      <c r="H5" s="2" t="s">
        <v>29</v>
      </c>
      <c r="I5" s="2"/>
      <c r="J5" s="5" t="s">
        <v>30</v>
      </c>
      <c r="K5" s="6" t="s">
        <v>31</v>
      </c>
      <c r="L5" s="7" t="s">
        <v>32</v>
      </c>
      <c r="M5" s="2" t="s">
        <v>33</v>
      </c>
      <c r="N5" s="2">
        <v>312</v>
      </c>
      <c r="O5" s="2" t="s">
        <v>40</v>
      </c>
      <c r="P5" s="8">
        <v>120000</v>
      </c>
      <c r="Q5" s="14">
        <f t="shared" si="0"/>
        <v>12000</v>
      </c>
      <c r="R5" s="14">
        <v>7500</v>
      </c>
      <c r="S5" s="14"/>
      <c r="T5" s="14">
        <v>7500</v>
      </c>
      <c r="U5" s="13" t="s">
        <v>48</v>
      </c>
      <c r="V5" s="13"/>
      <c r="W5" s="13"/>
      <c r="X5" s="13"/>
      <c r="Y5" s="13" t="s">
        <v>49</v>
      </c>
      <c r="Z5" s="13" t="s">
        <v>50</v>
      </c>
    </row>
    <row r="6" spans="1:26" x14ac:dyDescent="0.3">
      <c r="A6" s="3" t="s">
        <v>41</v>
      </c>
      <c r="B6" s="4">
        <v>1</v>
      </c>
      <c r="C6" s="5" t="s">
        <v>34</v>
      </c>
      <c r="D6" s="2" t="s">
        <v>47</v>
      </c>
      <c r="E6" s="5" t="s">
        <v>35</v>
      </c>
      <c r="F6" s="2" t="s">
        <v>36</v>
      </c>
      <c r="G6" s="5" t="s">
        <v>28</v>
      </c>
      <c r="H6" s="2" t="s">
        <v>29</v>
      </c>
      <c r="I6" s="2"/>
      <c r="J6" s="5" t="s">
        <v>37</v>
      </c>
      <c r="K6" s="6" t="s">
        <v>38</v>
      </c>
      <c r="L6" s="7" t="s">
        <v>32</v>
      </c>
      <c r="M6" s="2" t="s">
        <v>39</v>
      </c>
      <c r="N6" s="2">
        <v>426</v>
      </c>
      <c r="O6" s="2"/>
      <c r="P6" s="8">
        <v>300000</v>
      </c>
      <c r="Q6" s="14">
        <f t="shared" si="0"/>
        <v>30000</v>
      </c>
      <c r="R6" s="14">
        <v>30000</v>
      </c>
      <c r="S6" s="14">
        <v>30000</v>
      </c>
      <c r="T6" s="14"/>
      <c r="U6" s="13" t="s">
        <v>48</v>
      </c>
      <c r="V6" s="13" t="s">
        <v>51</v>
      </c>
      <c r="W6" s="13" t="s">
        <v>52</v>
      </c>
      <c r="X6" s="13" t="s">
        <v>53</v>
      </c>
      <c r="Y6" s="13"/>
      <c r="Z6" s="13" t="s">
        <v>54</v>
      </c>
    </row>
    <row r="7" spans="1:26" x14ac:dyDescent="0.3">
      <c r="A7" s="3" t="s">
        <v>41</v>
      </c>
      <c r="B7" s="4">
        <v>1</v>
      </c>
      <c r="C7" s="5" t="s">
        <v>34</v>
      </c>
      <c r="D7" s="2" t="s">
        <v>47</v>
      </c>
      <c r="E7" s="5" t="s">
        <v>35</v>
      </c>
      <c r="F7" s="2" t="s">
        <v>36</v>
      </c>
      <c r="G7" s="5" t="s">
        <v>28</v>
      </c>
      <c r="H7" s="2" t="s">
        <v>29</v>
      </c>
      <c r="I7" s="2"/>
      <c r="J7" s="5" t="s">
        <v>37</v>
      </c>
      <c r="K7" s="6" t="s">
        <v>38</v>
      </c>
      <c r="L7" s="7" t="s">
        <v>32</v>
      </c>
      <c r="M7" s="2" t="s">
        <v>39</v>
      </c>
      <c r="N7" s="2">
        <v>426</v>
      </c>
      <c r="O7" s="2"/>
      <c r="P7" s="8">
        <v>110000</v>
      </c>
      <c r="Q7" s="14">
        <f t="shared" si="0"/>
        <v>11000</v>
      </c>
      <c r="R7" s="14"/>
      <c r="S7" s="14"/>
      <c r="T7" s="14">
        <v>11000</v>
      </c>
      <c r="U7" s="13" t="s">
        <v>48</v>
      </c>
      <c r="V7" s="13"/>
      <c r="W7" s="13"/>
      <c r="X7" s="13"/>
      <c r="Y7" s="13" t="s">
        <v>49</v>
      </c>
      <c r="Z7" s="13" t="s">
        <v>50</v>
      </c>
    </row>
    <row r="8" spans="1:26" x14ac:dyDescent="0.3">
      <c r="A8" s="3" t="s">
        <v>41</v>
      </c>
      <c r="B8" s="4">
        <v>1</v>
      </c>
      <c r="C8" s="5" t="s">
        <v>34</v>
      </c>
      <c r="D8" s="2" t="s">
        <v>47</v>
      </c>
      <c r="E8" s="5" t="s">
        <v>35</v>
      </c>
      <c r="F8" s="2" t="s">
        <v>36</v>
      </c>
      <c r="G8" s="5" t="s">
        <v>28</v>
      </c>
      <c r="H8" s="2" t="s">
        <v>29</v>
      </c>
      <c r="I8" s="2"/>
      <c r="J8" s="5" t="s">
        <v>37</v>
      </c>
      <c r="K8" s="6" t="s">
        <v>38</v>
      </c>
      <c r="L8" s="7" t="s">
        <v>32</v>
      </c>
      <c r="M8" s="2" t="s">
        <v>39</v>
      </c>
      <c r="N8" s="2">
        <v>426</v>
      </c>
      <c r="O8" s="2"/>
      <c r="P8" s="8">
        <v>65000</v>
      </c>
      <c r="Q8" s="14">
        <f t="shared" si="0"/>
        <v>6500</v>
      </c>
      <c r="R8" s="14">
        <v>6500</v>
      </c>
      <c r="S8" s="14"/>
      <c r="T8" s="14"/>
      <c r="U8" s="13" t="s">
        <v>48</v>
      </c>
      <c r="V8" s="13"/>
      <c r="W8" s="13"/>
      <c r="X8" s="13"/>
      <c r="Y8" s="13" t="s">
        <v>49</v>
      </c>
      <c r="Z8" s="13" t="s">
        <v>50</v>
      </c>
    </row>
    <row r="9" spans="1:26" x14ac:dyDescent="0.3">
      <c r="A9" s="3" t="s">
        <v>41</v>
      </c>
      <c r="B9" s="4">
        <v>1</v>
      </c>
      <c r="C9" s="5" t="s">
        <v>34</v>
      </c>
      <c r="D9" s="2" t="s">
        <v>47</v>
      </c>
      <c r="E9" s="5" t="s">
        <v>35</v>
      </c>
      <c r="F9" s="2" t="s">
        <v>36</v>
      </c>
      <c r="G9" s="5" t="s">
        <v>28</v>
      </c>
      <c r="H9" s="2" t="s">
        <v>29</v>
      </c>
      <c r="I9" s="2"/>
      <c r="J9" s="5" t="s">
        <v>37</v>
      </c>
      <c r="K9" s="6" t="s">
        <v>38</v>
      </c>
      <c r="L9" s="7" t="s">
        <v>32</v>
      </c>
      <c r="M9" s="2" t="s">
        <v>39</v>
      </c>
      <c r="N9" s="2">
        <v>426</v>
      </c>
      <c r="O9" s="2"/>
      <c r="P9" s="8">
        <v>120500</v>
      </c>
      <c r="Q9" s="14">
        <f t="shared" si="0"/>
        <v>12050</v>
      </c>
      <c r="R9" s="14"/>
      <c r="S9" s="14">
        <v>12050</v>
      </c>
      <c r="T9" s="14"/>
      <c r="U9" s="13" t="s">
        <v>48</v>
      </c>
      <c r="V9" s="13"/>
      <c r="W9" s="13"/>
      <c r="X9" s="13"/>
      <c r="Y9" s="13" t="s">
        <v>49</v>
      </c>
      <c r="Z9" s="13" t="s">
        <v>50</v>
      </c>
    </row>
    <row r="10" spans="1:26" x14ac:dyDescent="0.3">
      <c r="A10" s="3" t="s">
        <v>41</v>
      </c>
      <c r="B10" s="4">
        <v>1</v>
      </c>
      <c r="C10" s="5" t="s">
        <v>34</v>
      </c>
      <c r="D10" s="2" t="s">
        <v>47</v>
      </c>
      <c r="E10" s="5" t="s">
        <v>35</v>
      </c>
      <c r="F10" s="2" t="s">
        <v>36</v>
      </c>
      <c r="G10" s="5" t="s">
        <v>28</v>
      </c>
      <c r="H10" s="2" t="s">
        <v>29</v>
      </c>
      <c r="I10" s="2"/>
      <c r="J10" s="5" t="s">
        <v>37</v>
      </c>
      <c r="K10" s="6" t="s">
        <v>38</v>
      </c>
      <c r="L10" s="7" t="s">
        <v>32</v>
      </c>
      <c r="M10" s="2" t="s">
        <v>39</v>
      </c>
      <c r="N10" s="2">
        <v>426</v>
      </c>
      <c r="O10" s="2"/>
      <c r="P10" s="8">
        <v>220000</v>
      </c>
      <c r="Q10" s="14">
        <f t="shared" si="0"/>
        <v>22000</v>
      </c>
      <c r="R10" s="14">
        <v>22000</v>
      </c>
      <c r="S10" s="14"/>
      <c r="T10" s="14">
        <v>22000</v>
      </c>
      <c r="U10" s="13" t="s">
        <v>48</v>
      </c>
      <c r="V10" s="13" t="s">
        <v>55</v>
      </c>
      <c r="W10" s="13" t="s">
        <v>56</v>
      </c>
      <c r="X10" s="13" t="s">
        <v>53</v>
      </c>
      <c r="Y10" s="13"/>
      <c r="Z10" s="13" t="s">
        <v>54</v>
      </c>
    </row>
    <row r="11" spans="1:26" x14ac:dyDescent="0.3">
      <c r="A11" s="3" t="s">
        <v>41</v>
      </c>
      <c r="B11" s="4">
        <v>1</v>
      </c>
      <c r="C11" s="5" t="s">
        <v>42</v>
      </c>
      <c r="D11" s="2" t="s">
        <v>47</v>
      </c>
      <c r="E11" s="5" t="s">
        <v>26</v>
      </c>
      <c r="F11" s="2" t="s">
        <v>27</v>
      </c>
      <c r="G11" s="5" t="s">
        <v>28</v>
      </c>
      <c r="H11" s="2" t="s">
        <v>29</v>
      </c>
      <c r="I11" s="2"/>
      <c r="J11" s="5" t="s">
        <v>30</v>
      </c>
      <c r="K11" s="6" t="s">
        <v>31</v>
      </c>
      <c r="L11" s="7" t="s">
        <v>32</v>
      </c>
      <c r="M11" s="2" t="s">
        <v>33</v>
      </c>
      <c r="N11" s="2">
        <v>312</v>
      </c>
      <c r="O11" s="2">
        <v>312</v>
      </c>
      <c r="P11" s="8">
        <v>50000</v>
      </c>
      <c r="Q11" s="14">
        <f t="shared" si="0"/>
        <v>5000</v>
      </c>
      <c r="R11" s="14"/>
      <c r="S11" s="14"/>
      <c r="T11" s="14"/>
      <c r="U11" s="13" t="s">
        <v>48</v>
      </c>
      <c r="V11" s="13"/>
      <c r="W11" s="13"/>
      <c r="X11" s="13"/>
      <c r="Y11" s="13" t="s">
        <v>49</v>
      </c>
      <c r="Z11" s="13" t="s">
        <v>50</v>
      </c>
    </row>
    <row r="12" spans="1:26" x14ac:dyDescent="0.3">
      <c r="A12" s="3" t="s">
        <v>41</v>
      </c>
      <c r="B12" s="4">
        <v>1</v>
      </c>
      <c r="C12" s="5" t="s">
        <v>34</v>
      </c>
      <c r="D12" s="2" t="s">
        <v>47</v>
      </c>
      <c r="E12" s="5" t="s">
        <v>26</v>
      </c>
      <c r="F12" s="2" t="s">
        <v>27</v>
      </c>
      <c r="G12" s="5" t="s">
        <v>28</v>
      </c>
      <c r="H12" s="2" t="s">
        <v>29</v>
      </c>
      <c r="I12" s="2"/>
      <c r="J12" s="5" t="s">
        <v>30</v>
      </c>
      <c r="K12" s="6" t="s">
        <v>31</v>
      </c>
      <c r="L12" s="7" t="s">
        <v>32</v>
      </c>
      <c r="M12" s="2" t="s">
        <v>33</v>
      </c>
      <c r="N12" s="2">
        <v>312</v>
      </c>
      <c r="O12" s="2"/>
      <c r="P12" s="8">
        <v>120000</v>
      </c>
      <c r="Q12" s="14">
        <f t="shared" si="0"/>
        <v>12000</v>
      </c>
      <c r="R12" s="14"/>
      <c r="S12" s="14"/>
      <c r="T12" s="14"/>
      <c r="U12" s="13" t="s">
        <v>48</v>
      </c>
      <c r="V12" s="13"/>
      <c r="W12" s="13"/>
      <c r="X12" s="13"/>
      <c r="Y12" s="13" t="s">
        <v>49</v>
      </c>
      <c r="Z12" s="13" t="s">
        <v>50</v>
      </c>
    </row>
    <row r="13" spans="1:26" x14ac:dyDescent="0.3">
      <c r="A13" s="3" t="s">
        <v>41</v>
      </c>
      <c r="B13" s="4">
        <v>1</v>
      </c>
      <c r="C13" s="5" t="s">
        <v>34</v>
      </c>
      <c r="D13" s="2" t="s">
        <v>47</v>
      </c>
      <c r="E13" s="5" t="s">
        <v>26</v>
      </c>
      <c r="F13" s="2" t="s">
        <v>27</v>
      </c>
      <c r="G13" s="5" t="s">
        <v>28</v>
      </c>
      <c r="H13" s="2" t="s">
        <v>29</v>
      </c>
      <c r="I13" s="2"/>
      <c r="J13" s="5" t="s">
        <v>30</v>
      </c>
      <c r="K13" s="6" t="s">
        <v>31</v>
      </c>
      <c r="L13" s="7" t="s">
        <v>32</v>
      </c>
      <c r="M13" s="2" t="s">
        <v>33</v>
      </c>
      <c r="N13" s="2">
        <v>400</v>
      </c>
      <c r="O13" s="2"/>
      <c r="P13" s="8">
        <v>75000</v>
      </c>
      <c r="Q13" s="14">
        <f t="shared" si="0"/>
        <v>7500</v>
      </c>
      <c r="R13" s="14"/>
      <c r="S13" s="14"/>
      <c r="T13" s="14"/>
      <c r="U13" s="13" t="s">
        <v>48</v>
      </c>
      <c r="V13" s="13"/>
      <c r="W13" s="13"/>
      <c r="X13" s="13"/>
      <c r="Y13" s="13" t="s">
        <v>49</v>
      </c>
      <c r="Z13" s="13" t="s">
        <v>50</v>
      </c>
    </row>
    <row r="14" spans="1:26" x14ac:dyDescent="0.3">
      <c r="A14" s="3" t="s">
        <v>41</v>
      </c>
      <c r="B14" s="4">
        <v>1</v>
      </c>
      <c r="C14" s="5" t="s">
        <v>34</v>
      </c>
      <c r="D14" s="2" t="s">
        <v>47</v>
      </c>
      <c r="E14" s="5" t="s">
        <v>26</v>
      </c>
      <c r="F14" s="2" t="s">
        <v>27</v>
      </c>
      <c r="G14" s="5" t="s">
        <v>28</v>
      </c>
      <c r="H14" s="2" t="s">
        <v>29</v>
      </c>
      <c r="I14" s="2"/>
      <c r="J14" s="5" t="s">
        <v>30</v>
      </c>
      <c r="K14" s="6" t="s">
        <v>31</v>
      </c>
      <c r="L14" s="7" t="s">
        <v>32</v>
      </c>
      <c r="M14" s="2" t="s">
        <v>33</v>
      </c>
      <c r="N14" s="2"/>
      <c r="O14" s="2" t="s">
        <v>40</v>
      </c>
      <c r="P14" s="8">
        <v>120000</v>
      </c>
      <c r="Q14" s="14">
        <f t="shared" si="0"/>
        <v>12000</v>
      </c>
      <c r="R14" s="14"/>
      <c r="S14" s="14"/>
      <c r="T14" s="14"/>
      <c r="U14" s="13" t="s">
        <v>48</v>
      </c>
      <c r="V14" s="13"/>
      <c r="W14" s="13"/>
      <c r="X14" s="13"/>
      <c r="Y14" s="13" t="s">
        <v>49</v>
      </c>
      <c r="Z14" s="13" t="s">
        <v>50</v>
      </c>
    </row>
    <row r="15" spans="1:26" x14ac:dyDescent="0.3">
      <c r="A15" s="3" t="s">
        <v>41</v>
      </c>
      <c r="B15" s="4">
        <v>1</v>
      </c>
      <c r="C15" s="5" t="s">
        <v>34</v>
      </c>
      <c r="D15" s="2" t="s">
        <v>47</v>
      </c>
      <c r="E15" s="5" t="s">
        <v>43</v>
      </c>
      <c r="F15" s="2" t="s">
        <v>36</v>
      </c>
      <c r="G15" s="5" t="s">
        <v>28</v>
      </c>
      <c r="H15" s="2" t="s">
        <v>29</v>
      </c>
      <c r="I15" s="2"/>
      <c r="J15" s="5" t="s">
        <v>37</v>
      </c>
      <c r="K15" s="6" t="s">
        <v>38</v>
      </c>
      <c r="L15" s="7" t="s">
        <v>32</v>
      </c>
      <c r="M15" s="2" t="s">
        <v>39</v>
      </c>
      <c r="N15" s="2">
        <v>426</v>
      </c>
      <c r="O15" s="2"/>
      <c r="P15" s="8">
        <v>300000</v>
      </c>
      <c r="Q15" s="14">
        <f t="shared" si="0"/>
        <v>30000</v>
      </c>
      <c r="R15" s="14"/>
      <c r="S15" s="14"/>
      <c r="T15" s="14"/>
      <c r="U15" s="13" t="s">
        <v>48</v>
      </c>
      <c r="V15" s="13"/>
      <c r="W15" s="13"/>
      <c r="X15" s="13"/>
      <c r="Y15" s="13" t="s">
        <v>57</v>
      </c>
      <c r="Z15" s="13" t="s">
        <v>58</v>
      </c>
    </row>
    <row r="16" spans="1:26" x14ac:dyDescent="0.3">
      <c r="A16" s="3" t="s">
        <v>41</v>
      </c>
      <c r="B16" s="4">
        <v>1</v>
      </c>
      <c r="C16" s="5" t="s">
        <v>34</v>
      </c>
      <c r="D16" s="2" t="s">
        <v>47</v>
      </c>
      <c r="E16" s="5" t="s">
        <v>35</v>
      </c>
      <c r="F16" s="2" t="s">
        <v>36</v>
      </c>
      <c r="G16" s="5" t="s">
        <v>44</v>
      </c>
      <c r="H16" s="2" t="s">
        <v>29</v>
      </c>
      <c r="I16" s="2"/>
      <c r="J16" s="5" t="s">
        <v>37</v>
      </c>
      <c r="K16" s="6" t="s">
        <v>38</v>
      </c>
      <c r="L16" s="7" t="s">
        <v>32</v>
      </c>
      <c r="M16" s="2" t="s">
        <v>39</v>
      </c>
      <c r="N16" s="2">
        <v>426</v>
      </c>
      <c r="O16" s="2"/>
      <c r="P16" s="8">
        <v>110000</v>
      </c>
      <c r="Q16" s="14">
        <f t="shared" si="0"/>
        <v>11000</v>
      </c>
      <c r="R16" s="14"/>
      <c r="S16" s="14"/>
      <c r="T16" s="14"/>
      <c r="U16" s="13" t="s">
        <v>48</v>
      </c>
      <c r="V16" s="13"/>
      <c r="W16" s="13"/>
      <c r="X16" s="13"/>
      <c r="Y16" s="13" t="s">
        <v>57</v>
      </c>
      <c r="Z16" s="13" t="s">
        <v>58</v>
      </c>
    </row>
    <row r="17" spans="1:26" x14ac:dyDescent="0.3">
      <c r="A17" s="3" t="s">
        <v>41</v>
      </c>
      <c r="B17" s="4">
        <v>2</v>
      </c>
      <c r="C17" s="5" t="s">
        <v>34</v>
      </c>
      <c r="D17" s="2" t="s">
        <v>47</v>
      </c>
      <c r="E17" s="5" t="s">
        <v>35</v>
      </c>
      <c r="F17" s="2" t="s">
        <v>36</v>
      </c>
      <c r="G17" s="5" t="s">
        <v>28</v>
      </c>
      <c r="H17" s="2" t="s">
        <v>29</v>
      </c>
      <c r="I17" s="2"/>
      <c r="J17" s="5" t="s">
        <v>37</v>
      </c>
      <c r="K17" s="6" t="s">
        <v>38</v>
      </c>
      <c r="L17" s="7" t="s">
        <v>32</v>
      </c>
      <c r="M17" s="2" t="s">
        <v>39</v>
      </c>
      <c r="N17" s="2">
        <v>426</v>
      </c>
      <c r="O17" s="2"/>
      <c r="P17" s="8">
        <v>65000</v>
      </c>
      <c r="Q17" s="14">
        <f t="shared" si="0"/>
        <v>6500</v>
      </c>
      <c r="R17" s="14"/>
      <c r="S17" s="14"/>
      <c r="T17" s="14"/>
      <c r="U17" s="13" t="s">
        <v>48</v>
      </c>
      <c r="V17" s="13"/>
      <c r="W17" s="13"/>
      <c r="X17" s="13"/>
      <c r="Y17" s="13" t="s">
        <v>49</v>
      </c>
      <c r="Z17" s="13" t="s">
        <v>50</v>
      </c>
    </row>
    <row r="18" spans="1:26" x14ac:dyDescent="0.3">
      <c r="A18" s="3" t="s">
        <v>41</v>
      </c>
      <c r="B18" s="4">
        <v>1</v>
      </c>
      <c r="C18" s="5" t="s">
        <v>34</v>
      </c>
      <c r="D18" s="2" t="s">
        <v>47</v>
      </c>
      <c r="E18" s="5" t="s">
        <v>35</v>
      </c>
      <c r="F18" s="2" t="s">
        <v>36</v>
      </c>
      <c r="G18" s="5" t="s">
        <v>28</v>
      </c>
      <c r="H18" s="2" t="s">
        <v>29</v>
      </c>
      <c r="I18" s="2"/>
      <c r="J18" s="5" t="s">
        <v>37</v>
      </c>
      <c r="K18" s="6" t="s">
        <v>38</v>
      </c>
      <c r="L18" s="7" t="s">
        <v>32</v>
      </c>
      <c r="M18" s="2" t="s">
        <v>39</v>
      </c>
      <c r="N18" s="2">
        <v>426</v>
      </c>
      <c r="O18" s="2"/>
      <c r="P18" s="8">
        <v>4000000</v>
      </c>
      <c r="Q18" s="14">
        <f t="shared" si="0"/>
        <v>400000</v>
      </c>
      <c r="R18" s="14"/>
      <c r="S18" s="14"/>
      <c r="T18" s="14"/>
      <c r="U18" s="13" t="s">
        <v>48</v>
      </c>
      <c r="V18" s="13" t="s">
        <v>59</v>
      </c>
      <c r="W18" s="13" t="s">
        <v>60</v>
      </c>
      <c r="X18" s="13" t="s">
        <v>53</v>
      </c>
      <c r="Y18" s="13" t="s">
        <v>45</v>
      </c>
      <c r="Z18" s="13" t="s">
        <v>54</v>
      </c>
    </row>
    <row r="19" spans="1:26" x14ac:dyDescent="0.3">
      <c r="A19" s="3" t="s">
        <v>41</v>
      </c>
      <c r="B19" s="4">
        <v>1</v>
      </c>
      <c r="C19" s="5" t="s">
        <v>34</v>
      </c>
      <c r="D19" s="2" t="s">
        <v>47</v>
      </c>
      <c r="E19" s="5" t="s">
        <v>35</v>
      </c>
      <c r="F19" s="2" t="s">
        <v>36</v>
      </c>
      <c r="G19" s="5" t="s">
        <v>28</v>
      </c>
      <c r="H19" s="2" t="s">
        <v>29</v>
      </c>
      <c r="I19" s="2"/>
      <c r="J19" s="5" t="s">
        <v>46</v>
      </c>
      <c r="K19" s="6" t="s">
        <v>38</v>
      </c>
      <c r="L19" s="7" t="s">
        <v>32</v>
      </c>
      <c r="M19" s="2" t="s">
        <v>39</v>
      </c>
      <c r="N19" s="2">
        <v>426</v>
      </c>
      <c r="O19" s="2"/>
      <c r="P19" s="8">
        <v>220000</v>
      </c>
      <c r="Q19" s="14">
        <f t="shared" si="0"/>
        <v>22000</v>
      </c>
      <c r="R19" s="14"/>
      <c r="S19" s="14"/>
      <c r="T19" s="14"/>
      <c r="U19" s="13" t="s">
        <v>48</v>
      </c>
      <c r="V19" s="13"/>
      <c r="W19" s="13"/>
      <c r="X19" s="13"/>
      <c r="Y19" s="13" t="s">
        <v>61</v>
      </c>
      <c r="Z19" s="13" t="s">
        <v>58</v>
      </c>
    </row>
  </sheetData>
  <autoFilter ref="A1:Z19" xr:uid="{00000000-0009-0000-0000-000000000000}"/>
  <pageMargins left="0.511811024" right="0.511811024" top="0.78740157499999996" bottom="0.78740157499999996" header="0.31496062000000002" footer="0.31496062000000002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imobiliariaResidencia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Silana Maria Falcucci L. B. Faria</dc:creator>
  <cp:lastModifiedBy>Denilson Costa Dias(Externo)</cp:lastModifiedBy>
  <dcterms:created xsi:type="dcterms:W3CDTF">2016-09-29T13:11:11Z</dcterms:created>
  <dcterms:modified xsi:type="dcterms:W3CDTF">2022-08-02T12:53:17Z</dcterms:modified>
</cp:coreProperties>
</file>